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defaultThemeVersion="124226"/>
  <bookViews>
    <workbookView xWindow="0" yWindow="60" windowWidth="57315" windowHeight="14895"/>
  </bookViews>
  <sheets>
    <sheet name="Hoja1" sheetId="1" r:id="rId1"/>
    <sheet name="Hoja2" sheetId="2" r:id="rId2"/>
    <sheet name="Hoja3" sheetId="3" r:id="rId3"/>
  </sheets>
  <calcPr calcId="125725" fullPrecision="0"/>
</workbook>
</file>

<file path=xl/calcChain.xml><?xml version="1.0" encoding="utf-8"?>
<calcChain xmlns="http://schemas.openxmlformats.org/spreadsheetml/2006/main">
  <c r="K1888" i="1"/>
  <c r="M1891"/>
  <c r="M1889"/>
  <c r="L1893" s="1"/>
  <c r="K1850"/>
  <c r="K1877"/>
  <c r="M1882"/>
  <c r="M1880"/>
  <c r="L1884" s="1"/>
  <c r="M1878"/>
  <c r="K1851"/>
  <c r="L1868"/>
  <c r="J1872"/>
  <c r="J1871"/>
  <c r="J1870"/>
  <c r="K1873" s="1"/>
  <c r="M1866"/>
  <c r="L1861"/>
  <c r="K1864"/>
  <c r="M1864" s="1"/>
  <c r="M1861" s="1"/>
  <c r="J1863"/>
  <c r="M1859"/>
  <c r="L1852"/>
  <c r="J1856"/>
  <c r="J1855"/>
  <c r="J1854"/>
  <c r="K1857" s="1"/>
  <c r="K1812"/>
  <c r="K1813"/>
  <c r="M1844"/>
  <c r="M1842"/>
  <c r="M1840"/>
  <c r="M1838"/>
  <c r="M1836"/>
  <c r="M1834"/>
  <c r="M1832"/>
  <c r="M1830"/>
  <c r="M1828"/>
  <c r="M1826"/>
  <c r="M1824"/>
  <c r="M1822"/>
  <c r="M1820"/>
  <c r="M1818"/>
  <c r="M1816"/>
  <c r="M1814"/>
  <c r="L1846" s="1"/>
  <c r="K1738"/>
  <c r="K1790"/>
  <c r="L1803"/>
  <c r="J1805"/>
  <c r="K1806" s="1"/>
  <c r="L1798"/>
  <c r="J1800"/>
  <c r="K1801" s="1"/>
  <c r="L1791"/>
  <c r="J1795"/>
  <c r="J1794"/>
  <c r="J1793"/>
  <c r="K1796" s="1"/>
  <c r="K1778"/>
  <c r="L1780"/>
  <c r="J1785"/>
  <c r="J1784"/>
  <c r="J1783"/>
  <c r="J1782"/>
  <c r="K1786" s="1"/>
  <c r="K1739"/>
  <c r="L1769"/>
  <c r="J1773"/>
  <c r="J1772"/>
  <c r="K1774" s="1"/>
  <c r="J1771"/>
  <c r="L1757"/>
  <c r="J1766"/>
  <c r="J1765"/>
  <c r="J1764"/>
  <c r="J1763"/>
  <c r="J1762"/>
  <c r="J1761"/>
  <c r="J1760"/>
  <c r="J1759"/>
  <c r="K1767" s="1"/>
  <c r="L1749"/>
  <c r="J1754"/>
  <c r="J1753"/>
  <c r="J1752"/>
  <c r="J1751"/>
  <c r="K1755" s="1"/>
  <c r="L1741"/>
  <c r="J1746"/>
  <c r="J1745"/>
  <c r="J1744"/>
  <c r="J1743"/>
  <c r="K1747" s="1"/>
  <c r="K1687"/>
  <c r="K1728"/>
  <c r="L1729"/>
  <c r="J1731"/>
  <c r="K1732" s="1"/>
  <c r="K1706"/>
  <c r="L1721"/>
  <c r="K1721"/>
  <c r="K1724"/>
  <c r="M1724" s="1"/>
  <c r="M1721" s="1"/>
  <c r="J1723"/>
  <c r="L1713"/>
  <c r="J1718"/>
  <c r="J1717"/>
  <c r="J1716"/>
  <c r="J1715"/>
  <c r="K1719" s="1"/>
  <c r="M1711"/>
  <c r="M1709"/>
  <c r="M1707"/>
  <c r="K1688"/>
  <c r="L1699"/>
  <c r="J1701"/>
  <c r="K1702" s="1"/>
  <c r="L1694"/>
  <c r="J1696"/>
  <c r="K1697" s="1"/>
  <c r="L1689"/>
  <c r="J1691"/>
  <c r="K1692" s="1"/>
  <c r="K1469"/>
  <c r="K1637"/>
  <c r="L1678"/>
  <c r="J1680"/>
  <c r="K1681" s="1"/>
  <c r="L1670"/>
  <c r="J1675"/>
  <c r="J1674"/>
  <c r="J1673"/>
  <c r="J1672"/>
  <c r="K1676" s="1"/>
  <c r="L1660"/>
  <c r="J1667"/>
  <c r="J1666"/>
  <c r="J1665"/>
  <c r="J1664"/>
  <c r="K1668" s="1"/>
  <c r="J1663"/>
  <c r="J1662"/>
  <c r="L1653"/>
  <c r="J1657"/>
  <c r="J1656"/>
  <c r="J1655"/>
  <c r="K1658" s="1"/>
  <c r="L1643"/>
  <c r="J1650"/>
  <c r="J1649"/>
  <c r="J1648"/>
  <c r="J1647"/>
  <c r="J1646"/>
  <c r="J1645"/>
  <c r="K1651" s="1"/>
  <c r="L1638"/>
  <c r="K1638"/>
  <c r="K1641"/>
  <c r="M1641" s="1"/>
  <c r="M1638" s="1"/>
  <c r="J1640"/>
  <c r="K1605"/>
  <c r="L1628"/>
  <c r="J1632"/>
  <c r="J1631"/>
  <c r="J1630"/>
  <c r="K1633" s="1"/>
  <c r="L1607"/>
  <c r="J1625"/>
  <c r="J1624"/>
  <c r="J1623"/>
  <c r="J1622"/>
  <c r="J1621"/>
  <c r="J1620"/>
  <c r="J1619"/>
  <c r="J1618"/>
  <c r="J1617"/>
  <c r="J1616"/>
  <c r="J1615"/>
  <c r="J1614"/>
  <c r="J1613"/>
  <c r="J1612"/>
  <c r="J1611"/>
  <c r="J1610"/>
  <c r="J1609"/>
  <c r="K1626" s="1"/>
  <c r="K1571"/>
  <c r="L1598"/>
  <c r="K1601"/>
  <c r="M1601" s="1"/>
  <c r="M1598" s="1"/>
  <c r="J1600"/>
  <c r="L1593"/>
  <c r="K1593"/>
  <c r="K1596"/>
  <c r="M1596" s="1"/>
  <c r="M1593" s="1"/>
  <c r="L1587"/>
  <c r="J1590"/>
  <c r="J1589"/>
  <c r="K1591" s="1"/>
  <c r="L1579"/>
  <c r="J1584"/>
  <c r="J1583"/>
  <c r="J1582"/>
  <c r="J1581"/>
  <c r="K1585" s="1"/>
  <c r="L1572"/>
  <c r="J1576"/>
  <c r="J1575"/>
  <c r="J1574"/>
  <c r="K1577" s="1"/>
  <c r="K1554"/>
  <c r="L1556"/>
  <c r="J1566"/>
  <c r="J1565"/>
  <c r="J1564"/>
  <c r="J1563"/>
  <c r="J1562"/>
  <c r="J1561"/>
  <c r="J1560"/>
  <c r="J1559"/>
  <c r="K1567" s="1"/>
  <c r="J1558"/>
  <c r="K1497"/>
  <c r="L1533"/>
  <c r="J1549"/>
  <c r="J1548"/>
  <c r="J1547"/>
  <c r="J1546"/>
  <c r="J1545"/>
  <c r="J1544"/>
  <c r="J1543"/>
  <c r="J1542"/>
  <c r="J1541"/>
  <c r="J1540"/>
  <c r="J1539"/>
  <c r="J1538"/>
  <c r="J1537"/>
  <c r="J1536"/>
  <c r="J1535"/>
  <c r="K1550" s="1"/>
  <c r="L1512"/>
  <c r="J1530"/>
  <c r="J1529"/>
  <c r="J1528"/>
  <c r="J1527"/>
  <c r="J1526"/>
  <c r="J1525"/>
  <c r="J1524"/>
  <c r="J1523"/>
  <c r="J1522"/>
  <c r="J1521"/>
  <c r="J1520"/>
  <c r="J1519"/>
  <c r="J1518"/>
  <c r="J1517"/>
  <c r="J1516"/>
  <c r="J1515"/>
  <c r="J1514"/>
  <c r="K1531" s="1"/>
  <c r="L1498"/>
  <c r="J1509"/>
  <c r="J1508"/>
  <c r="J1507"/>
  <c r="J1506"/>
  <c r="J1505"/>
  <c r="J1504"/>
  <c r="J1503"/>
  <c r="J1502"/>
  <c r="J1501"/>
  <c r="K1510" s="1"/>
  <c r="J1500"/>
  <c r="K1484"/>
  <c r="L1490"/>
  <c r="J1492"/>
  <c r="K1493" s="1"/>
  <c r="L1485"/>
  <c r="J1487"/>
  <c r="K1488" s="1"/>
  <c r="K1470"/>
  <c r="L1471"/>
  <c r="J1479"/>
  <c r="J1478"/>
  <c r="J1477"/>
  <c r="J1476"/>
  <c r="J1475"/>
  <c r="J1474"/>
  <c r="K1480" s="1"/>
  <c r="J1473"/>
  <c r="K1418"/>
  <c r="K1456"/>
  <c r="M1463"/>
  <c r="M1461"/>
  <c r="M1459"/>
  <c r="M1457"/>
  <c r="L1465" s="1"/>
  <c r="K1429"/>
  <c r="L1442"/>
  <c r="J1451"/>
  <c r="J1450"/>
  <c r="J1449"/>
  <c r="J1448"/>
  <c r="J1447"/>
  <c r="J1446"/>
  <c r="J1445"/>
  <c r="J1444"/>
  <c r="K1452" s="1"/>
  <c r="L1430"/>
  <c r="J1439"/>
  <c r="J1438"/>
  <c r="J1437"/>
  <c r="J1436"/>
  <c r="J1435"/>
  <c r="J1434"/>
  <c r="J1433"/>
  <c r="J1432"/>
  <c r="K1440" s="1"/>
  <c r="K1419"/>
  <c r="L1421"/>
  <c r="K1425"/>
  <c r="M1425" s="1"/>
  <c r="M1421" s="1"/>
  <c r="L1427" s="1"/>
  <c r="J1424"/>
  <c r="J1423"/>
  <c r="K1207"/>
  <c r="K1408"/>
  <c r="L1409"/>
  <c r="J1411"/>
  <c r="K1412" s="1"/>
  <c r="K1397"/>
  <c r="L1398"/>
  <c r="J1403"/>
  <c r="J1402"/>
  <c r="J1401"/>
  <c r="J1400"/>
  <c r="K1404" s="1"/>
  <c r="K1358"/>
  <c r="L1382"/>
  <c r="J1392"/>
  <c r="J1391"/>
  <c r="J1390"/>
  <c r="J1389"/>
  <c r="J1388"/>
  <c r="J1387"/>
  <c r="J1386"/>
  <c r="J1385"/>
  <c r="K1393" s="1"/>
  <c r="J1384"/>
  <c r="L1360"/>
  <c r="J1379"/>
  <c r="J1378"/>
  <c r="J1377"/>
  <c r="J1376"/>
  <c r="J1375"/>
  <c r="J1374"/>
  <c r="J1373"/>
  <c r="J1372"/>
  <c r="J1371"/>
  <c r="J1370"/>
  <c r="J1369"/>
  <c r="J1368"/>
  <c r="J1367"/>
  <c r="J1366"/>
  <c r="J1365"/>
  <c r="J1364"/>
  <c r="K1380" s="1"/>
  <c r="J1363"/>
  <c r="J1362"/>
  <c r="K1318"/>
  <c r="L1351"/>
  <c r="K1354"/>
  <c r="M1354" s="1"/>
  <c r="M1351" s="1"/>
  <c r="J1353"/>
  <c r="L1345"/>
  <c r="J1348"/>
  <c r="J1347"/>
  <c r="K1349" s="1"/>
  <c r="L1337"/>
  <c r="J1342"/>
  <c r="J1341"/>
  <c r="J1340"/>
  <c r="J1339"/>
  <c r="K1343" s="1"/>
  <c r="L1326"/>
  <c r="J1334"/>
  <c r="J1333"/>
  <c r="J1332"/>
  <c r="J1331"/>
  <c r="J1330"/>
  <c r="J1329"/>
  <c r="K1335" s="1"/>
  <c r="J1328"/>
  <c r="L1319"/>
  <c r="J1323"/>
  <c r="J1322"/>
  <c r="K1324" s="1"/>
  <c r="J1321"/>
  <c r="K1208"/>
  <c r="L1311"/>
  <c r="J1313"/>
  <c r="K1314" s="1"/>
  <c r="L1306"/>
  <c r="J1308"/>
  <c r="K1309" s="1"/>
  <c r="L1300"/>
  <c r="J1303"/>
  <c r="J1302"/>
  <c r="K1304" s="1"/>
  <c r="L1295"/>
  <c r="K1295"/>
  <c r="K1298"/>
  <c r="M1298" s="1"/>
  <c r="M1295" s="1"/>
  <c r="J1297"/>
  <c r="L1290"/>
  <c r="K1293"/>
  <c r="M1293" s="1"/>
  <c r="M1290" s="1"/>
  <c r="J1292"/>
  <c r="L1285"/>
  <c r="K1285"/>
  <c r="K1288"/>
  <c r="M1288" s="1"/>
  <c r="M1285" s="1"/>
  <c r="J1287"/>
  <c r="L1259"/>
  <c r="J1282"/>
  <c r="J1281"/>
  <c r="J1280"/>
  <c r="J1279"/>
  <c r="J1278"/>
  <c r="J1277"/>
  <c r="J1276"/>
  <c r="J1275"/>
  <c r="J1274"/>
  <c r="J1273"/>
  <c r="J1272"/>
  <c r="J1271"/>
  <c r="J1270"/>
  <c r="J1269"/>
  <c r="J1268"/>
  <c r="J1267"/>
  <c r="J1266"/>
  <c r="J1265"/>
  <c r="J1264"/>
  <c r="J1263"/>
  <c r="K1283" s="1"/>
  <c r="J1262"/>
  <c r="J1261"/>
  <c r="L1236"/>
  <c r="J1256"/>
  <c r="J1255"/>
  <c r="J1254"/>
  <c r="J1253"/>
  <c r="J1252"/>
  <c r="J1251"/>
  <c r="J1250"/>
  <c r="J1249"/>
  <c r="J1248"/>
  <c r="J1247"/>
  <c r="J1246"/>
  <c r="J1245"/>
  <c r="J1244"/>
  <c r="J1243"/>
  <c r="J1242"/>
  <c r="J1241"/>
  <c r="J1240"/>
  <c r="J1239"/>
  <c r="J1238"/>
  <c r="K1257" s="1"/>
  <c r="L1226"/>
  <c r="J1233"/>
  <c r="J1232"/>
  <c r="J1231"/>
  <c r="J1230"/>
  <c r="J1229"/>
  <c r="J1228"/>
  <c r="K1234" s="1"/>
  <c r="L1209"/>
  <c r="J1223"/>
  <c r="J1222"/>
  <c r="J1221"/>
  <c r="J1220"/>
  <c r="J1219"/>
  <c r="J1218"/>
  <c r="J1217"/>
  <c r="J1216"/>
  <c r="J1215"/>
  <c r="J1214"/>
  <c r="J1213"/>
  <c r="J1212"/>
  <c r="K1224" s="1"/>
  <c r="J1211"/>
  <c r="K807"/>
  <c r="K1185"/>
  <c r="L1198"/>
  <c r="K1198"/>
  <c r="K1201"/>
  <c r="M1201" s="1"/>
  <c r="M1198" s="1"/>
  <c r="J1200"/>
  <c r="L1191"/>
  <c r="K1196"/>
  <c r="M1196" s="1"/>
  <c r="M1191" s="1"/>
  <c r="J1195"/>
  <c r="J1194"/>
  <c r="J1193"/>
  <c r="L1186"/>
  <c r="K1189"/>
  <c r="M1189" s="1"/>
  <c r="M1186" s="1"/>
  <c r="L1203" s="1"/>
  <c r="J1188"/>
  <c r="K1117"/>
  <c r="M1181"/>
  <c r="M1179"/>
  <c r="L1174"/>
  <c r="J1176"/>
  <c r="K1177" s="1"/>
  <c r="L1169"/>
  <c r="J1171"/>
  <c r="K1172" s="1"/>
  <c r="L1164"/>
  <c r="J1166"/>
  <c r="K1167" s="1"/>
  <c r="L1159"/>
  <c r="J1161"/>
  <c r="K1162" s="1"/>
  <c r="L1154"/>
  <c r="J1156"/>
  <c r="K1157" s="1"/>
  <c r="L1149"/>
  <c r="J1151"/>
  <c r="K1152" s="1"/>
  <c r="L1144"/>
  <c r="J1146"/>
  <c r="K1147" s="1"/>
  <c r="L1139"/>
  <c r="J1141"/>
  <c r="K1142" s="1"/>
  <c r="L1134"/>
  <c r="J1136"/>
  <c r="K1137" s="1"/>
  <c r="L1126"/>
  <c r="J1131"/>
  <c r="J1130"/>
  <c r="J1129"/>
  <c r="J1128"/>
  <c r="K1132" s="1"/>
  <c r="L1118"/>
  <c r="J1123"/>
  <c r="J1122"/>
  <c r="J1121"/>
  <c r="J1120"/>
  <c r="K1124" s="1"/>
  <c r="L1111"/>
  <c r="K1111"/>
  <c r="M1115"/>
  <c r="M1111" s="1"/>
  <c r="M1113"/>
  <c r="K1092"/>
  <c r="M1107"/>
  <c r="M1105"/>
  <c r="M1103"/>
  <c r="M1101"/>
  <c r="M1099"/>
  <c r="M1097"/>
  <c r="M1095"/>
  <c r="M1093"/>
  <c r="L1109" s="1"/>
  <c r="K1082"/>
  <c r="M1088"/>
  <c r="L1083"/>
  <c r="J1085"/>
  <c r="K1086" s="1"/>
  <c r="K1036"/>
  <c r="L1075"/>
  <c r="K1078"/>
  <c r="M1078" s="1"/>
  <c r="M1075" s="1"/>
  <c r="J1077"/>
  <c r="L1070"/>
  <c r="K1070"/>
  <c r="K1073"/>
  <c r="M1073" s="1"/>
  <c r="M1070" s="1"/>
  <c r="J1072"/>
  <c r="L1065"/>
  <c r="K1068"/>
  <c r="M1068" s="1"/>
  <c r="M1065" s="1"/>
  <c r="J1067"/>
  <c r="L1059"/>
  <c r="J1062"/>
  <c r="J1061"/>
  <c r="K1063" s="1"/>
  <c r="L1052"/>
  <c r="J1056"/>
  <c r="J1055"/>
  <c r="J1054"/>
  <c r="K1057" s="1"/>
  <c r="L1046"/>
  <c r="J1049"/>
  <c r="J1048"/>
  <c r="K1050" s="1"/>
  <c r="M1044"/>
  <c r="L1039"/>
  <c r="J1041"/>
  <c r="K1042" s="1"/>
  <c r="M1037"/>
  <c r="K951"/>
  <c r="L1029"/>
  <c r="J1031"/>
  <c r="K1032" s="1"/>
  <c r="L1024"/>
  <c r="J1026"/>
  <c r="K1027" s="1"/>
  <c r="L1019"/>
  <c r="J1021"/>
  <c r="K1022" s="1"/>
  <c r="L1014"/>
  <c r="J1016"/>
  <c r="K1017" s="1"/>
  <c r="L1009"/>
  <c r="J1011"/>
  <c r="K1012" s="1"/>
  <c r="L1004"/>
  <c r="J1006"/>
  <c r="K1007" s="1"/>
  <c r="L999"/>
  <c r="J1001"/>
  <c r="K1002" s="1"/>
  <c r="L994"/>
  <c r="J996"/>
  <c r="K997" s="1"/>
  <c r="L989"/>
  <c r="J991"/>
  <c r="K992" s="1"/>
  <c r="L983"/>
  <c r="J986"/>
  <c r="K987" s="1"/>
  <c r="J985"/>
  <c r="L978"/>
  <c r="K978"/>
  <c r="K981"/>
  <c r="M981" s="1"/>
  <c r="M978" s="1"/>
  <c r="J980"/>
  <c r="L972"/>
  <c r="K976"/>
  <c r="M976" s="1"/>
  <c r="M972" s="1"/>
  <c r="J975"/>
  <c r="J974"/>
  <c r="L967"/>
  <c r="J969"/>
  <c r="K970" s="1"/>
  <c r="L962"/>
  <c r="J964"/>
  <c r="K965" s="1"/>
  <c r="L956"/>
  <c r="J959"/>
  <c r="J958"/>
  <c r="K960" s="1"/>
  <c r="M954"/>
  <c r="M952"/>
  <c r="K853"/>
  <c r="M947"/>
  <c r="L942"/>
  <c r="K942"/>
  <c r="K945"/>
  <c r="M945" s="1"/>
  <c r="M942" s="1"/>
  <c r="J944"/>
  <c r="L937"/>
  <c r="K940"/>
  <c r="M940" s="1"/>
  <c r="M937" s="1"/>
  <c r="J939"/>
  <c r="L932"/>
  <c r="K932"/>
  <c r="K935"/>
  <c r="M935" s="1"/>
  <c r="M932" s="1"/>
  <c r="J934"/>
  <c r="L926"/>
  <c r="K930"/>
  <c r="M930" s="1"/>
  <c r="M926" s="1"/>
  <c r="J929"/>
  <c r="J928"/>
  <c r="L920"/>
  <c r="J923"/>
  <c r="J922"/>
  <c r="K924" s="1"/>
  <c r="L912"/>
  <c r="J917"/>
  <c r="J916"/>
  <c r="J915"/>
  <c r="J914"/>
  <c r="K918" s="1"/>
  <c r="M910"/>
  <c r="L905"/>
  <c r="K908"/>
  <c r="M908" s="1"/>
  <c r="M905" s="1"/>
  <c r="J907"/>
  <c r="L900"/>
  <c r="K900"/>
  <c r="K903"/>
  <c r="M903" s="1"/>
  <c r="M900" s="1"/>
  <c r="J902"/>
  <c r="M898"/>
  <c r="M896"/>
  <c r="L891"/>
  <c r="K891"/>
  <c r="K894"/>
  <c r="M894" s="1"/>
  <c r="M891" s="1"/>
  <c r="J893"/>
  <c r="L886"/>
  <c r="K889"/>
  <c r="M889" s="1"/>
  <c r="M886" s="1"/>
  <c r="J888"/>
  <c r="L881"/>
  <c r="K881"/>
  <c r="K884"/>
  <c r="M884" s="1"/>
  <c r="M881" s="1"/>
  <c r="J883"/>
  <c r="L876"/>
  <c r="K879"/>
  <c r="M879" s="1"/>
  <c r="M876" s="1"/>
  <c r="J878"/>
  <c r="M874"/>
  <c r="M872"/>
  <c r="L867"/>
  <c r="K870"/>
  <c r="M870" s="1"/>
  <c r="M867" s="1"/>
  <c r="J869"/>
  <c r="M865"/>
  <c r="L859"/>
  <c r="J862"/>
  <c r="J861"/>
  <c r="K863" s="1"/>
  <c r="L854"/>
  <c r="K854"/>
  <c r="K857"/>
  <c r="M857" s="1"/>
  <c r="M854" s="1"/>
  <c r="J856"/>
  <c r="K819"/>
  <c r="M849"/>
  <c r="M847"/>
  <c r="L841"/>
  <c r="J844"/>
  <c r="J843"/>
  <c r="K845" s="1"/>
  <c r="M839"/>
  <c r="M837"/>
  <c r="L832"/>
  <c r="K835"/>
  <c r="M835" s="1"/>
  <c r="M832" s="1"/>
  <c r="J834"/>
  <c r="M830"/>
  <c r="M828"/>
  <c r="M826"/>
  <c r="M824"/>
  <c r="M822"/>
  <c r="M820"/>
  <c r="K808"/>
  <c r="M815"/>
  <c r="M813"/>
  <c r="M811"/>
  <c r="M809"/>
  <c r="L817" s="1"/>
  <c r="K693"/>
  <c r="K773"/>
  <c r="L774"/>
  <c r="J800"/>
  <c r="J799"/>
  <c r="J798"/>
  <c r="J797"/>
  <c r="J796"/>
  <c r="J795"/>
  <c r="J794"/>
  <c r="J793"/>
  <c r="J792"/>
  <c r="J791"/>
  <c r="J790"/>
  <c r="J789"/>
  <c r="J788"/>
  <c r="J787"/>
  <c r="J786"/>
  <c r="J785"/>
  <c r="J784"/>
  <c r="J783"/>
  <c r="J782"/>
  <c r="J781"/>
  <c r="J780"/>
  <c r="J779"/>
  <c r="J778"/>
  <c r="J777"/>
  <c r="J776"/>
  <c r="K801" s="1"/>
  <c r="K765"/>
  <c r="L766"/>
  <c r="K766"/>
  <c r="K769"/>
  <c r="M769" s="1"/>
  <c r="M766" s="1"/>
  <c r="L771" s="1"/>
  <c r="J768"/>
  <c r="K750"/>
  <c r="L758"/>
  <c r="J760"/>
  <c r="K761" s="1"/>
  <c r="M756"/>
  <c r="L751"/>
  <c r="K754"/>
  <c r="M754" s="1"/>
  <c r="M751" s="1"/>
  <c r="J753"/>
  <c r="K745"/>
  <c r="L748"/>
  <c r="L745" s="1"/>
  <c r="M746"/>
  <c r="K728"/>
  <c r="M741"/>
  <c r="M739"/>
  <c r="M737"/>
  <c r="M735"/>
  <c r="L743" s="1"/>
  <c r="M733"/>
  <c r="M731"/>
  <c r="M729"/>
  <c r="K694"/>
  <c r="L721"/>
  <c r="J723"/>
  <c r="K724" s="1"/>
  <c r="L695"/>
  <c r="J718"/>
  <c r="J717"/>
  <c r="J716"/>
  <c r="J715"/>
  <c r="J714"/>
  <c r="J713"/>
  <c r="J712"/>
  <c r="J711"/>
  <c r="J710"/>
  <c r="J709"/>
  <c r="J708"/>
  <c r="J707"/>
  <c r="J706"/>
  <c r="J705"/>
  <c r="J704"/>
  <c r="J703"/>
  <c r="J702"/>
  <c r="J701"/>
  <c r="J700"/>
  <c r="J699"/>
  <c r="J698"/>
  <c r="J697"/>
  <c r="K719" s="1"/>
  <c r="K316"/>
  <c r="K614"/>
  <c r="L675"/>
  <c r="J686"/>
  <c r="J685"/>
  <c r="J684"/>
  <c r="J683"/>
  <c r="J682"/>
  <c r="J681"/>
  <c r="J680"/>
  <c r="J679"/>
  <c r="K687" s="1"/>
  <c r="J678"/>
  <c r="J677"/>
  <c r="L669"/>
  <c r="J672"/>
  <c r="J671"/>
  <c r="K673" s="1"/>
  <c r="L663"/>
  <c r="J666"/>
  <c r="J665"/>
  <c r="K667" s="1"/>
  <c r="L657"/>
  <c r="J660"/>
  <c r="J659"/>
  <c r="K661" s="1"/>
  <c r="L651"/>
  <c r="K655"/>
  <c r="M655" s="1"/>
  <c r="M651" s="1"/>
  <c r="J654"/>
  <c r="J653"/>
  <c r="L645"/>
  <c r="J648"/>
  <c r="J647"/>
  <c r="K649" s="1"/>
  <c r="L639"/>
  <c r="J642"/>
  <c r="J641"/>
  <c r="K643" s="1"/>
  <c r="L629"/>
  <c r="J636"/>
  <c r="J635"/>
  <c r="J634"/>
  <c r="J633"/>
  <c r="J632"/>
  <c r="J631"/>
  <c r="K637" s="1"/>
  <c r="L622"/>
  <c r="K627"/>
  <c r="M627" s="1"/>
  <c r="M622" s="1"/>
  <c r="J626"/>
  <c r="J625"/>
  <c r="J624"/>
  <c r="L615"/>
  <c r="K620"/>
  <c r="M620" s="1"/>
  <c r="M615" s="1"/>
  <c r="J619"/>
  <c r="J618"/>
  <c r="J617"/>
  <c r="K579"/>
  <c r="L607"/>
  <c r="J609"/>
  <c r="K610" s="1"/>
  <c r="L602"/>
  <c r="J604"/>
  <c r="K605" s="1"/>
  <c r="L597"/>
  <c r="J599"/>
  <c r="K600" s="1"/>
  <c r="L591"/>
  <c r="J594"/>
  <c r="J593"/>
  <c r="K595" s="1"/>
  <c r="L586"/>
  <c r="K586"/>
  <c r="K589"/>
  <c r="M589" s="1"/>
  <c r="M586" s="1"/>
  <c r="J588"/>
  <c r="L581"/>
  <c r="K584"/>
  <c r="M584" s="1"/>
  <c r="M581" s="1"/>
  <c r="J583"/>
  <c r="K563"/>
  <c r="M575"/>
  <c r="M573"/>
  <c r="M571"/>
  <c r="M569"/>
  <c r="M567"/>
  <c r="M565"/>
  <c r="L577" s="1"/>
  <c r="K558"/>
  <c r="M559"/>
  <c r="L561" s="1"/>
  <c r="K549"/>
  <c r="L550"/>
  <c r="K554"/>
  <c r="M554" s="1"/>
  <c r="M550" s="1"/>
  <c r="L556" s="1"/>
  <c r="J553"/>
  <c r="J552"/>
  <c r="K491"/>
  <c r="L542"/>
  <c r="K545"/>
  <c r="M545" s="1"/>
  <c r="M542" s="1"/>
  <c r="J544"/>
  <c r="L537"/>
  <c r="J539"/>
  <c r="K540" s="1"/>
  <c r="L532"/>
  <c r="K535"/>
  <c r="M535" s="1"/>
  <c r="M532" s="1"/>
  <c r="J534"/>
  <c r="L527"/>
  <c r="J529"/>
  <c r="K530" s="1"/>
  <c r="L522"/>
  <c r="K525"/>
  <c r="M525" s="1"/>
  <c r="M522" s="1"/>
  <c r="J524"/>
  <c r="L517"/>
  <c r="J519"/>
  <c r="K520" s="1"/>
  <c r="L512"/>
  <c r="K515"/>
  <c r="M515" s="1"/>
  <c r="M512" s="1"/>
  <c r="J514"/>
  <c r="L507"/>
  <c r="J509"/>
  <c r="K510" s="1"/>
  <c r="L502"/>
  <c r="K505"/>
  <c r="M505" s="1"/>
  <c r="M502" s="1"/>
  <c r="J504"/>
  <c r="L497"/>
  <c r="J499"/>
  <c r="K500" s="1"/>
  <c r="L492"/>
  <c r="K495"/>
  <c r="M495" s="1"/>
  <c r="M492" s="1"/>
  <c r="J494"/>
  <c r="K483"/>
  <c r="L484"/>
  <c r="J486"/>
  <c r="K487" s="1"/>
  <c r="K317"/>
  <c r="L476"/>
  <c r="J478"/>
  <c r="K479" s="1"/>
  <c r="L471"/>
  <c r="K474"/>
  <c r="M474" s="1"/>
  <c r="M471" s="1"/>
  <c r="J473"/>
  <c r="L466"/>
  <c r="J468"/>
  <c r="K469" s="1"/>
  <c r="L461"/>
  <c r="K464"/>
  <c r="M464" s="1"/>
  <c r="M461" s="1"/>
  <c r="J463"/>
  <c r="L456"/>
  <c r="J458"/>
  <c r="K459" s="1"/>
  <c r="L451"/>
  <c r="K454"/>
  <c r="M454" s="1"/>
  <c r="M451" s="1"/>
  <c r="J453"/>
  <c r="L446"/>
  <c r="J448"/>
  <c r="K449" s="1"/>
  <c r="L441"/>
  <c r="K444"/>
  <c r="M444" s="1"/>
  <c r="M441" s="1"/>
  <c r="J443"/>
  <c r="L436"/>
  <c r="J438"/>
  <c r="K439" s="1"/>
  <c r="L431"/>
  <c r="K434"/>
  <c r="M434" s="1"/>
  <c r="M431" s="1"/>
  <c r="J433"/>
  <c r="L426"/>
  <c r="J428"/>
  <c r="K429" s="1"/>
  <c r="L421"/>
  <c r="K424"/>
  <c r="M424" s="1"/>
  <c r="M421" s="1"/>
  <c r="J423"/>
  <c r="L416"/>
  <c r="J418"/>
  <c r="K419" s="1"/>
  <c r="L411"/>
  <c r="K414"/>
  <c r="M414" s="1"/>
  <c r="M411" s="1"/>
  <c r="J413"/>
  <c r="L406"/>
  <c r="J408"/>
  <c r="K409" s="1"/>
  <c r="L401"/>
  <c r="K404"/>
  <c r="M404" s="1"/>
  <c r="M401" s="1"/>
  <c r="J403"/>
  <c r="L396"/>
  <c r="J398"/>
  <c r="K399" s="1"/>
  <c r="L391"/>
  <c r="K394"/>
  <c r="M394" s="1"/>
  <c r="M391" s="1"/>
  <c r="J393"/>
  <c r="L386"/>
  <c r="J388"/>
  <c r="K389" s="1"/>
  <c r="L381"/>
  <c r="K384"/>
  <c r="M384" s="1"/>
  <c r="M381" s="1"/>
  <c r="J383"/>
  <c r="L375"/>
  <c r="J378"/>
  <c r="J377"/>
  <c r="K379" s="1"/>
  <c r="L370"/>
  <c r="M373"/>
  <c r="M370" s="1"/>
  <c r="K373"/>
  <c r="K370" s="1"/>
  <c r="J372"/>
  <c r="L365"/>
  <c r="J367"/>
  <c r="K368" s="1"/>
  <c r="L360"/>
  <c r="M363"/>
  <c r="M360" s="1"/>
  <c r="K363"/>
  <c r="K360" s="1"/>
  <c r="J362"/>
  <c r="L355"/>
  <c r="J357"/>
  <c r="K358" s="1"/>
  <c r="L350"/>
  <c r="M353"/>
  <c r="M350" s="1"/>
  <c r="K353"/>
  <c r="K350" s="1"/>
  <c r="J352"/>
  <c r="L345"/>
  <c r="J347"/>
  <c r="K348" s="1"/>
  <c r="L340"/>
  <c r="J342"/>
  <c r="K343" s="1"/>
  <c r="K340" s="1"/>
  <c r="L335"/>
  <c r="J337"/>
  <c r="K338" s="1"/>
  <c r="L330"/>
  <c r="M333"/>
  <c r="M330" s="1"/>
  <c r="J332"/>
  <c r="K333" s="1"/>
  <c r="K330" s="1"/>
  <c r="L324"/>
  <c r="J327"/>
  <c r="J326"/>
  <c r="K328" s="1"/>
  <c r="L318"/>
  <c r="J321"/>
  <c r="J320"/>
  <c r="K322" s="1"/>
  <c r="M322" s="1"/>
  <c r="M318" s="1"/>
  <c r="K234"/>
  <c r="K286"/>
  <c r="L307"/>
  <c r="J309"/>
  <c r="K310" s="1"/>
  <c r="L299"/>
  <c r="J304"/>
  <c r="J303"/>
  <c r="J302"/>
  <c r="J301"/>
  <c r="K305" s="1"/>
  <c r="K299" s="1"/>
  <c r="L292"/>
  <c r="J296"/>
  <c r="J295"/>
  <c r="J294"/>
  <c r="K297" s="1"/>
  <c r="M297" s="1"/>
  <c r="M292" s="1"/>
  <c r="L287"/>
  <c r="J289"/>
  <c r="K290" s="1"/>
  <c r="M290" s="1"/>
  <c r="M287" s="1"/>
  <c r="K261"/>
  <c r="L276"/>
  <c r="J281"/>
  <c r="J280"/>
  <c r="J279"/>
  <c r="J278"/>
  <c r="K282" s="1"/>
  <c r="K276" s="1"/>
  <c r="L262"/>
  <c r="J273"/>
  <c r="J272"/>
  <c r="J271"/>
  <c r="J270"/>
  <c r="J269"/>
  <c r="J268"/>
  <c r="J267"/>
  <c r="J266"/>
  <c r="J265"/>
  <c r="J264"/>
  <c r="K274" s="1"/>
  <c r="M274" s="1"/>
  <c r="M262" s="1"/>
  <c r="K235"/>
  <c r="L254"/>
  <c r="K254"/>
  <c r="J256"/>
  <c r="K257" s="1"/>
  <c r="M257" s="1"/>
  <c r="M254" s="1"/>
  <c r="L249"/>
  <c r="K252"/>
  <c r="J251"/>
  <c r="L244"/>
  <c r="J246"/>
  <c r="K247" s="1"/>
  <c r="M247" s="1"/>
  <c r="M244" s="1"/>
  <c r="L236"/>
  <c r="J241"/>
  <c r="J240"/>
  <c r="J239"/>
  <c r="J238"/>
  <c r="K242" s="1"/>
  <c r="K133"/>
  <c r="K207"/>
  <c r="L224"/>
  <c r="J227"/>
  <c r="K228" s="1"/>
  <c r="J226"/>
  <c r="M222"/>
  <c r="L208"/>
  <c r="J219"/>
  <c r="J218"/>
  <c r="J217"/>
  <c r="J216"/>
  <c r="J215"/>
  <c r="J214"/>
  <c r="J213"/>
  <c r="J212"/>
  <c r="J211"/>
  <c r="J210"/>
  <c r="K181"/>
  <c r="L200"/>
  <c r="J202"/>
  <c r="K203" s="1"/>
  <c r="L193"/>
  <c r="J197"/>
  <c r="J196"/>
  <c r="J195"/>
  <c r="L187"/>
  <c r="J190"/>
  <c r="J189"/>
  <c r="K191" s="1"/>
  <c r="L182"/>
  <c r="K182"/>
  <c r="M185"/>
  <c r="M182" s="1"/>
  <c r="K185"/>
  <c r="J184"/>
  <c r="K134"/>
  <c r="L173"/>
  <c r="K177"/>
  <c r="M177" s="1"/>
  <c r="M173" s="1"/>
  <c r="J176"/>
  <c r="J175"/>
  <c r="L168"/>
  <c r="J170"/>
  <c r="K171" s="1"/>
  <c r="L163"/>
  <c r="K163"/>
  <c r="M166"/>
  <c r="M163" s="1"/>
  <c r="K166"/>
  <c r="J165"/>
  <c r="L157"/>
  <c r="J160"/>
  <c r="K161" s="1"/>
  <c r="J159"/>
  <c r="L152"/>
  <c r="J154"/>
  <c r="K155" s="1"/>
  <c r="L145"/>
  <c r="K150"/>
  <c r="M150" s="1"/>
  <c r="M145" s="1"/>
  <c r="J149"/>
  <c r="J148"/>
  <c r="J147"/>
  <c r="L135"/>
  <c r="J142"/>
  <c r="J141"/>
  <c r="J140"/>
  <c r="J139"/>
  <c r="K143" s="1"/>
  <c r="J138"/>
  <c r="J137"/>
  <c r="K121"/>
  <c r="K122"/>
  <c r="L123"/>
  <c r="J126"/>
  <c r="J125"/>
  <c r="K127" s="1"/>
  <c r="K4"/>
  <c r="K111"/>
  <c r="L112"/>
  <c r="J114"/>
  <c r="K115" s="1"/>
  <c r="K75"/>
  <c r="L101"/>
  <c r="J106"/>
  <c r="J105"/>
  <c r="J104"/>
  <c r="J103"/>
  <c r="K107" s="1"/>
  <c r="L91"/>
  <c r="J98"/>
  <c r="J97"/>
  <c r="J96"/>
  <c r="J95"/>
  <c r="J94"/>
  <c r="J93"/>
  <c r="K99" s="1"/>
  <c r="L81"/>
  <c r="J88"/>
  <c r="J87"/>
  <c r="J86"/>
  <c r="J85"/>
  <c r="J84"/>
  <c r="J83"/>
  <c r="K89" s="1"/>
  <c r="L76"/>
  <c r="M79"/>
  <c r="M76" s="1"/>
  <c r="K79"/>
  <c r="K76" s="1"/>
  <c r="J78"/>
  <c r="K42"/>
  <c r="M71"/>
  <c r="M69"/>
  <c r="M67"/>
  <c r="M65"/>
  <c r="M63"/>
  <c r="M61"/>
  <c r="M59"/>
  <c r="M57"/>
  <c r="M55"/>
  <c r="L43"/>
  <c r="J52"/>
  <c r="J51"/>
  <c r="J50"/>
  <c r="J49"/>
  <c r="J48"/>
  <c r="J47"/>
  <c r="J46"/>
  <c r="J45"/>
  <c r="K53" s="1"/>
  <c r="K6"/>
  <c r="L35"/>
  <c r="J37"/>
  <c r="K38" s="1"/>
  <c r="L30"/>
  <c r="M33"/>
  <c r="M30" s="1"/>
  <c r="K33"/>
  <c r="K30" s="1"/>
  <c r="J32"/>
  <c r="L23"/>
  <c r="J27"/>
  <c r="J26"/>
  <c r="J25"/>
  <c r="K28" s="1"/>
  <c r="L17"/>
  <c r="J20"/>
  <c r="J19"/>
  <c r="K21" s="1"/>
  <c r="L12"/>
  <c r="K12"/>
  <c r="M15"/>
  <c r="M12" s="1"/>
  <c r="K15"/>
  <c r="L7"/>
  <c r="K7"/>
  <c r="M10"/>
  <c r="M7" s="1"/>
  <c r="K10"/>
  <c r="K35" l="1"/>
  <c r="M38"/>
  <c r="M35" s="1"/>
  <c r="M155"/>
  <c r="M152" s="1"/>
  <c r="K152"/>
  <c r="K81"/>
  <c r="M89"/>
  <c r="M81" s="1"/>
  <c r="K112"/>
  <c r="M115"/>
  <c r="M112" s="1"/>
  <c r="L117" s="1"/>
  <c r="M127"/>
  <c r="M123" s="1"/>
  <c r="L129" s="1"/>
  <c r="K123"/>
  <c r="K157"/>
  <c r="M161"/>
  <c r="M157" s="1"/>
  <c r="M242"/>
  <c r="M236" s="1"/>
  <c r="K236"/>
  <c r="M53"/>
  <c r="M43" s="1"/>
  <c r="L73" s="1"/>
  <c r="K43"/>
  <c r="M21"/>
  <c r="M17" s="1"/>
  <c r="L40" s="1"/>
  <c r="K17"/>
  <c r="M99"/>
  <c r="M91" s="1"/>
  <c r="L109" s="1"/>
  <c r="K91"/>
  <c r="M143"/>
  <c r="M135" s="1"/>
  <c r="K135"/>
  <c r="K168"/>
  <c r="M171"/>
  <c r="M168" s="1"/>
  <c r="M191"/>
  <c r="M187" s="1"/>
  <c r="K187"/>
  <c r="M28"/>
  <c r="M23" s="1"/>
  <c r="K23"/>
  <c r="M107"/>
  <c r="M101" s="1"/>
  <c r="K101"/>
  <c r="M310"/>
  <c r="M307" s="1"/>
  <c r="K307"/>
  <c r="M348"/>
  <c r="M345" s="1"/>
  <c r="K345"/>
  <c r="M389"/>
  <c r="M386" s="1"/>
  <c r="K386"/>
  <c r="M429"/>
  <c r="M426" s="1"/>
  <c r="K426"/>
  <c r="M520"/>
  <c r="M517" s="1"/>
  <c r="K517"/>
  <c r="M338"/>
  <c r="M335" s="1"/>
  <c r="K335"/>
  <c r="M419"/>
  <c r="M416" s="1"/>
  <c r="K416"/>
  <c r="M459"/>
  <c r="M456" s="1"/>
  <c r="K456"/>
  <c r="M510"/>
  <c r="M507" s="1"/>
  <c r="K507"/>
  <c r="L563"/>
  <c r="M577"/>
  <c r="M563" s="1"/>
  <c r="M649"/>
  <c r="M645" s="1"/>
  <c r="K645"/>
  <c r="K721"/>
  <c r="M724"/>
  <c r="M721" s="1"/>
  <c r="M863"/>
  <c r="M859" s="1"/>
  <c r="K859"/>
  <c r="M960"/>
  <c r="M956" s="1"/>
  <c r="K956"/>
  <c r="M987"/>
  <c r="M983" s="1"/>
  <c r="K983"/>
  <c r="M997"/>
  <c r="M994" s="1"/>
  <c r="K994"/>
  <c r="M1007"/>
  <c r="M1004" s="1"/>
  <c r="K1004"/>
  <c r="M1017"/>
  <c r="M1014" s="1"/>
  <c r="K1014"/>
  <c r="M1027"/>
  <c r="M1024" s="1"/>
  <c r="K1024"/>
  <c r="K1052"/>
  <c r="M1057"/>
  <c r="M1052" s="1"/>
  <c r="M1063"/>
  <c r="M1059" s="1"/>
  <c r="K1059"/>
  <c r="M1132"/>
  <c r="M1126" s="1"/>
  <c r="K1126"/>
  <c r="M1314"/>
  <c r="M1311" s="1"/>
  <c r="K1311"/>
  <c r="M1324"/>
  <c r="M1319" s="1"/>
  <c r="K1319"/>
  <c r="M1335"/>
  <c r="M1326" s="1"/>
  <c r="K1326"/>
  <c r="M1349"/>
  <c r="M1345" s="1"/>
  <c r="K1345"/>
  <c r="M1440"/>
  <c r="M1430" s="1"/>
  <c r="K1430"/>
  <c r="K1490"/>
  <c r="M1493"/>
  <c r="M1490" s="1"/>
  <c r="K1498"/>
  <c r="M1510"/>
  <c r="M1498" s="1"/>
  <c r="M1550"/>
  <c r="M1533" s="1"/>
  <c r="K1533"/>
  <c r="M1577"/>
  <c r="M1572" s="1"/>
  <c r="K1572"/>
  <c r="M1585"/>
  <c r="M1579" s="1"/>
  <c r="K1579"/>
  <c r="M1676"/>
  <c r="M1670" s="1"/>
  <c r="K1670"/>
  <c r="M1873"/>
  <c r="M1868" s="1"/>
  <c r="K1868"/>
  <c r="K220"/>
  <c r="K145"/>
  <c r="K173"/>
  <c r="K198"/>
  <c r="K262"/>
  <c r="K287"/>
  <c r="K318"/>
  <c r="M358"/>
  <c r="M355" s="1"/>
  <c r="K355"/>
  <c r="M379"/>
  <c r="M375" s="1"/>
  <c r="K375"/>
  <c r="M409"/>
  <c r="M406" s="1"/>
  <c r="K406"/>
  <c r="M449"/>
  <c r="M446" s="1"/>
  <c r="K446"/>
  <c r="M500"/>
  <c r="M497" s="1"/>
  <c r="L547" s="1"/>
  <c r="K497"/>
  <c r="M540"/>
  <c r="M537" s="1"/>
  <c r="K537"/>
  <c r="M556"/>
  <c r="M549" s="1"/>
  <c r="L549"/>
  <c r="M605"/>
  <c r="M602" s="1"/>
  <c r="K602"/>
  <c r="K657"/>
  <c r="M661"/>
  <c r="M657" s="1"/>
  <c r="K962"/>
  <c r="M965"/>
  <c r="M962" s="1"/>
  <c r="M1124"/>
  <c r="M1118" s="1"/>
  <c r="K1118"/>
  <c r="M1142"/>
  <c r="M1139" s="1"/>
  <c r="K1139"/>
  <c r="M1152"/>
  <c r="M1149" s="1"/>
  <c r="K1149"/>
  <c r="M1162"/>
  <c r="M1159" s="1"/>
  <c r="K1159"/>
  <c r="M1172"/>
  <c r="M1169" s="1"/>
  <c r="K1169"/>
  <c r="L1185"/>
  <c r="M1203"/>
  <c r="M1185" s="1"/>
  <c r="M1283"/>
  <c r="M1259" s="1"/>
  <c r="K1259"/>
  <c r="M1304"/>
  <c r="M1300" s="1"/>
  <c r="K1300"/>
  <c r="K1337"/>
  <c r="M1343"/>
  <c r="M1337" s="1"/>
  <c r="M1393"/>
  <c r="M1382" s="1"/>
  <c r="K1382"/>
  <c r="K1409"/>
  <c r="M1412"/>
  <c r="M1409" s="1"/>
  <c r="L1414" s="1"/>
  <c r="M1465"/>
  <c r="M1456" s="1"/>
  <c r="L1456"/>
  <c r="K1607"/>
  <c r="M1626"/>
  <c r="M1607" s="1"/>
  <c r="M1668"/>
  <c r="M1660" s="1"/>
  <c r="K1660"/>
  <c r="M1697"/>
  <c r="M1694" s="1"/>
  <c r="K1694"/>
  <c r="M1719"/>
  <c r="M1713" s="1"/>
  <c r="K1713"/>
  <c r="M1767"/>
  <c r="M1757" s="1"/>
  <c r="K1757"/>
  <c r="M1796"/>
  <c r="M1791" s="1"/>
  <c r="K1791"/>
  <c r="K1798"/>
  <c r="M1801"/>
  <c r="M1798" s="1"/>
  <c r="M1857"/>
  <c r="M1852" s="1"/>
  <c r="L1875" s="1"/>
  <c r="K1852"/>
  <c r="K244"/>
  <c r="M305"/>
  <c r="M299" s="1"/>
  <c r="L312" s="1"/>
  <c r="M343"/>
  <c r="M340" s="1"/>
  <c r="M203"/>
  <c r="M200" s="1"/>
  <c r="K200"/>
  <c r="M228"/>
  <c r="M224" s="1"/>
  <c r="K224"/>
  <c r="M252"/>
  <c r="M249" s="1"/>
  <c r="K249"/>
  <c r="M328"/>
  <c r="M324" s="1"/>
  <c r="K324"/>
  <c r="M399"/>
  <c r="M396" s="1"/>
  <c r="K396"/>
  <c r="M439"/>
  <c r="M436" s="1"/>
  <c r="K436"/>
  <c r="M479"/>
  <c r="M476" s="1"/>
  <c r="K476"/>
  <c r="M530"/>
  <c r="M527" s="1"/>
  <c r="K527"/>
  <c r="L558"/>
  <c r="M561"/>
  <c r="M558" s="1"/>
  <c r="M595"/>
  <c r="M591" s="1"/>
  <c r="L612" s="1"/>
  <c r="K591"/>
  <c r="K629"/>
  <c r="M637"/>
  <c r="M629" s="1"/>
  <c r="L689" s="1"/>
  <c r="M667"/>
  <c r="M663" s="1"/>
  <c r="K663"/>
  <c r="M687"/>
  <c r="M675" s="1"/>
  <c r="K675"/>
  <c r="M743"/>
  <c r="M728" s="1"/>
  <c r="L728"/>
  <c r="K758"/>
  <c r="M761"/>
  <c r="M758" s="1"/>
  <c r="L763" s="1"/>
  <c r="L765"/>
  <c r="M771"/>
  <c r="M765" s="1"/>
  <c r="M801"/>
  <c r="M774" s="1"/>
  <c r="L803" s="1"/>
  <c r="K774"/>
  <c r="M817"/>
  <c r="M808" s="1"/>
  <c r="L808"/>
  <c r="M845"/>
  <c r="M841" s="1"/>
  <c r="K841"/>
  <c r="M924"/>
  <c r="M920" s="1"/>
  <c r="K920"/>
  <c r="K989"/>
  <c r="M992"/>
  <c r="M989" s="1"/>
  <c r="K999"/>
  <c r="M1002"/>
  <c r="M999" s="1"/>
  <c r="K1009"/>
  <c r="M1012"/>
  <c r="M1009" s="1"/>
  <c r="K1019"/>
  <c r="M1022"/>
  <c r="M1019" s="1"/>
  <c r="K1029"/>
  <c r="M1032"/>
  <c r="M1029" s="1"/>
  <c r="K1039"/>
  <c r="M1042"/>
  <c r="M1039" s="1"/>
  <c r="K1083"/>
  <c r="M1086"/>
  <c r="M1083" s="1"/>
  <c r="L1090" s="1"/>
  <c r="L1092"/>
  <c r="M1109"/>
  <c r="M1092" s="1"/>
  <c r="M1234"/>
  <c r="M1226" s="1"/>
  <c r="K1226"/>
  <c r="K1306"/>
  <c r="M1309"/>
  <c r="M1306" s="1"/>
  <c r="M1480"/>
  <c r="M1471" s="1"/>
  <c r="L1482" s="1"/>
  <c r="K1471"/>
  <c r="M1488"/>
  <c r="M1485" s="1"/>
  <c r="L1495" s="1"/>
  <c r="K1485"/>
  <c r="M1531"/>
  <c r="M1512" s="1"/>
  <c r="K1512"/>
  <c r="M1567"/>
  <c r="M1556" s="1"/>
  <c r="L1569" s="1"/>
  <c r="K1556"/>
  <c r="M1651"/>
  <c r="M1643" s="1"/>
  <c r="L1683" s="1"/>
  <c r="K1643"/>
  <c r="M1755"/>
  <c r="M1749" s="1"/>
  <c r="K1749"/>
  <c r="L1877"/>
  <c r="M1884"/>
  <c r="M1877" s="1"/>
  <c r="L1888"/>
  <c r="M1893"/>
  <c r="M1888" s="1"/>
  <c r="M282"/>
  <c r="M276" s="1"/>
  <c r="L284" s="1"/>
  <c r="L851"/>
  <c r="M368"/>
  <c r="M365" s="1"/>
  <c r="K365"/>
  <c r="M469"/>
  <c r="M466" s="1"/>
  <c r="L481" s="1"/>
  <c r="K466"/>
  <c r="M487"/>
  <c r="M484" s="1"/>
  <c r="L489" s="1"/>
  <c r="K484"/>
  <c r="K597"/>
  <c r="M600"/>
  <c r="M597" s="1"/>
  <c r="K607"/>
  <c r="M610"/>
  <c r="M607" s="1"/>
  <c r="M643"/>
  <c r="M639" s="1"/>
  <c r="K639"/>
  <c r="M673"/>
  <c r="M669" s="1"/>
  <c r="K669"/>
  <c r="M719"/>
  <c r="M695" s="1"/>
  <c r="L726" s="1"/>
  <c r="K695"/>
  <c r="M918"/>
  <c r="M912" s="1"/>
  <c r="K912"/>
  <c r="M970"/>
  <c r="M967" s="1"/>
  <c r="K967"/>
  <c r="K1046"/>
  <c r="M1050"/>
  <c r="M1046" s="1"/>
  <c r="K1134"/>
  <c r="M1137"/>
  <c r="M1134" s="1"/>
  <c r="K1144"/>
  <c r="M1147"/>
  <c r="M1144" s="1"/>
  <c r="K1154"/>
  <c r="M1157"/>
  <c r="M1154" s="1"/>
  <c r="K1164"/>
  <c r="M1167"/>
  <c r="M1164" s="1"/>
  <c r="K1174"/>
  <c r="M1177"/>
  <c r="M1174" s="1"/>
  <c r="M1224"/>
  <c r="M1209" s="1"/>
  <c r="K1209"/>
  <c r="M1257"/>
  <c r="M1236" s="1"/>
  <c r="K1236"/>
  <c r="M1380"/>
  <c r="M1360" s="1"/>
  <c r="L1395" s="1"/>
  <c r="K1360"/>
  <c r="M1404"/>
  <c r="M1398" s="1"/>
  <c r="L1406" s="1"/>
  <c r="K1398"/>
  <c r="M1427"/>
  <c r="M1419" s="1"/>
  <c r="L1419"/>
  <c r="K1442"/>
  <c r="M1452"/>
  <c r="M1442" s="1"/>
  <c r="M1591"/>
  <c r="M1587" s="1"/>
  <c r="K1587"/>
  <c r="K1628"/>
  <c r="M1633"/>
  <c r="M1628" s="1"/>
  <c r="M1658"/>
  <c r="M1653" s="1"/>
  <c r="K1653"/>
  <c r="K1678"/>
  <c r="M1681"/>
  <c r="M1678" s="1"/>
  <c r="K1689"/>
  <c r="M1692"/>
  <c r="M1689" s="1"/>
  <c r="L1704" s="1"/>
  <c r="K1699"/>
  <c r="M1702"/>
  <c r="M1699" s="1"/>
  <c r="M1732"/>
  <c r="M1729" s="1"/>
  <c r="L1734" s="1"/>
  <c r="K1729"/>
  <c r="M1747"/>
  <c r="M1741" s="1"/>
  <c r="K1741"/>
  <c r="M1774"/>
  <c r="M1769" s="1"/>
  <c r="K1769"/>
  <c r="M1786"/>
  <c r="M1780" s="1"/>
  <c r="L1788" s="1"/>
  <c r="K1780"/>
  <c r="M1806"/>
  <c r="M1803" s="1"/>
  <c r="K1803"/>
  <c r="M1846"/>
  <c r="M1813" s="1"/>
  <c r="L1848" s="1"/>
  <c r="L1813"/>
  <c r="K292"/>
  <c r="L949"/>
  <c r="L1080"/>
  <c r="L1726"/>
  <c r="M748"/>
  <c r="M745" s="1"/>
  <c r="K381"/>
  <c r="K391"/>
  <c r="K401"/>
  <c r="K411"/>
  <c r="K421"/>
  <c r="K431"/>
  <c r="K441"/>
  <c r="K451"/>
  <c r="K461"/>
  <c r="K471"/>
  <c r="K492"/>
  <c r="K502"/>
  <c r="K512"/>
  <c r="K522"/>
  <c r="K532"/>
  <c r="K542"/>
  <c r="K550"/>
  <c r="K581"/>
  <c r="K615"/>
  <c r="K622"/>
  <c r="K651"/>
  <c r="K751"/>
  <c r="K832"/>
  <c r="K867"/>
  <c r="K876"/>
  <c r="K886"/>
  <c r="K905"/>
  <c r="K926"/>
  <c r="K937"/>
  <c r="K972"/>
  <c r="K1065"/>
  <c r="K1075"/>
  <c r="K1186"/>
  <c r="K1191"/>
  <c r="K1290"/>
  <c r="K1351"/>
  <c r="K1421"/>
  <c r="K1598"/>
  <c r="K1861"/>
  <c r="M763" l="1"/>
  <c r="M750" s="1"/>
  <c r="L750"/>
  <c r="L317"/>
  <c r="M481"/>
  <c r="M317" s="1"/>
  <c r="M284"/>
  <c r="M261" s="1"/>
  <c r="L261"/>
  <c r="M1683"/>
  <c r="M1637" s="1"/>
  <c r="L1637"/>
  <c r="M40"/>
  <c r="M6" s="1"/>
  <c r="L6"/>
  <c r="M689"/>
  <c r="M614" s="1"/>
  <c r="L614"/>
  <c r="M547"/>
  <c r="M491" s="1"/>
  <c r="L491"/>
  <c r="M612"/>
  <c r="M579" s="1"/>
  <c r="L579"/>
  <c r="L286"/>
  <c r="M312"/>
  <c r="M286" s="1"/>
  <c r="M109"/>
  <c r="M75" s="1"/>
  <c r="L75"/>
  <c r="L1706"/>
  <c r="M1726"/>
  <c r="M1706" s="1"/>
  <c r="M851"/>
  <c r="M819" s="1"/>
  <c r="L819"/>
  <c r="M1569"/>
  <c r="M1554" s="1"/>
  <c r="L1554"/>
  <c r="M1495"/>
  <c r="M1484" s="1"/>
  <c r="L1484"/>
  <c r="M1414"/>
  <c r="M1408" s="1"/>
  <c r="L1408"/>
  <c r="M129"/>
  <c r="M122" s="1"/>
  <c r="L131" s="1"/>
  <c r="L122"/>
  <c r="L1635"/>
  <c r="L1356"/>
  <c r="L1034"/>
  <c r="L179"/>
  <c r="L259"/>
  <c r="L1728"/>
  <c r="M1734"/>
  <c r="M1728" s="1"/>
  <c r="L1358"/>
  <c r="M1395"/>
  <c r="M1358" s="1"/>
  <c r="L483"/>
  <c r="M489"/>
  <c r="M483" s="1"/>
  <c r="L1851"/>
  <c r="M1875"/>
  <c r="M1851" s="1"/>
  <c r="L1886" s="1"/>
  <c r="L1316"/>
  <c r="L1808"/>
  <c r="M949"/>
  <c r="M853" s="1"/>
  <c r="L853"/>
  <c r="M1704"/>
  <c r="M1688" s="1"/>
  <c r="L1688"/>
  <c r="L1470"/>
  <c r="M1482"/>
  <c r="M1470" s="1"/>
  <c r="L773"/>
  <c r="M803"/>
  <c r="M773" s="1"/>
  <c r="M198"/>
  <c r="M193" s="1"/>
  <c r="L205" s="1"/>
  <c r="K193"/>
  <c r="M220"/>
  <c r="M208" s="1"/>
  <c r="L230" s="1"/>
  <c r="K208"/>
  <c r="M73"/>
  <c r="M42" s="1"/>
  <c r="L42"/>
  <c r="L1603"/>
  <c r="L1454"/>
  <c r="M1080"/>
  <c r="M1036" s="1"/>
  <c r="L1036"/>
  <c r="M1848"/>
  <c r="M1812" s="1"/>
  <c r="L1812"/>
  <c r="M1788"/>
  <c r="M1778" s="1"/>
  <c r="L1778"/>
  <c r="M1406"/>
  <c r="M1397" s="1"/>
  <c r="L1397"/>
  <c r="M726"/>
  <c r="M694" s="1"/>
  <c r="L805" s="1"/>
  <c r="L694"/>
  <c r="M1090"/>
  <c r="M1082" s="1"/>
  <c r="L1082"/>
  <c r="L111"/>
  <c r="M117"/>
  <c r="M111" s="1"/>
  <c r="L1776"/>
  <c r="L1183"/>
  <c r="L1552"/>
  <c r="L693" l="1"/>
  <c r="M805"/>
  <c r="M693" s="1"/>
  <c r="L1850"/>
  <c r="M1886"/>
  <c r="M1850" s="1"/>
  <c r="L235"/>
  <c r="M259"/>
  <c r="M235" s="1"/>
  <c r="L314" s="1"/>
  <c r="M131"/>
  <c r="M121" s="1"/>
  <c r="L121"/>
  <c r="L1739"/>
  <c r="M1776"/>
  <c r="M1739" s="1"/>
  <c r="L207"/>
  <c r="M230"/>
  <c r="M207" s="1"/>
  <c r="M1034"/>
  <c r="M951" s="1"/>
  <c r="L1205" s="1"/>
  <c r="L951"/>
  <c r="L1117"/>
  <c r="M1183"/>
  <c r="M1117" s="1"/>
  <c r="M1454"/>
  <c r="M1429" s="1"/>
  <c r="L1467" s="1"/>
  <c r="L1429"/>
  <c r="L1790"/>
  <c r="M1808"/>
  <c r="M1790" s="1"/>
  <c r="L134"/>
  <c r="M179"/>
  <c r="M134" s="1"/>
  <c r="L1736"/>
  <c r="L119"/>
  <c r="L1497"/>
  <c r="M1552"/>
  <c r="M1497" s="1"/>
  <c r="L1685" s="1"/>
  <c r="L181"/>
  <c r="M205"/>
  <c r="M181" s="1"/>
  <c r="M1635"/>
  <c r="M1605" s="1"/>
  <c r="L1605"/>
  <c r="M1356"/>
  <c r="M1318" s="1"/>
  <c r="L1318"/>
  <c r="M1603"/>
  <c r="M1571" s="1"/>
  <c r="L1571"/>
  <c r="L1208"/>
  <c r="M1316"/>
  <c r="M1208" s="1"/>
  <c r="L691"/>
  <c r="M1685" l="1"/>
  <c r="M1469" s="1"/>
  <c r="L1469"/>
  <c r="M1205"/>
  <c r="M807" s="1"/>
  <c r="L807"/>
  <c r="L1687"/>
  <c r="M1736"/>
  <c r="M1687" s="1"/>
  <c r="L4"/>
  <c r="M119"/>
  <c r="M4" s="1"/>
  <c r="L1418"/>
  <c r="M1467"/>
  <c r="M1418" s="1"/>
  <c r="L316"/>
  <c r="M691"/>
  <c r="M316" s="1"/>
  <c r="L234"/>
  <c r="M314"/>
  <c r="M234" s="1"/>
  <c r="L1416"/>
  <c r="L232"/>
  <c r="L1810"/>
  <c r="M1416" l="1"/>
  <c r="M1207" s="1"/>
  <c r="L1207"/>
  <c r="L133"/>
  <c r="M232"/>
  <c r="M133" s="1"/>
  <c r="L1738"/>
  <c r="M1810"/>
  <c r="M1738" s="1"/>
  <c r="L1895" s="1"/>
  <c r="M1895" s="1"/>
</calcChain>
</file>

<file path=xl/comments1.xml><?xml version="1.0" encoding="utf-8"?>
<comments xmlns="http://schemas.openxmlformats.org/spreadsheetml/2006/main">
  <authors>
    <author>EeG 2</author>
  </authors>
  <commentList>
    <comment ref="A3" authorId="0">
      <text>
        <r>
          <rPr>
            <b/>
            <sz val="11"/>
            <color indexed="81"/>
            <rFont val="Tahoma"/>
            <family val="2"/>
          </rPr>
          <t>Código único que identifica el concepto. Ver colores en "Entorno de trabajo: Apariencia"
Es el primer campo que hay que rellenar para crear un concepto.
Al escribir un código:
•	Si no existe en la obra, se crea un concepto nuevo
•	Si ya figura en otro lugar de la obra, se inserta también bajo el concepto superior
•	Si deriva de un concepto paramétrico, se inserta el concepto derivado
Es sensible a la opción "Archivo: Entorno de trabajo: Generales: Aceptar códigos en minúsculas"</t>
        </r>
      </text>
    </comment>
    <comment ref="B3" authorId="0">
      <text>
        <r>
          <rPr>
            <b/>
            <sz val="11"/>
            <color indexed="81"/>
            <rFont val="Tahoma"/>
            <family val="2"/>
          </rPr>
          <t>Naturaleza del concepto o de la entidad (ver menú contextual)</t>
        </r>
      </text>
    </comment>
    <comment ref="C3" authorId="0">
      <text>
        <r>
          <rPr>
            <b/>
            <sz val="11"/>
            <color indexed="81"/>
            <rFont val="Tahoma"/>
            <family val="2"/>
          </rPr>
          <t>Unidad de medida a la que se refiere el precio unitario
Las unidades de tiempo de la maquinaria y la mano de obra afectan a los cálculos de duraciones y recursos
D*, d*: Dias x Horas laborables del día (Obra.CalcDurLab)
S*, s*, W*, w*: Semanas x 5 días
M*, m*: Meses x Días laborables del mes (Obra.CalcDurMes)
A*, a*, Y*, y*: Años x 12</t>
        </r>
      </text>
    </comment>
    <comment ref="D3" authorId="0">
      <text>
        <r>
          <rPr>
            <b/>
            <sz val="11"/>
            <color indexed="81"/>
            <rFont val="Tahoma"/>
            <family val="2"/>
          </rPr>
          <t>Texto breve que facilita la visualización, la búsqueda y la impresión del concepto en lugar del texto
El color corresponde al estado, que se modifica con el menú contextual, actualizándose la fecha del color correspondiente</t>
        </r>
      </text>
    </comment>
    <comment ref="E3" authorId="0">
      <text>
        <r>
          <rPr>
            <b/>
            <sz val="11"/>
            <color indexed="81"/>
            <rFont val="Tahoma"/>
            <family val="2"/>
          </rPr>
          <t>Descripción corta de la línea de medición</t>
        </r>
      </text>
    </comment>
    <comment ref="F3" authorId="0">
      <text>
        <r>
          <rPr>
            <b/>
            <sz val="11"/>
            <color indexed="81"/>
            <rFont val="Tahoma"/>
            <family val="2"/>
          </rPr>
          <t>Columna A: Número de unidades iguales de la línea de medición</t>
        </r>
      </text>
    </comment>
    <comment ref="G3" authorId="0">
      <text>
        <r>
          <rPr>
            <b/>
            <sz val="11"/>
            <color indexed="81"/>
            <rFont val="Tahoma"/>
            <family val="2"/>
          </rPr>
          <t>Columna B: Longitud de la línea de medición</t>
        </r>
      </text>
    </comment>
    <comment ref="H3" authorId="0">
      <text>
        <r>
          <rPr>
            <b/>
            <sz val="11"/>
            <color indexed="81"/>
            <rFont val="Tahoma"/>
            <family val="2"/>
          </rPr>
          <t>Columna C: Anchura de la línea de medición</t>
        </r>
      </text>
    </comment>
    <comment ref="I3" authorId="0">
      <text>
        <r>
          <rPr>
            <b/>
            <sz val="11"/>
            <color indexed="81"/>
            <rFont val="Tahoma"/>
            <family val="2"/>
          </rPr>
          <t>Columna D: Altura de la línea de medición</t>
        </r>
      </text>
    </comment>
    <comment ref="J3" authorId="0">
      <text>
        <r>
          <rPr>
            <b/>
            <sz val="11"/>
            <color indexed="81"/>
            <rFont val="Tahoma"/>
            <family val="2"/>
          </rPr>
          <t>Cantidad
Verde: Referencia a otra partida 
Naranja: Fórmula de medición 
Azul: Expresión 
Magenta: Calculado a partir de las dimensiones 
Negro: Introducido directamente</t>
        </r>
      </text>
    </comment>
    <comment ref="K3" authorId="0">
      <text>
        <r>
          <rPr>
            <b/>
            <sz val="11"/>
            <color indexed="81"/>
            <rFont val="Tahoma"/>
            <family val="2"/>
          </rPr>
          <t>Cantidad o rendimiento del concepto en su superior en el presupuesto
Magenta: Proviene de las líneas de medición 
Negro: Si se introduce por el usuario se retiran del presupuesto las líneas de medición, si existen
Fondo gris: Puede anularse para no tener en cuenta la cantidad del concepto en un superior determinado</t>
        </r>
      </text>
    </comment>
    <comment ref="L3" authorId="0">
      <text>
        <r>
          <rPr>
            <b/>
            <sz val="11"/>
            <color indexed="81"/>
            <rFont val="Tahoma"/>
            <family val="2"/>
          </rPr>
          <t>Precio unitario principal del concepto
Puede ser el precio del presupuesto, de venta o de oferta
Cuando se usan precios de coste y de venta el coste estimado figura en el precio objetivo "Obj"
Magenta: Calculado a partir de los conceptos inferiores, si se modifica pasa a ser bloqueado
Rojo: Bloqueado, puede ser distinto al resultante de sus inferiores
Fondo gris: Anulado, el concepto no interviene en el presupuesto
Precios.Pres
Precio asignado a la entidad que aparece en las ventanas de precios múltiples, como divisas, precios y ofertantes
Negro: Introducido por usuario
Magenta: Calculado
Fondo rosa: Valor de defecto</t>
        </r>
      </text>
    </comment>
    <comment ref="M3" authorId="0">
      <text>
        <r>
          <rPr>
            <b/>
            <sz val="11"/>
            <color indexed="81"/>
            <rFont val="Tahoma"/>
            <family val="2"/>
          </rPr>
          <t>Presupuesto vigente, suma de presupuesto inicial y modificaciones aprobadas
Incluye costes indirectos (PEM) si esta definido el porcentaje
Magenta: El producto de la cantidad por el precio del presupuesto está afectado por la producción, la dificultad, un factor, los costes indirectos o la divisa</t>
        </r>
      </text>
    </comment>
  </commentList>
</comments>
</file>

<file path=xl/sharedStrings.xml><?xml version="1.0" encoding="utf-8"?>
<sst xmlns="http://schemas.openxmlformats.org/spreadsheetml/2006/main" count="3378" uniqueCount="1556">
  <si>
    <t>Vivienda Unifamiliar</t>
  </si>
  <si>
    <t>Presupuesto</t>
  </si>
  <si>
    <t>Código</t>
  </si>
  <si>
    <t>Nat</t>
  </si>
  <si>
    <t>Ud</t>
  </si>
  <si>
    <t>Resumen</t>
  </si>
  <si>
    <t>Comentario</t>
  </si>
  <si>
    <t>N</t>
  </si>
  <si>
    <t>Longitud</t>
  </si>
  <si>
    <t>Anchura</t>
  </si>
  <si>
    <t>Altura</t>
  </si>
  <si>
    <t>Cantidad</t>
  </si>
  <si>
    <t>CanPres</t>
  </si>
  <si>
    <t>Pres</t>
  </si>
  <si>
    <t>ImpPres</t>
  </si>
  <si>
    <t>01</t>
  </si>
  <si>
    <t>Capítulo</t>
  </si>
  <si>
    <t/>
  </si>
  <si>
    <t>Acondicionamiento del terreno</t>
  </si>
  <si>
    <t>El presente presupuesto prevalecerán ante contradicción  las indicaciones y mediciones de los planos-memorias al del presente presupuesto. Para la oferta de obra deberá tenerse en cuenta esta indicación.</t>
  </si>
  <si>
    <t>01.01</t>
  </si>
  <si>
    <t>Movimiento de tierras en edificación</t>
  </si>
  <si>
    <t>01.01.01</t>
  </si>
  <si>
    <t>Partida</t>
  </si>
  <si>
    <t>m³</t>
  </si>
  <si>
    <t>Excavación de  terreno flojo</t>
  </si>
  <si>
    <t>Excavación de hasta profundidad necesaria según planos, que en todo su perímetro quedan por debajo de la rasante natural, en cualquier tipo de terreno, con medios mecánicos, y carga a camión.
Incluye: Replanteo general y fijación de los puntos y niveles de referencia. Colocación de las camillas en las esquinas y extremos de las alineaciones. Excavación en sucesivas franjas horizontales y extracción de tierras. Refinado de fondos y laterales a mano, con extracción de las tierras. Carga a camión de los materiales excavados.</t>
  </si>
  <si>
    <t>Spc0010</t>
  </si>
  <si>
    <t>urbanización posterior de la parcela</t>
  </si>
  <si>
    <t>3.20</t>
  </si>
  <si>
    <t>Total 01.01.01</t>
  </si>
  <si>
    <t>01.01.02</t>
  </si>
  <si>
    <t>Excavación de sótanos roca dura</t>
  </si>
  <si>
    <t>Excavación de sótanos de hasta profundidad necesaria según planos, que en todo su perímetro quedan por debajo de la rasante natural, en suelo de roca dura, con medios mecánicos, y carga a camión. Deberá estudiarse para presupuestar el estudio geotécnico debido a esta condición. Incluyendo todo tipo de sisitemas tanto de morteros expansivos y como de martillo percutor para la correcta ejecución de las obras posteriores.
Incluye: Replanteo general y fijación de los puntos y niveles de referencia. Colocación de las camillas en las esquinas y extremos de las alineaciones. Excavación en sucesivas franjas horizontales y extracción de tierras. Refinado de fondos y laterales a mano, con extracción de las tierras. Carga a camión de los materiales excavados.</t>
  </si>
  <si>
    <t>Excavación en roca</t>
  </si>
  <si>
    <t>3.42</t>
  </si>
  <si>
    <t>Total 01.01.02</t>
  </si>
  <si>
    <t>01.01.03</t>
  </si>
  <si>
    <t>Excavación de zanjas para instalaciones</t>
  </si>
  <si>
    <t>Excavación de zanjas para instalaciones hasta profundidad necesaria según planos, en cualquier tipo de terreno, con medios mecánicos, y carga a camión.
Incluye: Replanteo general y fijación de los puntos y niveles de referencia. Colocación de las camillas en las esquinas y extremos de las alineaciones. Excavación en sucesivas franjas horizontales y extracción de tierras. Refinado de fondos con extracción de las tierras. Carga a camión de los materiales excavados.</t>
  </si>
  <si>
    <t>abastecimiento de aguas y saneamiento hasta conexión a red gener</t>
  </si>
  <si>
    <t>electricidad desde cuadro de contadores</t>
  </si>
  <si>
    <t>Total 01.01.03</t>
  </si>
  <si>
    <t>01.01.04</t>
  </si>
  <si>
    <t>Relleno envolvente y principal de zanjas para instalaciones, con tierra seleccionada procedente de la propia excavación y compac</t>
  </si>
  <si>
    <t>Relleno envolvente y principal de zanjas para instalaciones, con tierra seleccionada procedente de la propia excavación y compactación en tongadas sucesivas de 20 cm de espesor máximo con bandeja vibrante de guiado manual, hasta alcanzar una densidad seca no inferior al 95% de la máxima obtenida en el ensayo Proctor Modificado, realizado según UNE 103501. Incluso cinta o distintivo indicador de la instalación.
Incluye: Extendido del material de relleno en tongadas de espesor uniforme. Humectación o desecación de cada tongada. Colocación de cinta o distintivo indicador de la instalación. Compactación.</t>
  </si>
  <si>
    <t>Total 01.01.04</t>
  </si>
  <si>
    <t>01.01.05</t>
  </si>
  <si>
    <t>Relleno con suelo seleccionado externo</t>
  </si>
  <si>
    <t>Relleno  compactado con suelo seleccionado procedente de préstamo externo a obra, i/carga, trasnporte, descarga en obra, extendido, riego, compactación y refino de taludes, con capa superficial de 20 cm se sustrato vegetal preparado para siembra de hierba y especifico para ello.</t>
  </si>
  <si>
    <t>Total 01.01.05</t>
  </si>
  <si>
    <t>01.01.06</t>
  </si>
  <si>
    <t>Base de pavimento realizada mediante relleno a cielo abierto, con tierra seleccionada procedente de la propia excavación, y comp</t>
  </si>
  <si>
    <t>Base de pavimento realizada mediante relleno a cielo abierto, con tierra seleccionada procedente de la propia excavación, y compactación en tongadas sucesivas de 30 cm de espesor máximo con bandeja vibrante de guiado manual, hasta alcanzar una densidad seca no inferior al 95% de la máxima obtenida en el ensayo Proctor Modificado, realizado según UNE 103501.
Incluye: Transporte y descarga del material de relleno a pie de tajo. Extendido del material de relleno en tongadas de espesor uniforme. Humectación o desecación de cada tongada. Compactación.</t>
  </si>
  <si>
    <t>Total 01.01.06</t>
  </si>
  <si>
    <t>Total 01.01</t>
  </si>
  <si>
    <t>01.02</t>
  </si>
  <si>
    <t>Red de saneamiento horizontal</t>
  </si>
  <si>
    <t>01.02.01</t>
  </si>
  <si>
    <t>Arqueta de paso 50x50x50</t>
  </si>
  <si>
    <t>Arqueta de paso, registrable, enterrada, construida con fábrica de ladrillo cerámico macizo, de 1/2 pie de espesor, recibido con mortero de cemento, industrial, M-5, de dimensiones interiores 50x50x50 cm, sobre solera de hormigón en masa HM-30/B/20/I+Qb de 15 cm de espesor, formación de pendiente mínima del 2%, con el mismo tipo de hormigón, enfoscada y bruñida interiormente con mortero de cemento, industrial, con aditivo hidrófugo, M-15 formando aristas y esquinas a media caña, cerrada superiormente con tapa prefabricada de hormigón armado con cierre hermético al paso de los olores mefíticos. Incluso mortero para sellado de juntas y colector de conexión de PVC, de tres entradas y una salida, con tapa de registro, para encuentros.
Incluye: Replanteo. Vertido y compactación del hormigón en formación de solera. Formación de la obra de fábrica con ladrillos, previamente humedecidos, colocados con mortero. Conexionado de los colectores a la arqueta. Relleno de hormigón para formación de pendientes. Enfoscado y bruñido con mortero, redondeando los ángulos del fondo y de las paredes interiores de la arqueta. Colocación del colector de conexión de PVC en el fondo de la arqueta. Realización del cierre hermético y colocación de la tapa y los accesorios. Comprobación de su correcto funcionamiento. Realización de pruebas de servicio.</t>
  </si>
  <si>
    <t>Total 01.02.01</t>
  </si>
  <si>
    <t>01.02.02</t>
  </si>
  <si>
    <t>Arqueta de paso 50x50x55</t>
  </si>
  <si>
    <t>Arqueta de paso, registrable, enterrada, construida con fábrica de ladrillo cerámico macizo, de 1/2 pie de espesor, recibido con mortero de cemento, industrial, M-5, de dimensiones interiores 50x50x55 cm, sobre solera de hormigón en masa HM-30/B/20/I+Qb de 15 cm de espesor, formación de pendiente mínima del 2%, con el mismo tipo de hormigón, enfoscada y bruñida interiormente con mortero de cemento, industrial, con aditivo hidrófugo, M-15 formando aristas y esquinas a media caña, cerrada superiormente con tapa prefabricada de hormigón armado con cierre hermético al paso de los olores mefíticos. Incluso mortero para sellado de juntas y colector de conexión de PVC, de tres entradas y una salida, con tapa de registro, para encuentros.
Incluye: Replanteo. Vertido y compactación del hormigón en formación de solera. Formación de la obra de fábrica con ladrillos, previamente humedecidos, colocados con mortero. Conexionado de los colectores a la arqueta. Relleno de hormigón para formación de pendientes. Enfoscado y bruñido con mortero, redondeando los ángulos del fondo y de las paredes interiores de la arqueta. Colocación del colector de conexión de PVC en el fondo de la arqueta. Realización del cierre hermético y colocación de la tapa y los accesorios. Comprobación de su correcto funcionamiento. Realización de pruebas de servicio.</t>
  </si>
  <si>
    <t>01.02.03</t>
  </si>
  <si>
    <t>m</t>
  </si>
  <si>
    <t>Acometida general de saneamiento</t>
  </si>
  <si>
    <t>Acometida general de saneamiento, para la evacuación de aguas residuales y/o pluviales a la red general del municipio, con una pendiente mínima del 2%, para la evacuación de aguas residuales y/o pluviales, formada por tubo de PVC liso, serie SN-4, rigidez anular nominal 4 kN/m², de 110 mm de diámetro exterior, pegado mediante adhesivo, colocado sobre lecho de arena de 10 cm de espesor, debidamente compactada y nivelada con pisón vibrante de guiado manual, relleno lateral compactando hasta los riñones y posterior relleno con la misma arena hasta 30 cm por encima de la generatriz superior de la tubería, con sus correspondientes juntas y piezas especiales. Incluso líquido limpiador y adhesivo para tubos y accesorios de PVC y hormigón en masa HM-20/P/20/I para la posterior reposición del firme existente.
Incluye: Replanteo y trazado de la acometida en planta y pendientes. Rotura del pavimento con compresor. Presentación en seco de tubos y piezas especiales. Vertido de la arena en el fondo de la zanja. Descenso y colocación de los colectores en el fondo de la zanja. Montaje, conexionado y comprobación de su correcto funcionamiento. Ejecución del relleno envolvente. Realización de pruebas de servicio.</t>
  </si>
  <si>
    <t>01.02.04</t>
  </si>
  <si>
    <t>Conexión de la acometida del edificio a la red general de saneamiento del municipio</t>
  </si>
  <si>
    <t>Conexión de la acometida del edificio a la red general de saneamiento del municipio a través de pozo de registro. Incluso junta flexible para el empalme de la acometida y mortero de cemento para repaso y bruñido en el interior del pozo.
Incluye: Replanteo y trazado de la conexión en el pozo de registro. Rotura del pozo con compresor. Montaje, conexionado y comprobación de su correcto funcionamiento. Realización de pruebas de servicio.</t>
  </si>
  <si>
    <t>01.02.05</t>
  </si>
  <si>
    <t>Colector enterrado de red horizontal de saneamiento</t>
  </si>
  <si>
    <t>Colector enterrado de red horizontal de saneamiento, sin arquetas, mediante sistema integral registrable, con una pendiente mínima del 2%, para la evacuación de aguas residuales y/o pluviales, formado por tubo de PVC liso, serie SN-4, rigidez anular nominal 4 kN/m², de 110 mm de diámetro exterior, con junta elástica, colocado sobre lecho de arena de 10 cm de espesor, debidamente compactada y nivelada con pisón vibrante de guiado manual, relleno lateral compactando hasta los riñones y posterior relleno con la misma arena hasta 30 cm por encima de la generatriz superior de la tubería. Incluso accesorios, registros, uniones, piezas especiales y lubricante para montaje.
Incluye: Replanteo y trazado del conducto en planta y pendientes. Presentación en seco de tubos y piezas especiales. Vertido de la arena en el fondo de la zanja. Descenso y colocación de los colectores en el fondo de la zanja. Montaje, conexionado y comprobación de su correcto funcionamiento. Ejecución del relleno envolvente. Realización de pruebas de servicio.</t>
  </si>
  <si>
    <t>01.02.06</t>
  </si>
  <si>
    <t>Zanja drenante con una pendiente mínima del 0,50%,</t>
  </si>
  <si>
    <t>Zanja drenante con una pendiente mínima del 0,50%, para captación de aguas subterráneas, en cuyo fondo se dispone un tubo ranurado de PVC de doble pared, la exterior corrugada y la interior lisa, color teja RAL 8023, con ranurado a lo largo de un arco de 220° en el valle del corrugado, para drenaje, rigidez anular nominal 4 kN/m², de 110 mm de diámetro, según UNE-EN 13476-1, longitud nominal 6 m, unión por copa con junta elástica de EPDM, colocado sobre solera de hormigón en masa HM-20/B/20/I, de 10 cm de espesor, en forma de cuna para recibir el tubo y formar las pendientes, con relleno lateral y superior hasta 25 cm por encima de la generatriz superior del tubo con grava filtrante sin clasificar. Incluso lubricante para montaje.
Incluye: Replanteo y trazado del conducto en planta y pendientes. Formación de la solera de hormigón. Descenso y colocación de los tubos en el fondo de la zanja. Montaje, conexionado y comprobación de su correcto funcionamiento. Ejecución del relleno envolvente. Realización de pruebas de servicio.</t>
  </si>
  <si>
    <t>01.02.07</t>
  </si>
  <si>
    <t>Instalación de sumidero sifónico de PVC</t>
  </si>
  <si>
    <t>Instalación de sumidero sifónico de PVC, de salida vertical de 75 mm de diámetro, con rejilla de PVC de 200x200 mm, para recogida de aguas pluviales o de locales húmedos. Incluso accesorios de montaje, piezas especiales y elementos de sujeción.
Incluye: Replanteo y trazado. Montaje, conexionado y comprobación de su correcto funcionamiento.</t>
  </si>
  <si>
    <t>01.02.08</t>
  </si>
  <si>
    <t>Sumidero longitudinal de fábrica</t>
  </si>
  <si>
    <t>Sumidero longitudinal de fábrica, de 200 mm de anchura interior y 400 mm de altura, con rejilla de acero galvanizado, clase A-15 según UNE-EN 124 y UNE-EN 1433; previa excavación con medios manuales y posterior relleno del trasdós con hormigón.
Incluye: Replanteo del recorrido del sumidero longitudinal. Excavación con medios manuales. Eliminación de las tierras sueltas del fondo de la excavación. Vertido y compactación del hormigón en formación de solera. Formación de la obra de fábrica con ladrillos, previamente humedecidos, colocados con mortero. Ejecución de taladros para el conexionado de la tubería al sumidero longitudinal. Empalme y rejuntado de la tubería al sumidero longitudinal. Colocación del sifón en línea. Enfoscado y bruñido por el interior con mortero de cemento, redondeando ángulos. Relleno del trasdós. Colocación del marco y la rejilla. Comprobación de su correcto funcionamiento.</t>
  </si>
  <si>
    <t>01.02.09</t>
  </si>
  <si>
    <t>Pozo filtrante, para la recogida de aguas pluviales</t>
  </si>
  <si>
    <t>Pozo filtrante, para la recogida de aguas pluviales, drenante prefabricado de polietileno de alta densidad, de 1 m de altura y 0,50 m de diámetro exterior. Incluso material para conexiones, grava de relleno, remates y material elastómero para ajuste entre tapa y marco.
Incluye: Replanteo. Colocación de la malla electrosoldada. Vertido y compactación del hormigón en formación de solera. Montaje. Conexionado de los colectores al pozo. Colocación de marco, tapa de registro y accesorios. Comprobación de su correcto funcionamiento.</t>
  </si>
  <si>
    <t>01.02.10</t>
  </si>
  <si>
    <t>Pozo de registro</t>
  </si>
  <si>
    <t>Pozo de registro, de 0,60 m de diámetro interior y de 0,65 m de altura útil interior, de elementos prefabricados de hormigón en masa, sobre solera de 25 cm de espesor de hormigón armado HA-30/B/20/IIb+Qb ligeramente armada con malla electrosoldada, con cierre de tapa circular estanca con bloqueo y marco de fundición clase D-400 según UNE-EN 124, instalado en calzadas de calles, incluyendo las peatonales, o zonas de aparcamiento para todo tipo de vehículos.
Incluye: Replanteo. Colocación de la malla electrosoldada. Vertido y compactación del hormigón en formación de solera. Montaje. Formación del canal en el fondo del pozo. Conexionado de los colectores al pozo. Colocación de los pates. Vertido y compactación del hormigón para formación de la losa alrededor de la boca del cono. Colocación de marco, tapa de registro y accesorios. Comprobación de su correcto funcionamiento.</t>
  </si>
  <si>
    <t>Total 01.02</t>
  </si>
  <si>
    <t>01.03</t>
  </si>
  <si>
    <t>Nivelación</t>
  </si>
  <si>
    <t>01.03.01</t>
  </si>
  <si>
    <t>m²</t>
  </si>
  <si>
    <t>Solera ventilada de hormigón armado de 25+5 cm de canto acabado pulido y barnizada</t>
  </si>
  <si>
    <t>Solera ventilada de hormigón armado de 25+5 cm de canto, sobre encofrado perdido de módulos de polipropileno reciclado, realizada con hormigón HA-25/B/12/IIa fabricado en central, y vertido con cubilote, y malla electrosoldada ME 15x15 Ø 6-6 B 500 T 6x2,20 UNE-EN 10080 como armadura de reparto, colocada sobre separadores homologados en capa de compresión de 5 cm de espesor; con acabado Acabado acabado natural y tratado superficialmente mediante fratasadora y pulidora superficial de barnizado mediante barniz bicomponente transparente mate de poliuretano resistente a ralladuras, a realizar pruebas para aceptación e la D.F. y propiedad.y juntas de retracción de 5 mm de espesor, mediante corte con disco de diamante; apoyado todo ello sobre base de hormigón de limpieza. Incluso panel de poliestireno expandido de 3 cm de espesor, para la ejecución de juntas de dilatación.
Incluye: Replanteo de las piezas. Corte de las piezas. Colocación y montaje de las piezas. Resolución de encuentros. Realización de los orificios de paso de instalaciones. Colocación de los elementos para paso de instalaciones. Colocación de la malla electrosoldada. Vertido, extendido y vibrado del hormigón. Regleado y nivelación de la capa de compresión. Curado del hormigón. Replanteo de las juntas de retracción. Corte del hormigón. Limpieza final de las juntas de retracción.</t>
  </si>
  <si>
    <t>Planta Sótano</t>
  </si>
  <si>
    <t>Total 01.03.01</t>
  </si>
  <si>
    <t>01.03.03</t>
  </si>
  <si>
    <t>Solera de hormigón armado de 15 cm de espesor, realizada con hormigón HA-25/B/20/IIa fabricado en central, y vertido desde camió</t>
  </si>
  <si>
    <t>Solera de hormigón armado de 15 cm de espesor, realizada con hormigón HA-25/B/20/IIa fabricado en central, y vertido desde camión, y malla electrosoldada ME 15x15 Ø 6-6 B 500 T 6x2,20 UNE-EN 10080 como armadura de reparto, colocada sobre separadores homologados, extendido y vibrado manual mediante regla vibrante, con acabado superficial mediante semipulido mecánico con juntas de retracción de 5 mm de espesor, mediante corte con disco de diamante. Incluso panel de poliestireno expandido de 3 cm de espesor, para la ejecución de juntas de dilatación.
Incluye: Preparación de la superficie de apoyo del hormigón. Replanteo de las juntas de construcción y de dilatación. Tendido de niveles mediante toques, maestras de hormigón o reglas. Riego de la superficie base. Formación de juntas de construcción y de juntas perimetrales de dilatación. Colocación de la malla electrosoldada con separadores homologados. Vertido, extendido y vibrado del hormigón. Conexión de los elementos exteriores. Curado del hormigón. Fratasado mecánico de la superficie. Replanteo de las juntas de retracción. Corte del hormigón. Limpieza final de las juntas de retracción.</t>
  </si>
  <si>
    <t>Soleras exteriores</t>
  </si>
  <si>
    <t>Total 01.03.03</t>
  </si>
  <si>
    <t>01.03.04</t>
  </si>
  <si>
    <t>Encachado en caja para base de solera de 10 cm de espesor, mediante relleno y extendido en tongadas de espesor no superior a 20</t>
  </si>
  <si>
    <t>Encachado en caja para base de solera de 10 cm de espesor, mediante relleno y extendido en tongadas de espesor no superior a 20 cm de gravas procedentes de cantera caliza de 40/80 mm; y posterior compactación mediante equipo manual con bandeja vibrante, sobre la explanada homogénea y nivelada.
Incluye: Transporte y descarga del material de relleno a pie de tajo. Extendido del material de relleno en tongadas de espesor uniforme. Humectación o desecación de cada tongada. Compactación y nivelación.</t>
  </si>
  <si>
    <t>Total 01.03.04</t>
  </si>
  <si>
    <t>01.03.05</t>
  </si>
  <si>
    <t>+Murete cierre de solera de hormigón armado, realizado con hormigón HA-25/B/20/IIa fabricado en central, y vertido con cubilote,</t>
  </si>
  <si>
    <t>Murete cierre de solera de hormigón armado, realizado con hormigón HA-25/B/20/IIa fabricado en central, y vertido con cubilote, y acero UNE-EN 10080 B 500 S, con una cuantía según planos de estructuras. Incluso alambre de atar y separadores.
Incluye: Colocación de la armadura con separadores homologados. Resolución de juntas de construcción. Limpieza de la base de apoyo del muro en la cimentación. Vertido y compactación del hormigón. Curado del hormigón. Reparación de defectos superficiales, si procede.</t>
  </si>
  <si>
    <t>planta baja</t>
  </si>
  <si>
    <t>Total 01.03.05</t>
  </si>
  <si>
    <t>Total 01.03</t>
  </si>
  <si>
    <t>01.04</t>
  </si>
  <si>
    <t>Demoliciones</t>
  </si>
  <si>
    <t>01.04.01</t>
  </si>
  <si>
    <t>m3</t>
  </si>
  <si>
    <t>Demolición de murete de H-armado c/mart+compr</t>
  </si>
  <si>
    <t>Demolición de muro de hormigón armado con corte de radial, martillo rompedor y compresor de aire, i/retirada de escombros y carga, según NTE/ADD-15-16.</t>
  </si>
  <si>
    <t>Coronación de muro posterior de cuarto de instalaciones</t>
  </si>
  <si>
    <t>Total 01.04.01</t>
  </si>
  <si>
    <t>Total 01.04</t>
  </si>
  <si>
    <t>Total 01</t>
  </si>
  <si>
    <t>02</t>
  </si>
  <si>
    <t>Cimentaciones</t>
  </si>
  <si>
    <t>02.01</t>
  </si>
  <si>
    <t>Regularización</t>
  </si>
  <si>
    <t>02.01.01</t>
  </si>
  <si>
    <t>Capa de hormigón de limpieza y nivelado de fondos de cimentación, de 10 cm de espesor, de hormigón HL-150/B/20, fabricado en cen</t>
  </si>
  <si>
    <t>Capa de hormigón de limpieza y nivelado de fondos de cimentación, de 10 cm de espesor, de hormigón HL-150/B/20, fabricado en central y vertido desde camión, en el fondo de la excavación previamente realizada.
Incluye: Replanteo. Colocación de toques y/o formación de maestras. Vertido y compactación del hormigón. Coronación y enrase del hormigón.</t>
  </si>
  <si>
    <t>REVISAR MURETES</t>
  </si>
  <si>
    <t>Zapatas muros contención</t>
  </si>
  <si>
    <t>Total 02.01.01</t>
  </si>
  <si>
    <t>Total 02.01</t>
  </si>
  <si>
    <t>Total 02</t>
  </si>
  <si>
    <t>03</t>
  </si>
  <si>
    <t>Estructuras</t>
  </si>
  <si>
    <t>03.01</t>
  </si>
  <si>
    <t>Acero</t>
  </si>
  <si>
    <t>03.01.01</t>
  </si>
  <si>
    <t>kg</t>
  </si>
  <si>
    <t>Acero UNE-EN 10025 S275JR, en vigas formadas por piezas simples de perfiles laminados en caliente de las series IPN, IPE, HEB, H</t>
  </si>
  <si>
    <t>Acero UNE-EN 10025 S275JR, en vigas formadas por piezas simples de perfiles laminados en caliente de las series IPN, IPE, HEB, HEA, HEM o UPN, acabado con imprimación antioxidante, con uniones soldadas en obra, a una altura de hasta 3 m.
Incluye: Limpieza y preparación del plano de apoyo. Replanteo y marcado de los ejes. Colocación y fijación provisional de la viga. Aplomado y nivelación. Ejecución de las uniones soldadas.</t>
  </si>
  <si>
    <t>IPE 180</t>
  </si>
  <si>
    <t>IPE 200</t>
  </si>
  <si>
    <t>Total 03.01.01</t>
  </si>
  <si>
    <t>03.01.02</t>
  </si>
  <si>
    <t>Acero UNE-EN 10025 S275JR, en pilares formados por piezas simples de perfiles laminados en caliente de las series IPN, IPE, HEB,</t>
  </si>
  <si>
    <t>Acero UNE-EN 10025 S275JR, en pilares formados por piezas simples de perfiles laminados en caliente de las series IPN, IPE, HEB, HEA, HEM o UPN, acabado con imprimación antioxidante, colocado con uniones soldadas en obra, a una altura de hasta 3 m.
Incluye: Limpieza y preparación del plano de apoyo. Replanteo y marcado de los ejes. Colocación y fijación provisional del pilar. Aplomado y nivelación. Ejecución de las uniones soldadas.</t>
  </si>
  <si>
    <t>HEB 100</t>
  </si>
  <si>
    <t>Total 03.01.02</t>
  </si>
  <si>
    <t>03.01.03</t>
  </si>
  <si>
    <t>Acero UNE-EN 10210-1 S275J0H, en pilares formados por piezas simples de perfiles huecos acabados en caliente de las series redon</t>
  </si>
  <si>
    <t>Acero UNE-EN 10210-1 S275J0H, en pilares formados por piezas simples de perfiles huecos acabados en caliente de las series redondo, cuadrado o rectangular, acabado con imprimación antioxidante, colocado con uniones soldadas en obra, a una altura de hasta 3 m.
Incluye: Limpieza y preparación del plano de apoyo. Replanteo y marcado de los ejes. Colocación y fijación provisional del pilar. Aplomado y nivelación. Ejecución de las uniones soldadas.</t>
  </si>
  <si>
    <t>SHS 80.5</t>
  </si>
  <si>
    <t>Total 03.01.03</t>
  </si>
  <si>
    <t>03.01.04</t>
  </si>
  <si>
    <t>Placa de anclaje de acero UNE-EN 10025 S275JR en perfil plano, con taladro central, de 250x250 mm y espesor 15 mm, y montaje sob</t>
  </si>
  <si>
    <t>Placa de anclaje de acero UNE-EN 10025 S275JR en perfil plano, con taladro central, de 250x250 mm y espesor 15 mm, y montaje sobre 4 pernos de acero corrugado UNE-EN 10080 B 500 S de 16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</si>
  <si>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HEB</t>
  </si>
  <si>
    <t>Total 03.01.04</t>
  </si>
  <si>
    <t>03.01.05</t>
  </si>
  <si>
    <t>Placa de anclaje de acero UNE-EN 10025 S275JR en perfil plano, con taladro central, de 250x250 mm y espesor 12 mm, y montaje sob</t>
  </si>
  <si>
    <t>Placa de anclaje de acero UNE-EN 10025 S275JR en perfil plano, con taladro central, de 250x250 mm y espesor 12 mm, y montaje sobre 4 pernos de acero corrugado UNE-EN 10080 B 500 S de 16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</si>
  <si>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Total 03.01.05</t>
  </si>
  <si>
    <t>03.01.06</t>
  </si>
  <si>
    <t>Placa de anclaje de acero UNE-EN 10025 S275JR en perfil plano, con taladro central, de 250x250 mm y espesor 12 mm, y montaje sobre 4 pernos de acero corrugado UNE-EN 10080 B 500 S de 12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</si>
  <si>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Total 03.01.06</t>
  </si>
  <si>
    <t>03.01.07</t>
  </si>
  <si>
    <t>Durmiente acero L90.10 ancaldo con pernos M16  para forjado colaborante</t>
  </si>
  <si>
    <t>Durmiente de perfil L.90.10 anclado a canto de forjado para soporte de forjado colaborante, con pernos M16 cada 25 cm acabado con imprimación antioxidante, con uniones soldadas en obra, a una altura de hasta 3 m.
Criterio de valoración económica: El precio incluye los anclajes a forjado, las soldaduras, los cortes, los despuntes, las piezas especiales, los casquillos y los elementos auxiliares de montaje.
Incluye: Limpieza y preparación del plano de apoyo. Replanteo y marcado de los ejes. Colocación y fijación provisional de la viga. Aplomado y nivelación. Ejecución de las uniones soldadas.
Criterio de medición de proyecto: Peso nominal medido según documentación gráfica de Proyecto.
Criterio de medición de obra: Se determinará, a partir del peso obtenido en báscula oficial de las unidades llegadas a obra, el peso de las unidades realmente ejecutadas según especificaciones de Proyecto.</t>
  </si>
  <si>
    <t>Total 03.01.07</t>
  </si>
  <si>
    <t>Total 03.01</t>
  </si>
  <si>
    <t>03.02</t>
  </si>
  <si>
    <t>Hormigón armado</t>
  </si>
  <si>
    <t>03.02.01</t>
  </si>
  <si>
    <t>Losa maciza de hormigón armado blanco visto, horizontal canto 25 cm</t>
  </si>
  <si>
    <t>Losa maciza de hormigón armado blanco visto, horizontal, canto 25 cm, realizada con hormigón HA-25/AC-E1/12/IIa, fabricado en central, y vertido con cubilote, y acero UNE-EN 10080 B 500 S, con una cuantía según planos de estructuras; montaje y desmontaje de sistema de encofrado "FINPLY MAXI DE PERI" con acabado liso, formado por: superficie encofrante de tableros de madera tratada, reforzados con varillas y perfiles, forrados con tablero aglomerado hidrófugo, de un solo uso con una de sus caras plastificada, amortizables en 25 usos; estructura soporte horizontal de sopandas metálicas y accesorios de montaje, amortizables en 150 usos y estructura soporte vertical de puntales metálicos, amortizables en 150 usos. Incluso nervios y zunchos perimetrales de planta y huecos, alambre de atar, separadores, aplicación de líquido desencofrante y agente filmógeno para el curado de hormigones y morteros.
Incluye: Replanteo del sistema de encofrado. Montaje del sistema de encofrado. Replanteo de la geometría de la planta sobre el encofrado. Colocación de armaduras con separadores homologados. Vertido del hormigón. Regleado y nivelación de la capa de compresión. Curado del hormigón. Desmontaje del sistema de encofrado.</t>
  </si>
  <si>
    <t>Losa de coronación de ascensor</t>
  </si>
  <si>
    <t>Total 03.02.01</t>
  </si>
  <si>
    <t>03.02.02</t>
  </si>
  <si>
    <t>Formación de peldaño y ménsulas, de hormigón blanco visto, de 40x60 cm, realizada con hormigón HA-25/AC-E2/12/IIa</t>
  </si>
  <si>
    <t>Formación de peldaño y ménsulas, de hormigón visto blanco, de 40x60 cm, realizada con hormigón HA-25/AC-E2/12/IIa, fabricado en central, y vertido con cubilote, y acero UNE-EN 10080 B 500 S, con una cuantía según planos de estructuras; montaje y desmontaje de sistema de encofrado "FINPLY MAXI DE PERI" con acabado liso, en planta de hasta 3 m de altura libre, formado por: superficie encofrante de tableros contrachapados fenólicos de madera de pino, reforzados con varillas y perfiles, amortizables en 20 usos, estructura soporte horizontal de sopandas metálicas y accesorios de montaje, amortizables en 150 usos y estructura soporte vertical de puntales metálicos, amortizables en 150 usos. Incluso alambre de atar, separadores, líquido desencofrante para evitar la adherencia del hormigón al encofrado y agente filmógeno para el curado de hormigones y morteros.
Incluye: Desbaste de muro para colocación de peldaños a una profundidad aprox de 4 cm, conexión mediante redondos corrugados y fijados a muro mediante soldado a armadura existente, fijados a  Replanteo. Montaje del sistema de encofrado. Colocación de las armaduras con separadores homologados. Vertido del hormigón. Curado del hormigón. Desmontaje del sistema de encofrado.</t>
  </si>
  <si>
    <t>Peldaños</t>
  </si>
  <si>
    <t>(formación L)</t>
  </si>
  <si>
    <t>Total 03.02.02</t>
  </si>
  <si>
    <t>03.02.03</t>
  </si>
  <si>
    <t>ml</t>
  </si>
  <si>
    <t>Corte con radial para juntas y goterones</t>
  </si>
  <si>
    <t>Juntas de hormigonado con radial con disco de diamante similar a las existentes. totalmente rematado, en cualquier tipo de plano y contemplando cualquier tipo de medio auxiliar.</t>
  </si>
  <si>
    <t>en fach lateral sur y norte, junta vertical</t>
  </si>
  <si>
    <t>en gárgolas como goterón a una distancia de 5 cm del borde exter</t>
  </si>
  <si>
    <t>entre muro de escalera y losa de ascensor</t>
  </si>
  <si>
    <t>Total 03.02.03</t>
  </si>
  <si>
    <t>03.02.04</t>
  </si>
  <si>
    <t>Losa mixta con chapa colaborante para cierre de hueco de ascensor</t>
  </si>
  <si>
    <t>Losa mixta de 10 cm de canto, con chapa colaborante de acero galvanizado prelacado con forma grecada, de 0,80 mm de espesor, 60 mm de altura de perfil y 164 mm de intereje, y hormigón armado realizado con hormigón HA-25/F/20/XC2 fabricado en central, y vertido con cubilote, volumen total de hormigón 0,062 m³/m²; acero UNE-EN 10080 B 500 S, con una cuantía total de 5,5 kg/m²; y malla electrosoldada ME 15x30 Ø 6-6 B 500 T 6x2,20 UNE-EN 10080; apoyado todo ello sobre estructura metálica; apuntalamiento y desapuntalamiento de la losa. Incluso piezas angulares para remates perimetrales y de voladizos, tornillos para fijación de las chapas, alambre de atar, separadores y agente filmógeno, para el curado de hormigones y morteros.
Criterio de valoración económica: El precio incluye la elaboración de la ferralla (corte, doblado y conformado de elementos) en taller industrial y el montaje en el lugar definitivo de su colocación en obra, pero no incluye la estructura metálica.
Incluye: Replanteo. Montaje de las chapas. Apuntalamiento. Fijación de las chapas y resolución de los apoyos. Colocación de armaduras con separadores homologados. Vertido y compactación del hormigón. Regleado y nivelación de la superficie de acabado. Curado del hormigón. Desapuntalamiento.
Criterio de medición de proyecto: Superficie medida en verdadera magnitud, según documentación gráfica de Proyecto, deduciendo los huecos de superficie mayor de 6 m².
Criterio de medición de obra: Se medirá, en verdadera magnitud, la superficie realmente ejecutada según especificaciones de Proyecto, deduciendo los huecos de superficie mayor de 6 m².</t>
  </si>
  <si>
    <t>cegado hueco ascenor</t>
  </si>
  <si>
    <t>Total 03.02.04</t>
  </si>
  <si>
    <t>Total 03.02</t>
  </si>
  <si>
    <t>03.03</t>
  </si>
  <si>
    <t>Fábrica de Ladrillo</t>
  </si>
  <si>
    <t>03.03.01</t>
  </si>
  <si>
    <t>m2</t>
  </si>
  <si>
    <t>Fábrica interior LP 25x12x8 medio pie</t>
  </si>
  <si>
    <t>Fábrica interior de ladrillo cerámico perforado para revestir de dimensiones 25x12x8 cm colocado a medio pie y tomado con mortero seco de albañilería M 5, i/p.p. de replanteo, roturas, aplomado, nivelado, cortes, remates, piezas especiales, llagueado y limpieza, cumpliendo las especificaciones establecidas en el CTE DB SE F.</t>
  </si>
  <si>
    <t>cierre terraza</t>
  </si>
  <si>
    <t>Total 03.03.01</t>
  </si>
  <si>
    <t>03.03.02</t>
  </si>
  <si>
    <t>Fábrica interior LP 25x12x14 medio pie</t>
  </si>
  <si>
    <t>Fábrica interior de ladrillo cerámico perforado para revestir de dimensiones 25x12x14 cm colocado a medio pie y tomado con mortero seco de albañilería M 5, i/p.p. de replanteo, roturas, aplomado, nivelado, cortes, remates, piezas especiales, llagueado y limpieza, cumpliendo las especificaciones establecidas en el CTE DB SE F.</t>
  </si>
  <si>
    <t>03.03.03</t>
  </si>
  <si>
    <t>Fábrica de bloq H 40x20x30 esp armar c/arm tendel+vertical</t>
  </si>
  <si>
    <t>Fábrica de bloque especial para muro de armar de hormigón prefabricado, de de árido denso, de dimensiones 40x20x30 cm, tomado con mortero seco hidrofugado de albañilería M 10 gris, con armadura prefabricada de tendel de 250 mm de ancho y 5 mm de diámetro y armadura vertical de acero corrugado B 500S de 10 mm de diámetro, fijado en los extremos a muro actual y piedra del terreno con perforaciones y resina, incluido hormigón de relleno, i/p.p. de cimentación con armada similar a MURETE DE CIERRE DE SOLERA dimensiones 50x40 de los planos de estructura,  replanteo, roturas, aplomado, nivelado, cortes, remates, piezas especiales, llagueado y limpieza, cumpliendo las especificaciones establecidas en el CTE DB SE F.</t>
  </si>
  <si>
    <t>fachada lateral sur</t>
  </si>
  <si>
    <t>fachada lateral oeste</t>
  </si>
  <si>
    <t>Total 03.03.03</t>
  </si>
  <si>
    <t>Total 03.03</t>
  </si>
  <si>
    <t>Total 03</t>
  </si>
  <si>
    <t>04</t>
  </si>
  <si>
    <t>Fachadas y particiones</t>
  </si>
  <si>
    <t>04.01</t>
  </si>
  <si>
    <t>Fachadas ventiladas</t>
  </si>
  <si>
    <t>04.01.01</t>
  </si>
  <si>
    <t>Hoja principal de fachada ventilada, apoyada sobre el forjado y enrasada, de 14 cm de espesor, de fábrica de bloque cerámico ali</t>
  </si>
  <si>
    <t>Hoja principal de fachada ventilada, apoyada sobre el forjado y enrasada, de 14 cm de espesor, de fábrica de bloque cerámico aligerado machihembrado, 30x19x14 cm, para revestir, con juntas horizontales y verticales de 10 mm de espesor, junta rehundida, recibida con mortero de cemento industrial, color gris, M-5, suministrado a granel; formación de dinteles mediante vigueta pretensada T-18, revestida por ambos lados con plaquetas o piezas cortadas.
Incluye: Definición de los planos de fachada mediante plomos. Replanteo, planta a planta. Marcado en los pilares de los niveles de referencia general de planta y de nivel de pavimento. Asiento de la primera hilada sobre capa de mortero. Colocación y aplomado de miras de referencia. Tendido de hilos entre miras. Colocación de plomos fijos en las aristas. Corte de las piezas. Colocación de las piezas por hiladas a nivel. Realización de todos los trabajos necesarios para la resolución de los huecos. Encuentros de la fábrica con fachadas, pilares y tabiques. Encuentro de la fábrica con el forjado superior.</t>
  </si>
  <si>
    <t>Planta Baja</t>
  </si>
  <si>
    <t>Planta Alta</t>
  </si>
  <si>
    <t>Total 04.01.01</t>
  </si>
  <si>
    <t>04.01.02</t>
  </si>
  <si>
    <t>Tablero de panel, compuesto de: cara exterior de tablero de aglomerado hidrófugo de 16 mm de espesor, núcleo aislante de lana de</t>
  </si>
  <si>
    <t>Tablero de panel, compuesto de: cara exterior de tablero Dm de 20 mm de espesor, núcleo aislante de lana de roca de 70 mm de espesor, cara interior de DM de 20 mm y lengüeta de DM para ensamblado de paneles, fijado mecánicamente sobre soporte discontinuo metálico; para formación de fachada. Incluso tornillos autotaladrantes para fijación sobre soporte metálico; banda impermeabilizante autoadhesiva para impermeabilización y sellado de juntas.
Incluye: Replanteo. Corte de las piezas. Colocación de los paneles que forman el tablero. Fijación mecánica de las piezas al soporte. Sellado de juntas y uniones.</t>
  </si>
  <si>
    <t>Total 04.01.02</t>
  </si>
  <si>
    <t>04.01.03</t>
  </si>
  <si>
    <t>Revestimiento exterior de fachada ventilada, de lamas de madera termotratada "Therrmopine Finsa"</t>
  </si>
  <si>
    <t>Revestimiento exterior de fachada ventilada, de lamas de madera termotratada "Therrmopine Finsa", con acabado lasur incoloro; colocación con tornillos, sobre subestructura soporte formada por doble rastrelado hidrófugo de 40x40 mm de sección, de madera de pino pinaster (Pinus pinaster), con el tratamiento adecuado, con una separación de 400 mm, colocados sobre cinta autoadhesiva, de goma butílica; atornillada a su vez sobre el soporte. Incluso rejilla antirroedores para la protección de la cámara ventilada y tornillos autoperforantes, para la fijación de la subestructura soporte.
Incluye: Limpieza y preparación de la superficie soporte. Replanteo de las juntas de dilatación y paños de trabajo. Replanteo sobre el paramento de los rastreles. Colocación y fijación de los rastreles. Preparación del revestimiento. Aplomado, nivelación y alineación del revestimiento. Fijación de las lamas a los rastreles. Realización de todos los trabajos necesarios para la resolución de los huecos. Resolución de puntos singulares.</t>
  </si>
  <si>
    <t>Total 04.01.03</t>
  </si>
  <si>
    <t>04.01.04</t>
  </si>
  <si>
    <t>Revestimiento directo de puerta garaje lamas de madera termotratada "Therrmopine Finsa"</t>
  </si>
  <si>
    <t>Revestimiento directo de puerta de garaje, mediante lamas de madera termotratada "Therrmopine Finsa", posición horizontal, con acabado lasur incoloro; colocación con tornillos, 
Incluye: Limpieza y preparación de la superficie soporte. Replanteo de las juntas de dilatación y paños de trabajo. Replanteo sobre el paramento de los rastreles. Colocación y fijación de los rastreles. Preparación del revestimiento. Aplomado, nivelación y alineación del revestimiento. Fijación de las lamas a los rastreles. Realización de todos los trabajos necesarios para la resolución de los huecos. Resolución de puntos singulares.</t>
  </si>
  <si>
    <t>Total 04.01.04</t>
  </si>
  <si>
    <t>Total 04.01</t>
  </si>
  <si>
    <t>04.02</t>
  </si>
  <si>
    <t>Tabiquería</t>
  </si>
  <si>
    <t>04.02.01</t>
  </si>
  <si>
    <t>Tabique de placas de yeso laminado placa 12,5 mm normal</t>
  </si>
  <si>
    <t>Tabique múltiple (12,5+70+12,5)/400 (70) LM - (2 normal), con placa de yeso laminado, con nivel de calidad del acabado estándar (Q2), formado por una estructura simple de perfiles de chapa de acero galvanizado de 70 mm de anchura, a base de montantes (elementos verticales) separados 400 mm entre sí, con disposición normal "N" y canales (elementos horizontales), a la que se atornillan cuatro placas en total (dos placas tipo normal en cada cara, de 12,5 mm de espesor cada placa); aislamiento acústico mediante panel semirrígido de lana mineral, espesor 70 mm, según UNE-EN 13162, en el alma. Incluso banda acústica de dilatación autoadhesiva; fijaciones para el anclaje de canales y montantes metálicos; tornillería para la fijación de las placas; cinta de papel con refuerzo metálico y pasta y cinta para el tratamiento de juntas.
Criterio de valoración económica: El precio incluye la resolución de encuentros y puntos singulares.
Incluye: Replanteo y trazado en el forjado inferior y en el superior de los tabiques a realizar.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para el cierre de una de las caras del tabique. Colocación de los paneles de lana mineral entre los montantes. Fijación de las placas para el cierre de la segunda cara del tabique. Replanteo de las cajas para alojamiento de mecanismos eléctricos y de paso de instalaciones, y posterior perforación de las placas. Tratamiento de juntas.
Criterio de medición de proyecto: Superficie medida según documentación gráfica de Proyecto, sin duplicar esquinas ni encuentros
Criterio de medición de obra: Se medirá la superficie realmente ejecutada según especificaciones de Proyecto, sin duplicar esquinas ni encuentros</t>
  </si>
  <si>
    <t>doble tabique dor ppal</t>
  </si>
  <si>
    <t>Total 04.02.01</t>
  </si>
  <si>
    <t>04.02.02</t>
  </si>
  <si>
    <t>Tabique de placas de yeso laminado placa 12,5 mm hidrófigado</t>
  </si>
  <si>
    <t>Tabique múltiple (12,5+70+12,5)/400 (70) LM - (2 hidrofugado), con placa de yeso laminado, con nivel de calidad del acabado estándar (Q2), formado por una estructura simple de perfiles de chapa de acero galvanizado de 70 mm de anchura, a base de montantes (elementos verticales) separados 400 mm entre sí, con disposición normal "N" y canales (elementos horizontales), a la que se atornillan cuatro placas en total (dos placas tipo hidrofugado en cada cara, de 12,5 mm de espesor cada placa); aislamiento acústico mediante panel semirrígido de lana mineral, espesor 70 mm, según UNE-EN 13162, en el alma. Incluso banda acústica de dilatación autoadhesiva; fijaciones para el anclaje de canales y montantes metálicos; tornillería para la fijación de las placas; cinta de papel con refuerzo metálico y pasta y cinta para el tratamiento de juntas.
Criterio de valoración económica: El precio incluye la resolución de encuentros y puntos singulares.
Incluye: Replanteo y trazado en el forjado inferior y en el superior de los tabiques a realizar.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para el cierre de una de las caras del tabique. Colocación de los paneles de lana mineral entre los montantes. Fijación de las placas para el cierre de la segunda cara del tabique. Replanteo de las cajas para alojamiento de mecanismos eléctricos y de paso de instalaciones, y posterior perforación de las placas. Tratamiento de juntas.
Criterio de medición de proyecto: Superficie medida según documentación gráfica de Proyecto, sin duplicar esquinas ni encuentros.
Criterio de medición de obra: Se medirá la superficie realmente ejecutada según especificaciones de Proyecto, sin duplicar esquinas ni encuentros</t>
  </si>
  <si>
    <t>planta alta</t>
  </si>
  <si>
    <t>sobre muro de hormigon</t>
  </si>
  <si>
    <t>Total 04.02.02</t>
  </si>
  <si>
    <t>Total 04.02</t>
  </si>
  <si>
    <t>04.03</t>
  </si>
  <si>
    <t>Defensas</t>
  </si>
  <si>
    <t>04.03.01</t>
  </si>
  <si>
    <t>Protecciones metálicas escaleras interiores</t>
  </si>
  <si>
    <t>Protección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empotrado los montantes en los peldaños de hormigón.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</si>
  <si>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04.03.01</t>
  </si>
  <si>
    <t>04.03.02</t>
  </si>
  <si>
    <t>Protecciones metálicas interiores</t>
  </si>
  <si>
    <t>Protección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</si>
  <si>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04.03.02</t>
  </si>
  <si>
    <t>04.03.03</t>
  </si>
  <si>
    <t>Barandilla de fachada en forma recta, de 90 cm de altura</t>
  </si>
  <si>
    <t>Barandilla en forma recta,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</si>
  <si>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exteriores</t>
  </si>
  <si>
    <t>Total 04.03.03</t>
  </si>
  <si>
    <t>04.03.04</t>
  </si>
  <si>
    <t>Pasamanos metálicas escaleras interiores</t>
  </si>
  <si>
    <t>pasamanos de 90 cm de altura, formada por de pletina de perfil macizo 50x10 mm de acero inoxidable; fijada mediante anclaje mecánico de expansión separada del paramento vertical 40 mm mediante tubo macizo de 12 mm en L.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</si>
  <si>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04.03.04</t>
  </si>
  <si>
    <t>Total 04.03</t>
  </si>
  <si>
    <t>Total 04</t>
  </si>
  <si>
    <t>05</t>
  </si>
  <si>
    <t>Carpintería, cerrajería, vidrios y protecciones solares</t>
  </si>
  <si>
    <t>05.01</t>
  </si>
  <si>
    <t>Carpintería</t>
  </si>
  <si>
    <t>05.01.01</t>
  </si>
  <si>
    <t>V.1 y V3 Ventanal fijo de aluminio, serie Cor-70 Hoja Oculta "CORTIZO"</t>
  </si>
  <si>
    <t>Ventanal fijo de aluminio, serie Cor-70 Hoja Oculta "CORTIZO", con rotura de puente térmico, dimensiones 950x2500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</si>
  <si>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V.1</t>
  </si>
  <si>
    <t>V.3</t>
  </si>
  <si>
    <t>Total 05.01.01</t>
  </si>
  <si>
    <t>05.01.02</t>
  </si>
  <si>
    <t>V.1 y V3 Puerta de aluminio, serie Cor-70 Hoja Oculta "CORTIZO"</t>
  </si>
  <si>
    <t>Puerta de aluminio, serie Cor-70 Hoja Oculta "CORTIZO", con rotura de puente térmico, una hoja oscilobatiente, con apertura hacia el interior, dimensiones 400x2500 mm, anodizado color GRIS GRATA, con el sello EWAA-EURAS, que garantiza el espesor y la calidad del proceso de anodizado, compuesta de hoja de 70 mm y marco de 70 mm, junquillos, galce, juntas de estanqueidad de EPDM, manilla "Arch Invisible"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sin persiana. Incluso sellador adhesivo y silicona neutra para sellado perimetral de las juntas exterior e interior, entre la carpintería y la obra. TSAC.
Incluye: Colocación del premarco. Colocación de la carpintería sobre el premarco. Ajuste final de la hoja. Sellado perimetral de la junta entre la carpintería exterior y el paramento. Realización de pruebas de servicio.</t>
  </si>
  <si>
    <t>Total 05.01.02</t>
  </si>
  <si>
    <t>05.01.03</t>
  </si>
  <si>
    <t>V.2 Ventana de aluminio, serie 4700 Corredera "CORTIZO"</t>
  </si>
  <si>
    <t>Ventana de aluminio, serie 4700 Corredera "CORTIZO", con rotura de puente térmico, dos hojas correderas, dimensiones 2200x1600 mm, anodizado color GRIS GRATA, con el sello EWAA-EURAS, que garantiza el espesor y la calidad del proceso de anodizado, compuesta de hoja de 50 mm y marco de 64 mm, junquillos, galce, juntas de estanqueidad de EPDM, manilla "Stylish acodada"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</si>
  <si>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V.2</t>
  </si>
  <si>
    <t>Total 05.01.03</t>
  </si>
  <si>
    <t>05.01.04</t>
  </si>
  <si>
    <t>V.4 Puerta de aluminio, serie 4700 Corredera "CORTIZO"</t>
  </si>
  <si>
    <t>Puerta de aluminio, serie 4700 Corredera "CORTIZO", con rotura de puente térmico, dos hojas correderas, dimensiones 2400x2500 mm, anodizado color GRIS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</si>
  <si>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V.4</t>
  </si>
  <si>
    <t>Total 05.01.04</t>
  </si>
  <si>
    <t>05.01.05</t>
  </si>
  <si>
    <t>V.5.1 Ventanal fijo de aluminio, serie Cor-70 Hoja Oculta "CORTIZO"</t>
  </si>
  <si>
    <t>Ventanal fijo de aluminio, serie Cor-70 Hoja Oculta "CORTIZO", con rotura de puente térmico, dimensiones 750x2500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Sellado perimetral de la junta entre la carpintería exterior y el paramento.</t>
  </si>
  <si>
    <t>V.5.1</t>
  </si>
  <si>
    <t>Total 05.01.05</t>
  </si>
  <si>
    <t>05.01.06</t>
  </si>
  <si>
    <t>V.5.2 Ventanal fijo de aluminio, serie Cor-70 Hoja Oculta "CORTIZO"</t>
  </si>
  <si>
    <t>Ventanal fijo de aluminio, serie Cor-70 Hoja Oculta "CORTIZO", con rotura de puente térmico, dimensiones 1300x2600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Sellado perimetral de la junta entre la carpintería exterior y el paramento.</t>
  </si>
  <si>
    <t>V.5.2</t>
  </si>
  <si>
    <t>Total 05.01.06</t>
  </si>
  <si>
    <t>05.01.07</t>
  </si>
  <si>
    <t>V.5.3 Puerta de aluminio, serie 4700 Corredera "CORTIZO"</t>
  </si>
  <si>
    <t>Puerta de aluminio, serie 4700 Corredera "CORTIZO", con rotura de puente térmico, dos hojas correderas, una fija (V5.2) y una corredera, dimensiones 3400x2700 mm, anodizado color GRIS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</si>
  <si>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V.5.3</t>
  </si>
  <si>
    <t>Total 05.01.07</t>
  </si>
  <si>
    <t>05.01.08</t>
  </si>
  <si>
    <t>V.6 Ventanal fijo de aluminio, serie Cor-70 Hoja Oculta "CORTIZO"</t>
  </si>
  <si>
    <t>Ventanal fijo de aluminio, serie Cor-70 Hoja Oculta "CORTIZO", con rotura de puente térmico, dimensiones 500x1700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</si>
  <si>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V.6</t>
  </si>
  <si>
    <t>Total 05.01.08</t>
  </si>
  <si>
    <t>05.01.09</t>
  </si>
  <si>
    <t>V.7 Ventanal fijo de aluminio, serie Cor-70 Hoja Oculta "CORTIZO"</t>
  </si>
  <si>
    <t>Ventanal fijo de aluminio, serie Cor-70 Hoja Oculta "CORTIZO", con rotura de puente térmico, dimensiones 1650x2550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</si>
  <si>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V.7</t>
  </si>
  <si>
    <t>Total 05.01.09</t>
  </si>
  <si>
    <t>05.01.10</t>
  </si>
  <si>
    <t>V.8 Ventanal fijo de aluminio, serie Cor-70 Hoja Oculta "CORTIZO"</t>
  </si>
  <si>
    <t>Ventanal fijo de aluminio, serie Cor-70 Hoja Oculta "CORTIZO", con rotura de puente térmico, dimensiones 2450x2550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</si>
  <si>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V.8</t>
  </si>
  <si>
    <t>Total 05.01.10</t>
  </si>
  <si>
    <t>05.01.11</t>
  </si>
  <si>
    <t>V.9 Ventanal fijo de aluminio, serie Cor-70 Hoja Oculta "CORTIZO"</t>
  </si>
  <si>
    <t>Ventanal fijo de aluminio, serie Cor-70 Hoja Oculta "CORTIZO", con rotura de puente térmico, dimensiones 2400x2550 mm, anodizado color GRIS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</si>
  <si>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V.9</t>
  </si>
  <si>
    <t>Total 05.01.11</t>
  </si>
  <si>
    <t>05.01.12</t>
  </si>
  <si>
    <t>V.10 y V.11 Puerta de aluminio, serie Cor-70 Hoja Oculta "CORTIZO"</t>
  </si>
  <si>
    <t>Puerta de aluminio, serie Cor-70 Hoja Oculta "CORTIZO", con rotura de puente térmico, una hoja oscilobatiente, con apertura hacia el interior, dimensiones 600x1750 mm, anodizado color NEGRO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</si>
  <si>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V.10</t>
  </si>
  <si>
    <t>V.11</t>
  </si>
  <si>
    <t>Total 05.01.12</t>
  </si>
  <si>
    <t>05.01.13</t>
  </si>
  <si>
    <t>V.12 Ventana de aluminio, serie Cor-70 Hoja Oculta "CORTIZO"</t>
  </si>
  <si>
    <t>Ventana de aluminio, serie Cor-70 Hoja Oculta "CORTIZO", con rotura de puente térmico, una hoja oscilobatiente, con apertura hacia el interior, dimensiones 500x1750 mm, anodizado color GRIS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</si>
  <si>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V.12</t>
  </si>
  <si>
    <t>Total 05.01.13</t>
  </si>
  <si>
    <t>05.01.14</t>
  </si>
  <si>
    <t>V.13 Puerta de aluminio, serie Cor-70 Hoja Oculta "CORTIZO"</t>
  </si>
  <si>
    <t>Puerta de aluminio, serie Cor-70 Hoja Oculta "CORTIZO", con rotura de puente térmico, una hoja oscilobatiente, con apertura hacia el interior, dimensiones 500x1850 mm, anodizado color GRIS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</si>
  <si>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V.13</t>
  </si>
  <si>
    <t>Total 05.01.14</t>
  </si>
  <si>
    <t>05.01.15</t>
  </si>
  <si>
    <t>V.14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</si>
  <si>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87x565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</si>
  <si>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V.14</t>
  </si>
  <si>
    <t>Total 05.01.15</t>
  </si>
  <si>
    <t>05.01.16</t>
  </si>
  <si>
    <t>V.15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</si>
  <si>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87x93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</si>
  <si>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V.15</t>
  </si>
  <si>
    <t>Total 05.01.16</t>
  </si>
  <si>
    <t>05.01.17</t>
  </si>
  <si>
    <t>V.16 Puerta de aluminio, serie 4700 Corredera "CORTIZO"</t>
  </si>
  <si>
    <t>Puerta de aluminio, serie 4700 Corredera "CORTIZO", con rotura de puente térmico, dos hojas correderas, dimensiones 2550x2400 mm, anodizado color GRIS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y sin persiana.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
Criterio de medición de proyecto: Número de unidades previstas, según documentación gráfica de Proyecto.
Criterio de medición de obra: Se medirá el número de unidades realmente ejecutadas según especificaciones de Proyecto.</t>
  </si>
  <si>
    <t>V.16</t>
  </si>
  <si>
    <t>Total 05.01.17</t>
  </si>
  <si>
    <t>05.01.18</t>
  </si>
  <si>
    <t>V.17 Ventana de aluminio, serie Cor-70 Hoja Oculta "CORTIZO"</t>
  </si>
  <si>
    <t>Ventana de aluminio, serie Cor-70 Hoja Oculta "CORTIZO", con rotura de puente térmico, una hoja oscilobatiente, con apertura hacia el interior, dimensiones 400x1650 mm, anodizado GRIS GRATA , con el sello EWAA-EURAS, que garantiza el espesor y la calidad del proceso de anodizado, compuesta de hoja de 70 mm y marco de 70 mm, junquillos, galce, juntas de estanqueidad de EPDM, manilla Arch invisible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con persiana.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</si>
  <si>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V.17</t>
  </si>
  <si>
    <t>Total 05.01.18</t>
  </si>
  <si>
    <t>05.01.19</t>
  </si>
  <si>
    <t>V.17 Ventanal fijo de aluminio, serie Cor-70 Hoja Oculta "CORTIZO"</t>
  </si>
  <si>
    <t>Ventanal fijo de aluminio, serie Cor-70 Hoja Oculta "CORTIZO", con rotura de puente térmico, dimensiones 950 mm de ancho y altura variable de 1350 a 1550 mm, anodizado GRIS GRATA ,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con persiana. Incluso silicona para sellado perimetral de la junta entre la carpintería exterior y el paramento. TSAC.
Incluye: Colocación del premarco. Colocación de la carpintería sobre el premarco. Sellado perimetral de la junta entre la carpintería exterior y el paramento.</t>
  </si>
  <si>
    <t>Total 05.01.19</t>
  </si>
  <si>
    <t>05.01.20</t>
  </si>
  <si>
    <t>V.21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</si>
  <si>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69x62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</si>
  <si>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V.21</t>
  </si>
  <si>
    <t>Total 05.01.20</t>
  </si>
  <si>
    <t>05.01.21</t>
  </si>
  <si>
    <t>V.22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</si>
  <si>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69x230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</si>
  <si>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V.22</t>
  </si>
  <si>
    <t>Total 05.01.21</t>
  </si>
  <si>
    <t>05.01.22</t>
  </si>
  <si>
    <t>V.23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</si>
  <si>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69x72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</si>
  <si>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V.23</t>
  </si>
  <si>
    <t>Total 05.01.22</t>
  </si>
  <si>
    <t>05.01.23</t>
  </si>
  <si>
    <t>V.24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</si>
  <si>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146x107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</si>
  <si>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V.24</t>
  </si>
  <si>
    <t>Total 05.01.23</t>
  </si>
  <si>
    <t>05.01.24</t>
  </si>
  <si>
    <t>V.25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</si>
  <si>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146x158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</si>
  <si>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V.25</t>
  </si>
  <si>
    <t>Total 05.01.24</t>
  </si>
  <si>
    <t>05.01.25</t>
  </si>
  <si>
    <t>V.26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</si>
  <si>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146x125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</si>
  <si>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V.26</t>
  </si>
  <si>
    <t>Total 05.01.25</t>
  </si>
  <si>
    <t>05.01.26</t>
  </si>
  <si>
    <t>V.27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</si>
  <si>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146x180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</si>
  <si>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V.27</t>
  </si>
  <si>
    <t>Total 05.01.26</t>
  </si>
  <si>
    <t>05.01.27</t>
  </si>
  <si>
    <t>V.28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</si>
  <si>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146x102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</si>
  <si>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V.28</t>
  </si>
  <si>
    <t>Total 05.01.27</t>
  </si>
  <si>
    <t>05.01.28</t>
  </si>
  <si>
    <t>V.30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</si>
  <si>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103x120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</si>
  <si>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V.30</t>
  </si>
  <si>
    <t>Total 05.01.28</t>
  </si>
  <si>
    <t>05.01.29</t>
  </si>
  <si>
    <t>V.31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</si>
  <si>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103x222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GRIS GRATA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</si>
  <si>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V.31</t>
  </si>
  <si>
    <t>Total 05.01.29</t>
  </si>
  <si>
    <t>05.01.30</t>
  </si>
  <si>
    <t>Pe.4 Puerta de aluminio, serie Cor-70 Hoja Oculta "CORTIZO"</t>
  </si>
  <si>
    <t>Puerta de aluminio, serie Cor-70 Hoja Oculta "CORTIZO", con rotura de puente térmico, una hoja practicable, con apertura hacia el interior, dimensiones 1000x2650 mm, anodizado color GRIS GRATA, con el sello EWAA-EURAS, que garantiza el espesor y la calidad del proceso de anodizado, compuesta de hoja de 70 mm y marco de 70 mm, junquillos, galce, juntas de estanqueidad de EPDM, manilla "Stylish"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cerradura de seguridad,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</si>
  <si>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Pe.4</t>
  </si>
  <si>
    <t>Total 05.01.30</t>
  </si>
  <si>
    <t>05.01.31</t>
  </si>
  <si>
    <t>Pe.5 Puerta de aluminio, serie Cor-70 Hoja Oculta "CORTIZO"</t>
  </si>
  <si>
    <t>Puerta de aluminio, serie Cor-70 Hoja Oculta "CORTIZO", con rotura de puente térmico, una hoja practicable, con apertura hacia el interior, dimensiones 1400x2500 mm, anodizado color GRIS GRATA, con el sello EWAA-EURAS, que garantiza el espesor y la calidad del proceso de anodizado, compuesta de hoja de 70 mm y marco de 70 mm, junquillos, galce, juntas de estanqueidad de EPDM, manilla "Stylish"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cerradura de seguridad,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</si>
  <si>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Pe.5</t>
  </si>
  <si>
    <t>Total 05.01.31</t>
  </si>
  <si>
    <t>05.01.32</t>
  </si>
  <si>
    <t>Pe.2 Puerta exterior de lamas termotratadas para aerotermia</t>
  </si>
  <si>
    <t>Puerta exterior de una sola hoja y cerramiento fijo, compuesta por entramado de madera mediante listones con tratamiento hidrófugo de 10x5 cm, para formación de puerta abatible y parte fija, con acabado de fachada ventalada de madera termotratada "thermopine finsa" de 120 mm puesta de canto para facilitar la extracción de aire, con acabado lasur incoloro, con doble rastrelado hidrófugo.
Incluye: Colocación y fijación del cerco. Colocación y fijación de los elementos de colgar. Colocación de la hoja.</t>
  </si>
  <si>
    <t>Pe.2</t>
  </si>
  <si>
    <t>Total 05.01.32</t>
  </si>
  <si>
    <t>Total 05.01</t>
  </si>
  <si>
    <t>05.02</t>
  </si>
  <si>
    <t>Puertas de entrada a vivienda</t>
  </si>
  <si>
    <t>05.02.01</t>
  </si>
  <si>
    <t>Puerta de entrada de 250x130x13,5 cm, de una hoja pivotante de madera</t>
  </si>
  <si>
    <t>Puerta de entrada de 250x130x13,5 cm, de una hoja pivotante de madera, con acabado interior madera maciza de roble natural satinado, acabado barniz incoloro, entramado interior con estructura metálica para evitar deformaciones en la hoja y lana de roca de 40 mm, tablero exterior DM hidrófugo sobre el que se coloca la fachada ventilada, de madera termotratada thermopine finsa 120 mm, con accabado lasur incoloro y doble rastrelado hidrófugo, junta vertical con lámina impermeable transpirable Tyvek. Incluye cerradura de seguridad.
Incluye: Colocación de los herrajes de colgar. Colocación de la hoja. Colocación de los herrajes de cierre. Colocación de accesorios.</t>
  </si>
  <si>
    <t>Pe.3</t>
  </si>
  <si>
    <t>Total 05.02.01</t>
  </si>
  <si>
    <t>Total 05.02</t>
  </si>
  <si>
    <t>05.03</t>
  </si>
  <si>
    <t>Puertas interiores</t>
  </si>
  <si>
    <t>05.03.01</t>
  </si>
  <si>
    <t>Pi.3 Puerta interior corredera</t>
  </si>
  <si>
    <t>Puerta interior corredera, ciega, de una hoja de 220x80x3,5 cm (80 cm de paso), de roble macizo, lisa; incluido armazón metalico, precerco de madera de 110x35 mm; galces de roble macizo de 110x20 mm; tapajuntas de roble macizo de 70x10 mm en ambas caras. Incluso herrajes de colgar, de cierre y tiradores mediante mecanizado en puerta 200x40mm y 12mm de profundidad..
Condena modelo JNF IN.04.236.06.
Acabado barnizado en taller con barniz al agua con acabado mate cero (poco brillo, similar al acabado de pavimento madera), 
Incluye: Presentación de la puerta. armazón metálico Colocación de los herrajes de colgar. Colocación de la hoja. Colocación de los herrajes de cierre. Colocación de accesorios. Ajuste final.</t>
  </si>
  <si>
    <t>Pi.3</t>
  </si>
  <si>
    <t>Total 05.03.01</t>
  </si>
  <si>
    <t>05.03.02</t>
  </si>
  <si>
    <t>Pi.5 Puerta interior abatible</t>
  </si>
  <si>
    <t>Puerta interior abatible, ciega, de una hoja de 220x97x3,5 cm, de roble macizo, lisa; sin batiente superior para continuidad de techo, precerco de madera de 110x35 mm; galces de roble macizo de 110x20 mm; tapajuntas de roble macizo de 70x10 mm en ambas caras. 
Con herrajes en acero inoxidable, Manilla modelo JNF IN.00.028B sin roseta
Acabado barnizado en taller con barniz al agua con acabado mate cero (poco brillo, similar al acabado de pavimento madera), 
Incluye: Presentación de la puerta. Colocación de los herrajes de colgar. Colocación de la hoja. Colocación de los herrajes de cierre. Colocación de accesorios. Ajuste final.</t>
  </si>
  <si>
    <t>Pi.5</t>
  </si>
  <si>
    <t>Total 05.03.02</t>
  </si>
  <si>
    <t>05.03.03</t>
  </si>
  <si>
    <t>Pi.9 Puerta interior abatible</t>
  </si>
  <si>
    <t>Puerta interior abatible, ciega, de una hoja de 241x97x3,5 cm, de tablero de MDF, lacada en blanco, lisa; sin batiente superior para continuidad de techo, precerco de madera de 110x35 mm; galces de MDF de 110x20 mm; tapajuntas de MDF de 70x10 mm en ambas caras. 
Con herrajes en acero inoxidable, Manilla modelo JNF IN.00.028B sin roseta.
Incluso bisagras, herrajes de colgar, de cierre y tiradores de madera de roble.
Incluye: Presentación de la puerta. Colocación de los herrajes de colgar. Colocación de la hoja. Colocación de los herrajes de cierre. Colocación de accesorios. Ajuste final.</t>
  </si>
  <si>
    <t>Pi.9</t>
  </si>
  <si>
    <t>Total 05.03.03</t>
  </si>
  <si>
    <t>05.03.04</t>
  </si>
  <si>
    <t>Pi.8 Puerta interior abatible</t>
  </si>
  <si>
    <t>Puerta interior abatible, ciega, de una hoja de 220x97x3,5 cm, de tablero de MDF, lacada en blanco, lisa; sin batiente superior para continuidad de techo, precerco de madera de 110x35 mm; galces de MDF de 110x20 mm; tapajuntas de MDF de 70x10 mm en ambas caras. 
Con herrajes en acero inoxidable, Manilla modelo JNF IN.00.028B sin roseta.
Incluso bisagras, herrajes de colgar, de cierre y tiradores de madera de roble.
Incluye: Presentación de la puerta. Colocación de los herrajes de colgar. Colocación de la hoja. Colocación de los herrajes de cierre. Colocación de accesorios. Ajuste final.</t>
  </si>
  <si>
    <t>Pi.8</t>
  </si>
  <si>
    <t>Total 05.03.04</t>
  </si>
  <si>
    <t>05.03.05</t>
  </si>
  <si>
    <t>Pi.6 Puerta interior corredera (Contra)</t>
  </si>
  <si>
    <t>Puerta interior corredera paralela al tabique, ciega, guia klein de una hoja de 230x65x3,5 cm,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</si>
  <si>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Pi.6</t>
  </si>
  <si>
    <t>Total 05.03.05</t>
  </si>
  <si>
    <t>05.03.06</t>
  </si>
  <si>
    <t>Pi.7 Puerta interior corredera</t>
  </si>
  <si>
    <t>Puerta interior corredera paralela al tabique, ciega, guia klein de una hoja de 230x98x3,5 cm,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</si>
  <si>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Pi.7</t>
  </si>
  <si>
    <t>Total 05.03.06</t>
  </si>
  <si>
    <t>05.03.07</t>
  </si>
  <si>
    <t>Pi.11 Puerta interior abatible</t>
  </si>
  <si>
    <t>Puerta interior abatible, ciega, de una hoja de 100x3,5 cm y altura variable de 218 a 240 cm, de tablero de MDF, lacada en blanco, lisa; sin batiente superior para continuidad de techo; precerco de pino país de 110x35 mm; galces de MDF de 110x20 mm; tapajuntas de MDF de 70x10 mm en ambas caras. Incluso bisagras, herrajes de colgar, de cierre.
Con herrajes en acero inoxidable, Manilla modelo JNF IN.00.028B sin roseta.
Incluye: Presentación de la puerta. Colocación de los herrajes de colgar. Colocación de la hoja. Colocación de los herrajes de cierre. Colocación de accesorios. Ajuste final.</t>
  </si>
  <si>
    <t>Pi.11</t>
  </si>
  <si>
    <t>Total 05.03.07</t>
  </si>
  <si>
    <t>05.03.08</t>
  </si>
  <si>
    <t>Pi.10 Puerta interior corredera</t>
  </si>
  <si>
    <t>Puerta interior corredera, ciega, de una hoja de 218x80x3,5 cm, de tablero de MDF, lacada en blanco, lisa; incluido armazón metalico, precerco de pino país de 110x35 mm; galces de MDF de 110x20 mm; tapajuntas de MDF de 70x10 mm en ambas caras. Incluso bisagras, herrajes de colgar, de cierre y tiradores mediante mecanizado en puerta 200x40mm y 12mm de profundidad.
Incluye: Presentación de la puerta. armazón metálico Colocación de los herrajes de colgar. Colocación de la hoja. Colocación de los herrajes de cierre. Colocación de accesorios. Ajuste final.</t>
  </si>
  <si>
    <t>Pi.10</t>
  </si>
  <si>
    <t>Total 05.03.08</t>
  </si>
  <si>
    <t>05.03.09</t>
  </si>
  <si>
    <t>Pi.11 Puerta interior corredera (Contra)</t>
  </si>
  <si>
    <t>Puerta interior corredera paralela al tabique, ciega, guia klein de una hoja de 195x70x3,5 cm,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</si>
  <si>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Total 05.03.09</t>
  </si>
  <si>
    <t>05.03.10</t>
  </si>
  <si>
    <t>Pi12 Puerta interior corredera (Contra)</t>
  </si>
  <si>
    <t>Puerta interior corredera paralela al tabique, ciega, guia klein de una hoja de 225x98x3,5 cm, (en caida hatsa 200)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</si>
  <si>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Pi.12</t>
  </si>
  <si>
    <t>Total 05.03.10</t>
  </si>
  <si>
    <t>05.03.11</t>
  </si>
  <si>
    <t>Pi13 Puerta interior corredera (Contra)</t>
  </si>
  <si>
    <t>Puerta interior corredera paralela al tabique, ciega, guia klein de una hoja de 170x150x3,5 cm, (en caida hatsa 135)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</si>
  <si>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Pi13</t>
  </si>
  <si>
    <t>Total 05.03.11</t>
  </si>
  <si>
    <t>Total 05.03</t>
  </si>
  <si>
    <t>05.04</t>
  </si>
  <si>
    <t>Puertas cortafuegos</t>
  </si>
  <si>
    <t>05.04.01</t>
  </si>
  <si>
    <t>Puerta cortafuegos de acero galvanizado homologada, EI2 45-C5, de una hoja, 800x2300 mm de luz y altura de paso, acabado lacado</t>
  </si>
  <si>
    <t>Puerta cortafuegos de acero galvanizado homologada, EI2 45-C5, de una hoja, 800x2300 mm de luz y altura de paso, acabado lacado en color blanco, con cierrapuertas para uso moderado.
Incluye: Marcado de puntos de fijación y aplomado del cerco. Fijación del cerco al paramento. Sellado de juntas perimetrales. Colocación de la hoja. Colocación de herrajes de cierre y accesorios.</t>
  </si>
  <si>
    <t>Pi.1</t>
  </si>
  <si>
    <t>Pi.2</t>
  </si>
  <si>
    <t>Total 05.04.01</t>
  </si>
  <si>
    <t>Total 05.04</t>
  </si>
  <si>
    <t>05.05</t>
  </si>
  <si>
    <t>Puertas de garaje</t>
  </si>
  <si>
    <t>05.05.01</t>
  </si>
  <si>
    <t>Puerta seccional para garaje</t>
  </si>
  <si>
    <t>Puerta seccional motorizada de garaje, formada por lamas de textura acanalada, de panel sándwich de aluminio con núcleo aislante de espuma de poliuretano, 545x230 cm, apertura automática.
Incluye: Colocación y fijación de los perfiles guía. Introducción del panel en las guías. Colocación y fijación del eje a los palieres. Tensado del muelle. Fijación del panel al tambor. Montaje del sistema de apertura. Montaje del sistema de accionamiento. Conexionado eléctrico. Repaso y engrase de mecanismos y guías.</t>
  </si>
  <si>
    <t>Total 05.05</t>
  </si>
  <si>
    <t>05.06</t>
  </si>
  <si>
    <t>Armarios</t>
  </si>
  <si>
    <t>05.06.01</t>
  </si>
  <si>
    <t>Armario, de cuatro hojas abatibles, lisas, de 265x215x60 cm, de tablero MDF lacado en blanco.</t>
  </si>
  <si>
    <t>Armario, de cuatro puertas abatibles lisas, 265x215x60 cm, de roble macizo,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</si>
  <si>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05.06.02</t>
  </si>
  <si>
    <t>Armario, de seis hojas abatibles, lisas, de 230x347x60 cm, de tablero MDF lacado en blanco.</t>
  </si>
  <si>
    <t>Armario, de seis puertas abatibles lisas, 230x347x60 cm,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</si>
  <si>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05.06.03</t>
  </si>
  <si>
    <t>Armario, de cuatro hojas abatibles, lisas, de 225x210x40 cm, de tablero MDF lacado en blanco.</t>
  </si>
  <si>
    <t>Armario, de cuatro puertas abatibles lisas, 225x210x40 cm,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</si>
  <si>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05.06.04</t>
  </si>
  <si>
    <t>Armario, de cuatro hojas abatibles, lisas, de 195x200x60 cm, de tablero MDF lacado en blanco.</t>
  </si>
  <si>
    <t>Armario, de cuatro puertas abatibles lisas, 195x200x60,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</si>
  <si>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05.06.05</t>
  </si>
  <si>
    <t>Armario, de cinco hojas abatibles, lisas, de 209x272x60 cm, de tablero MDF lacado en blanco.</t>
  </si>
  <si>
    <t>Armario, de cinco puertas abatibles lisas, 209x272x60,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</si>
  <si>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05.06.06</t>
  </si>
  <si>
    <t>Armario, de dos hojas abatibles, lisas, de 130x257x60 cm, de tablero MDF lacado en blanco.</t>
  </si>
  <si>
    <t>Armario, de cinco puertas abatibles lisas, 130x257x60,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</si>
  <si>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Total 05.06</t>
  </si>
  <si>
    <t>05.07</t>
  </si>
  <si>
    <t>Protectores solares y oscurecimiento</t>
  </si>
  <si>
    <t>Protectores solares</t>
  </si>
  <si>
    <t>05.07.01</t>
  </si>
  <si>
    <t>Estor enrollable, de 1310 mm de anchura y 2500 mm de altura  motorizado</t>
  </si>
  <si>
    <t>Estor enrollable, de 1310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</si>
  <si>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05.07.01</t>
  </si>
  <si>
    <t>05.07.02</t>
  </si>
  <si>
    <t>Estor enrollable, de 2400 mm de anchura y 2500 mm de altura  motorizado</t>
  </si>
  <si>
    <t>Estor enrollable, de 2400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</si>
  <si>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05.07.02</t>
  </si>
  <si>
    <t>05.07.03</t>
  </si>
  <si>
    <t>Estor enrollable, de 3150 mm de anchura y 650 mm de altura con guias y motorizado</t>
  </si>
  <si>
    <t>Estor enrollable, de 3150 mm de anchura y 650 mm de altura, con guias laterales y cajón para oscurecimiento total, Sistema ZI-BOX de BANDALUX, con tejido ingnífugo y opaco, BANDALUX BLACKOUT BO,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</si>
  <si>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V.21-V.22</t>
  </si>
  <si>
    <t>V.22-V.23</t>
  </si>
  <si>
    <t>Total 05.07.03</t>
  </si>
  <si>
    <t>05.07.04</t>
  </si>
  <si>
    <t>Estor enrollable, de 3600 mm de anchura y 800 mm de altura con guias y motorizado</t>
  </si>
  <si>
    <t>Estor enrollable, de 3600 mm de anchura y 800 mm de altura, con guias laterales y cajón para oscurecimiento total, Sistema ZI-BOX de BANDALUX, con tejido ingnífugo y opaco, BANDALUX BLACKOUT BO,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</si>
  <si>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V.30-V.31</t>
  </si>
  <si>
    <t>Total 05.07.04</t>
  </si>
  <si>
    <t>05.07.06</t>
  </si>
  <si>
    <t>Persiana enrollable con cajón (monoblock).</t>
  </si>
  <si>
    <t>Persiana enrollable CORTIZO ISOLATION, de lamas autoblocantes de aluminio extrusionado, con cajón térmico mejorado (monoblock), equipada con eje, discos, cápsulas y todos sus accesorios guías, herrajes de cierre en la lama final de remate, con accionamiento automático con motor eléctrico.
Incluye: Replanteo y nivelación del cajón de persiana sobre la carpintería. Fijación del cajón mediante atornillado.
Criterio de medición de proyecto: Superficie del hueco a cerrar, medida según documentación gráfica de Proyecto.
Criterio de medición de obra: Se medirá, con las dimensiones del hueco, la superficie realmente ejecutada según especificaciones de Proyecto.</t>
  </si>
  <si>
    <t>Total 05.07.06</t>
  </si>
  <si>
    <t>05.07.07</t>
  </si>
  <si>
    <t>Estor enrollable, de 1400 mm de anchura y 2500 mm de altura  motorizado</t>
  </si>
  <si>
    <t>Estor enrollable, de 1400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</si>
  <si>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05.07.07</t>
  </si>
  <si>
    <t>Total 05.07</t>
  </si>
  <si>
    <t>05.08</t>
  </si>
  <si>
    <t>Vidrios</t>
  </si>
  <si>
    <t>05.08.01</t>
  </si>
  <si>
    <t>Doble acristalamiento 4+4/14Ar/6 PLANITHERM XN</t>
  </si>
  <si>
    <t>Doble acristalamiento SGG CLIMALIT PLUS PLANITHERM XN F2 44.2/14 argón 90%/6 "SAINT GOBAIN", conjunto formado por vidrio exterior STADIP PROTECT de 4+4 mm, compuesto por dos lunas de vidrio laminar de 4 mm unidas mediante una lámina incolora de butiral de polivinilo, con capa de baja emisividad térmica incorporada en la cara interior, cámara de gas deshidratada con perfil separador de aluminio y doble sellado perimetral, de 14 mm, rellena de gas argón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</si>
  <si>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05.08.01</t>
  </si>
  <si>
    <t>05.08.02</t>
  </si>
  <si>
    <t>Doble acristalamiento 4+4/14Ar/6 PLANITHERM 4S</t>
  </si>
  <si>
    <t>Doble acristalamiento SGG CLIMALIT PLUS PLANITHERM 4S F2 44.2/10 aire/6 "SAINT GOBAIN", conjunto formado por vidrio exterior STADIP PROTECT de 4+4 mm, compuesto por dos lunas de vidrio laminar de 4 mm unidas mediante una lámina incolora de butiral de polivinilo, con capa de control solar y baja emisividad térmica incorporada en la cara interior, cámara de aire deshidratada con perfil separador de aluminio y doble sellado perimetral, de 10 mm,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</si>
  <si>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05.08.02</t>
  </si>
  <si>
    <t>05.08.03</t>
  </si>
  <si>
    <t>Doble acristalamiento 6/14Ar/4+4 PLANITHERM XN</t>
  </si>
  <si>
    <t>Doble acristalamiento SGG CLIMALIT PLUS PLANITHERM XN F2 6/14 argón 90%/44.2 "SAINT GOBAIN", conjunto formado por vidrio exterior PLANITHERM XN de 6 mm,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</si>
  <si>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05.08.03</t>
  </si>
  <si>
    <t>05.08.04</t>
  </si>
  <si>
    <t>Doble acristalamiento 6/14Ar/4+4 PLANITHERM 4S</t>
  </si>
  <si>
    <t>Doble acristalamiento SGG CLIMALIT PLUS PLANITHERM 4S F2 6/14 argón 90%/44.2 "SAINT GOBAIN", conjunto formado por vidrio exterior PLANITHERM 4S de 6 mm,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</si>
  <si>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05.08.04</t>
  </si>
  <si>
    <t>05.08.05</t>
  </si>
  <si>
    <t>Doble acristalamiento 6+6/14Ar/4+4 PLANITHERM XN</t>
  </si>
  <si>
    <t>Doble acristalamiento SGG CLIMALIT PLUS PLANITHERM XN F2 66.2/14 argón 90%/44.2 "SAINT GOBAIN", conjunto formado por vidrio exterior STADIP de 6+6 mm, compuesto por dos lunas de vidrio laminar de 6 mm unidas mediante una lámina incolora de butiral de polivinilo,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34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</si>
  <si>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05.08.05</t>
  </si>
  <si>
    <t>05.08.06</t>
  </si>
  <si>
    <t>Doble acristalamiento 6/14Ar/4+4 PLANITHERM 4S (STADIP SILENCE)</t>
  </si>
  <si>
    <t>Doble acristalamiento SGG CLIMALIT PLUS PLANITHERM 4S F2 6/14 argón 90%/44.2 "SAINT GOBAIN", conjunto formado por vidrio exterior PLANITHERM 4S de 6 mm, con capa de baja emisividad térmica incorporada en la cara interior, cámara de gas deshidratada con perfil separador de aluminio y doble sellado perimetral, de 14 mm, rellena de gas argón y vidrio interior STADIP SILENCE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</si>
  <si>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05.08.06</t>
  </si>
  <si>
    <t>05.08.07</t>
  </si>
  <si>
    <t>Doble acristalamiento 6/14Ar/4+4 PLANITHERM XN (STADIP SILENCE)</t>
  </si>
  <si>
    <t>Doble acristalamiento SGG CLIMALIT PLUS PLANITHERM XN F2 6/14 argón 90%/44.2 "SAINT GOBAIN", conjunto formado por vidrio exterior PLANITHERM XN de 6 mm, con capa de baja emisividad térmica incorporada en la cara interior, cámara de gas deshidratada con perfil separador de aluminio y doble sellado perimetral, de 14 mm, rellena de gas argón y vidrio interior STADIP SILENCE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</si>
  <si>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05.08.07</t>
  </si>
  <si>
    <t>05.08.08</t>
  </si>
  <si>
    <t>Doble acristalamiento 4+4/14Ar/6 PLANITHERM 4S (STADIP SILENCE)</t>
  </si>
  <si>
    <t>Doble acristalamiento SGG CLIMALIT PLUS PLANITHERM 4S F2 44.2/10 aire/6 "SAINT GOBAIN", conjunto formado por vidrio exterior STADIP SILENCE de 4+4 mm, compuesto por dos lunas de vidrio laminar de 4 mm unidas mediante una lámina incolora de butiral de polivinilo, con capa de control solar y baja emisividad térmica incorporada en la cara interior, cámara de aire deshidratada con perfil separador de aluminio y doble sellado perimetral, de 10 mm,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</si>
  <si>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05.08.08</t>
  </si>
  <si>
    <t>05.08.09</t>
  </si>
  <si>
    <t>Total 05.08.09</t>
  </si>
  <si>
    <t>05.08.10</t>
  </si>
  <si>
    <t>Doble acristalamiento 6+6/14Ar/4+4 PLANITHERM 4S</t>
  </si>
  <si>
    <t>Doble acristalamiento SGG CLIMALIT PLUS PLANITHERM 4S F2 66.2/14 argón 90%/44.2 "SAINT GOBAIN", conjunto formado por vidrio exterior STADIP de 6+6 mm, compuesto por dos lunas de vidrio laminar de 6 mm unidas mediante una lámina incolora de butiral de polivinilo, con capa de control solar y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34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</si>
  <si>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05.08.10</t>
  </si>
  <si>
    <t>Total 05.08</t>
  </si>
  <si>
    <t>Total 05</t>
  </si>
  <si>
    <t>06</t>
  </si>
  <si>
    <t>Remates y ayudas</t>
  </si>
  <si>
    <t>06.01</t>
  </si>
  <si>
    <t>Remates</t>
  </si>
  <si>
    <t>06.01.01</t>
  </si>
  <si>
    <t>Recercado de huecos con plancha de aluminio anodizado GRIS GRATA , de 0,6 mm de espesor</t>
  </si>
  <si>
    <t>Recercado de huecos con plancha de aluminio anodizado GRIS GRATA, de 0,6 mm de espesor, cortada a medida, fijada con tornillos de acero galvanizado, anclada al paramento, con anclajes mecánicos con taco de nylon y tornillo de acero galvanizado, de cabeza avellanada.
Incluye: Preparación y limpieza de la superficie a revestir. Replanteo de juntas, huecos y encuentros. Replanteo de los perfiles sobre el paramento. Fijación de los perfiles sobre el paramento. Corte y preparación del revestimiento. Colocación y fijación del revestimiento. Resolución del perímetro del revestimiento. Limpieza de la superficie.</t>
  </si>
  <si>
    <t>Despacho</t>
  </si>
  <si>
    <t>Entrada</t>
  </si>
  <si>
    <t>Dsitribuidor</t>
  </si>
  <si>
    <t>Salón/Comedor</t>
  </si>
  <si>
    <t>Distribuidor</t>
  </si>
  <si>
    <t>Acceso</t>
  </si>
  <si>
    <t>Dormitorio 1</t>
  </si>
  <si>
    <t>Estancia</t>
  </si>
  <si>
    <t>Dormitorio 2</t>
  </si>
  <si>
    <t>Dormitorio 3</t>
  </si>
  <si>
    <t>Total 06.01.01</t>
  </si>
  <si>
    <t>06.01.02</t>
  </si>
  <si>
    <t>ud</t>
  </si>
  <si>
    <t>Sellado de pasamuros</t>
  </si>
  <si>
    <t>Sellado de hueco pasamuros de entre 20 y 35 mm de diámetro interior para paso de los tensores del encofrado, en muro de hormigón, con cordón de polietileno expandido de celdas cerradas, de sección circular de 20 mm de diámetro, para fondo de junta; masilla elastómera monocomponente a base de poliuretano, de color gris, aplicada con pistola desde el fondo de junta hacia fuera; y posterior revestimiento con mortero tixotrópico monocomponente, modificado con polímeros, reforzado con fibras de nivelación superficial y fraguado rápido (45 minutos), con una resistencia a compresión a 28 días mayor o igual a 25 N/mm² y una resistencia a la abrasión según el método Böhme UNE-EN 13892-3 de 13,6 cm³ / 50 cm², clase R2 según UNE-EN 1504-3, Euroclase F de reacción al fuego, según UNE-EN 13501-1, Euroclase F de reacción al fuego, según UNE-EN 13501-1.
Incluye el remate exterior visto de cualquier tipo a definir por D.F. y propiedad, se realizarán muestras previamente para posterior decisión.</t>
  </si>
  <si>
    <t>totalidad de la obra</t>
  </si>
  <si>
    <t>Total 06.01.02</t>
  </si>
  <si>
    <t>Total 06.01</t>
  </si>
  <si>
    <t>06.02</t>
  </si>
  <si>
    <t>Ayudas de albañilería</t>
  </si>
  <si>
    <t>06.02.01</t>
  </si>
  <si>
    <t>Repercusión por m² de superficie construida de obra, de ayudas de cualquier trabajo de albañilería, necesarias para la correcta</t>
  </si>
  <si>
    <t>Repercusión por m² de superficie construida de obra, de ayudas de cualquier trabajo de albañilería, necesarias para la correcta ejecución de la instalación audiovisual formada por: sistema colectivo de captación de señales de TV y radio, sistema de interfonía y/o vídeo (placa de calle, módulo amplificador, módulo pulsador, alimentador de audio, monitor de teléfono y abrepuerta), mecanismos y accesorios,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</si>
  <si>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06.02.02</t>
  </si>
  <si>
    <t>Repercusión por m² de superficie construida de obra, de ayudas de cualquier trabajo de albañilería, necesarias para la correcta ejecución de la infraestructura de telecomunicaciones formada por: canalizaciones y registro de enlace, registro de terminación de red, canalización interior de usuario, registros de paso y registros de toma,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</si>
  <si>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06.02.03</t>
  </si>
  <si>
    <t>Repercusión por m² de superficie construida de obra, de ayudas de cualquier trabajo de albañilería, necesarias para la correcta ejecución de la instalación de calefacción formada por: aerotermia, tuberías de distribución de agua, suelo radiante, y cualquier otro elemento componente de la instalación,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</si>
  <si>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06.02.04</t>
  </si>
  <si>
    <t>Repercusión por m² de superficie construida de obra, de ayudas de cualquier trabajo de albañilería, necesarias para la correcta ejecución de la instalación de salubridad formada por: sistema de evacuación (bajantes interiores y exteriores de aguas pluviales y residuales, canalones, botes sifónicos, colectores suspendidos, sistemas de elevación, derivaciones individuales y cualquier otro elemento componente de la instalación), sistema de ventilación (red de conductos de ventilación, rejillas interiores o exteriores de impulsión o retorno, difusores, compuertas y cualquier otro elemento componente de la instalación que deba recibirse en falsos techos, particiones interiores, suelos técnicos o cerramientos de fachada),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Tapado de agujeros y huecos de paso de instalaciones.</t>
  </si>
  <si>
    <t>06.02.05</t>
  </si>
  <si>
    <t>Repercusión por m² de superficie construida de obra, de ayudas de cualquier trabajo de albañilería, necesarias para la correcta ejecución de la instalación de fontanería formada por: acometida, tubo de alimentación, contador individual, grupo de presión, depósito, montantes, instalación interior, cualquier otro elemento componente de la instalación, accesorios y piezas especiales,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</si>
  <si>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06.02.06</t>
  </si>
  <si>
    <t>Repercusión por m² de superficie construida de obra, de ayudas de cualquier trabajo de albañilería, necesarias para la correcta ejecución de la instalación de apliques y luminarias para iluminación,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</si>
  <si>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06.02.08</t>
  </si>
  <si>
    <t>Repercusión por m² de superficie construida de obra, de ayudas de cualquier trabajo de albañilería, necesarias para la correcta ejecución de la instalación de protección contra incendios formada por: equipos de detección y alarma, alumbrado de emergencia, equipos de extinción, ventilación, mecanismos y accesorios,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</si>
  <si>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Total 06.02</t>
  </si>
  <si>
    <t>06.03</t>
  </si>
  <si>
    <t>Forrados</t>
  </si>
  <si>
    <t>06.03.01</t>
  </si>
  <si>
    <t>Forrado de conductos para instalaciones, en cubierta inclinada, de 0,25 m² de sección y 1 m de altura, realizado con fábrica de</t>
  </si>
  <si>
    <t>Forrado de conductos para instalaciones, en cubierta inclinada, de 0,25 m² de sección y 1 m de altura, realizado con fábrica de ladrillo cerámico hueco para revestir, recibida y enfoscada exteriormente con mortero de cemento, industrial, M-5.
Incluye: Replanteo y trazado en el forjado de los tabiques a realizar. Colocación y aplomado de miras de referencia. Colocación de los ladrillos, previamente humedecidos, por hiladas enteras. Repaso de juntas y limpieza. Enfoscado de la superficie.</t>
  </si>
  <si>
    <t>Total 06.03</t>
  </si>
  <si>
    <t>06.04</t>
  </si>
  <si>
    <t>Recibidos</t>
  </si>
  <si>
    <t>06.04.01</t>
  </si>
  <si>
    <t>Recibido de plato de ducha de cualquier medida, mediante formación de meseta de elevación con ladrillo cerámico hueco sencillo,</t>
  </si>
  <si>
    <t>Recibido de plato de ducha de obra cualquier medida, mediante formación de meseta
Incluye: Replanteo. Apertura de rozas. Colocación y nivelación del plato de ducha. Protección con tablero aglomerado de madera. Limpieza y eliminación del material sobrante.</t>
  </si>
  <si>
    <t>Total 06.04.01</t>
  </si>
  <si>
    <t>06.04.02</t>
  </si>
  <si>
    <t>Recibido de carpintería de aluminio, acero o PVC, con patillas de anclaje, de hasta 2 m² de superficie, con mortero de cemento,</t>
  </si>
  <si>
    <t>Recibido de carpintería de aluminio, acero o PVC, con patillas de anclaje, de hasta 2 m² de superficie, con mortero de cemento, industrial, con aditivo hidrófugo, M-5.
Incluye: Replanteo. Apertura de huecos para embutir los anclajes. Nivelación y aplomado. Apuntalamiento. Tapado de huecos con mortero.</t>
  </si>
  <si>
    <t>HEA020</t>
  </si>
  <si>
    <t>Recibido de bañera.</t>
  </si>
  <si>
    <t>Recibido de bañera y  formación de faldones con ladrillo cerámico hueco sencillo, recibido con mortero de cemento, industrial, M-5, con enforcado mediante mortero hidrófugo.
Incluye: Replanteo. Apertura de rozas. Retacado con arena. Colocación y nivelación de la bañera. Ejecución de los faldones. Protección con tablero aglomerado de madera. Limpieza y eliminación del material sobrante.
Criterio de medición de proyecto: Número de unidades previstas, según documentación gráfica de Proyecto.
Criterio de medición de obra: Se medirá el número de unidades realmente ejecutadas según especificaciones de Proyecto.</t>
  </si>
  <si>
    <t>Total HEA020</t>
  </si>
  <si>
    <t>Total 06.04</t>
  </si>
  <si>
    <t>06.05</t>
  </si>
  <si>
    <t>Recrecido</t>
  </si>
  <si>
    <t>06.05.01</t>
  </si>
  <si>
    <t>Recrecido pisos mortero cemento</t>
  </si>
  <si>
    <t>Recrecido de pisos para formación de pendiente de espesor mínima de 5 cm con mortero seco para recrecido de suelos, con resistencia a compresión M10, i/maestreado, formación de pendiente mín 5%  y acabado para aplicación de impermeabilizante.</t>
  </si>
  <si>
    <t>cubierta de cuarto de instalaciones</t>
  </si>
  <si>
    <t>Total 06.05.01</t>
  </si>
  <si>
    <t>Total 06.05</t>
  </si>
  <si>
    <t>06.06</t>
  </si>
  <si>
    <t>Limpieza de muro de HA visto</t>
  </si>
  <si>
    <t>06.06.01</t>
  </si>
  <si>
    <t>Limpieza manual de muros de HA</t>
  </si>
  <si>
    <t>Limpieza de superficies de hormigón visto en paramentos verticales y horizontales por medios manuales, mediante un cepillo de púas metálicas, hasta que las superficies queden sólidas y libres de material disgregado y de sustancias tales como aceites, grasas, polvo y cualquier tipo de suciedad que pueda deteriorar la adherencia. Incluyendo todo tipo de medios auxiliares y hasta aprobación de D.F.</t>
  </si>
  <si>
    <t>FACHADAS</t>
  </si>
  <si>
    <t>Lateral 1</t>
  </si>
  <si>
    <t>Lateral 2</t>
  </si>
  <si>
    <t>Frontal 3</t>
  </si>
  <si>
    <t>Frontal 4</t>
  </si>
  <si>
    <t>INTERIORES</t>
  </si>
  <si>
    <t>Muro Tipo 1</t>
  </si>
  <si>
    <t>Muro Tipo 2</t>
  </si>
  <si>
    <t>TECHO DE LOSA</t>
  </si>
  <si>
    <t>PILARES</t>
  </si>
  <si>
    <t>P1</t>
  </si>
  <si>
    <t>P2</t>
  </si>
  <si>
    <t>Total 06.06.01</t>
  </si>
  <si>
    <t>Total 06.06</t>
  </si>
  <si>
    <t>Total 06</t>
  </si>
  <si>
    <t>07</t>
  </si>
  <si>
    <t>Instalaciones</t>
  </si>
  <si>
    <t>07.01</t>
  </si>
  <si>
    <t>Infraestructura de telecomunicaciones</t>
  </si>
  <si>
    <t>07.01.01</t>
  </si>
  <si>
    <t>Suministro e instalación enterrada de canalización externa, entre la arqueta de entrada y el registro de enlace inferior en el i</t>
  </si>
  <si>
    <t>Suministro e instalación enterrada de canalización externa, entre la arqueta de entrada y el registro de enlace inferior en el interior del edificio o directamente en el RITI o RITU, en edificación de hasta 4 PAU, formada por 3 tubos (2 TBA+STDP, 1 reserva) de polietileno de 63 mm de diámetro, suministrado en rollo, resistencia a la compresión 450 N, resistencia al impacto 20 julios, ejecutada en zanja de 45x75 cm, con los tubos embebidos en un prisma de hormigón en masa HM-20/B/20/I con 6 cm de recubrimiento superior e inferior y 5,5 cm de recubrimiento lateral. Incluso soportes separadores de tubos de PVC colocados cada 100 cm e hilo guía.
Incluye: Replanteo del recorrido de la canalización. Refinado de fondos y laterales a mano, con extracción de las tierras. Vertido y compactación del hormigón en formación de solera. Presentación en seco de los tubos. Vertido y compactación del hormigón para formación del prisma.</t>
  </si>
  <si>
    <t>07.01.02</t>
  </si>
  <si>
    <t>Suministro e instalación empotrada de canalización de enlace superior entre el punto de entrada general superior de la vivienda</t>
  </si>
  <si>
    <t>Suministro e instalación empotrada de canalización de enlace superior entre el punto de entrada general superior de la vivienda y el registro de terminación de red, para vivienda unifamiliar, formada por 2 tubos de polipropileno flexible, corrugados de 40 mm de diámetro, resistencia a la compresión 320 N, resistencia al impacto 2 julios. Incluso accesorios, elementos de sujeción e hilo guía.
Incluye: Replanteo del recorrido de la canalización. Colocación y fijación de los tubos. Colocación del hilo guía.</t>
  </si>
  <si>
    <t>07.01.03</t>
  </si>
  <si>
    <t>Suministro e instalación empotrada de canalización secundaria en tramo comunitario, entre el registro secundario y el registro d</t>
  </si>
  <si>
    <t>Suministro e instalación empotrada de canalización secundaria en tramo comunitario, entre el registro secundario y el registro de terminación de red en el interior de la vivienda, en edificación de hasta 2 PAU, formada por 4 tubos (1 RTV, 1 cable de pares o cable de pares trenzados, 1 cable coaxial, 1 cable de fibra óptica) de PVC flexible, corrugados, reforzados de 32 mm de diámetro, resistencia a la compresión 320 N, resistencia al impacto 2 julios. Incluso accesorios, elementos de sujeción e hilo guía.
Incluye: Replanteo del recorrido de la canalización. Colocación y fijación de los tubos. Colocación del hilo guía.</t>
  </si>
  <si>
    <t>07.01.04</t>
  </si>
  <si>
    <t>Suministro e instalación empotrada de registro de terminación de red, formado por caja de plástico para disposición del equipami</t>
  </si>
  <si>
    <t>Suministro e instalación empotrada de registro de terminación de red, formado por caja de plástico para disposición del equipamiento principalmente en vertical, de 500x600x80 mm. Incluso tapa, accesorios, piezas especiales y fijaciones.
Incluye: Replanteo. Colocación y fijación de la caja.</t>
  </si>
  <si>
    <t>Total 07.01</t>
  </si>
  <si>
    <t>07.02</t>
  </si>
  <si>
    <t>Audiovisuales</t>
  </si>
  <si>
    <t>07.02.01</t>
  </si>
  <si>
    <t>Mástil para fijación de 3 antenas, de tubo de acero con tratamiento anticorrosión, de 3 m de altura, 40 mm de diámetro y 2 mm de</t>
  </si>
  <si>
    <t>Mástil para fijación de 3 antenas, de tubo de acero con tratamiento anticorrosión, de 3 m de altura, 40 mm de diámetro y 2 mm de espesor. Incluso anclajes y cuantos accesorios sean necesarios para su correcta instalación.
Incluye: Replanteo. Montaje.</t>
  </si>
  <si>
    <t>07.02.02</t>
  </si>
  <si>
    <t>Antena exterior FM, circular, para captación de señales de radiodifusión sonora analógica procedentes de emisiones terrenales, d</t>
  </si>
  <si>
    <t>Antena exterior FM, circular, para captación de señales de radiodifusión sonora analógica procedentes de emisiones terrenales, de 0 dB de ganancia y 500 mm de longitud. Incluso anclajes y cuantos accesorios sean necesarios para su correcta instalación.
Incluye: Replanteo.</t>
  </si>
  <si>
    <t>07.02.03</t>
  </si>
  <si>
    <t>Antena exterior DAB para captación de señales de radiodifusión sonora digital procedentes de emisiones terrenales, de 1 elemento</t>
  </si>
  <si>
    <t>Antena exterior DAB para captación de señales de radiodifusión sonora digital procedentes de emisiones terrenales, de 1 elemento, 0 dB de ganancia, 15 dB de relación D/A y 555 mm de longitud. Incluso anclajes y cuantos accesorios sean necesarios para su correcta instalación.
Incluye: Replanteo.</t>
  </si>
  <si>
    <t>07.02.04</t>
  </si>
  <si>
    <t>Antena exterior UHF para captación de señales de televisión analógica, televisión digital terrestre (TDT) y televisión de alta d</t>
  </si>
  <si>
    <t>Antena exterior UHF para captación de señales de televisión analógica, televisión digital terrestre (TDT) y televisión de alta definición (HDTV) procedentes de emisiones terrenales, canales del 21 al 60, de 13 elementos, 13 dB de ganancia, 25 dB de relación D/A. Incluso anclajes y cuantos accesorios sean necesarios para su correcta instalación.
Incluye: Replanteo.</t>
  </si>
  <si>
    <t>07.02.05</t>
  </si>
  <si>
    <t>Amplificador de mástil, de 3 entradas, BI/FM/BIII-UHF-FI, de 35 dB de ganancia máxima. Incluso conectores tipo "F", fuente de al</t>
  </si>
  <si>
    <t>Amplificador de mástil, de 3 entradas, BI/FM/BIII-UHF-FI, de 35 dB de ganancia máxima. Incluso conectores tipo "F", fuente de alimentación, carga resistiva y cuantos accesorios sean necesarios para su correcta instalación.
Incluye: Montaje, conexionado y comprobación de su correcto funcionamiento.</t>
  </si>
  <si>
    <t>07.02.06</t>
  </si>
  <si>
    <t>Cable coaxial RG-6 de 75 Ohm de impedancia característica media, reacción al fuego clase Eca, con conductor central de cobre de</t>
  </si>
  <si>
    <t>Cable coaxial RG-6 de 75 Ohm de impedancia característica media, reacción al fuego clase Eca, con conductor central de cobre de 1,15 mm de diámetro, dieléctrico de polietileno celular, pantalla de cinta de aluminio/polipropileno/aluminio, malla de hilos trenzados de cobre y cubierta exterior de PVC de 6,9 mm de diámetro de color blanco. Incluso accesorios y elementos de sujeción.
Incluye: Tendido de cables.</t>
  </si>
  <si>
    <t>07.02.07</t>
  </si>
  <si>
    <t>Cable coaxial RG-6 de 75 Ohm de impedancia característica media, reacción al fuego clase Fca, con conductor central de cobre de</t>
  </si>
  <si>
    <t>Cable coaxial RG-6 de 75 Ohm de impedancia característica media, reacción al fuego clase Fca, con conductor central de cobre de 1,15 mm de diámetro, dieléctrico de polietileno celular, pantalla de cinta de aluminio/polipropileno/aluminio, malla de hilos trenzados de cobre y cubierta exterior de PE de 6,9 mm de diámetro de color negro. Incluso accesorios y elementos de sujeción.
Incluye: Tendido de cables.</t>
  </si>
  <si>
    <t>Red exterior</t>
  </si>
  <si>
    <t>Total 07.02.07</t>
  </si>
  <si>
    <t>07.02.08</t>
  </si>
  <si>
    <t>Distribuidor de 5-2400 MHz de 6 salidas con punto de acceso a usuario (PAU), de 11,5 dB de pérdidas de inserción a 850 MHz y 14</t>
  </si>
  <si>
    <t>Distribuidor de 5-2400 MHz de 6 salidas con punto de acceso a usuario (PAU), de 11,5 dB de pérdidas de inserción a 850 MHz y 14 dB de pérdidas de inserción a 2150 MHz.
Incluye: Colocación del distribuidor. Conexionado y comprobación de su correcto funcionamiento.</t>
  </si>
  <si>
    <t>07.02.09</t>
  </si>
  <si>
    <t>Toma separadora doble, TV/R-SAT, de 5-2400 MHz, con embellecedor.</t>
  </si>
  <si>
    <t>Toma separadora doble, TV/R-SAT, de 5-2400 MHz, con embellecedor.
Incluye: Montaje, conexionado y comprobación de su correcto funcionamiento.</t>
  </si>
  <si>
    <t>07.02.10</t>
  </si>
  <si>
    <t>Cable rígido U/UTP no propagador de la llama de 4 pares trenzados de cobre, categoría 6, reacción al fuego clase Dca-s2,d2,a2 se</t>
  </si>
  <si>
    <t>Cable rígido U/UTP no propagador de la llama de 4 pares trenzados de cobre, categoría 6, reacción al fuego clase Dca-s2,d2,a2 según UNE-EN 50575, con conductor unifilar de cobre, aislamiento de polietileno y vaina exterior de poliolefina termoplástica LSFH libre de halógenos, con baja emisión de humos y gases corrosivos, de 6,2 mm de diámetro. Incluso accesorios y elementos de sujeción.
Incluye: Tendido de cables.</t>
  </si>
  <si>
    <t>Total 07.02.10</t>
  </si>
  <si>
    <t>07.02.11</t>
  </si>
  <si>
    <t>Toma simple con conector tipo RJ-45 de 8 contactos, categoría 6, marco y embellecedor.</t>
  </si>
  <si>
    <t>Toma simple con conector tipo RJ-45 de 8 contactos, categoría 6, marco y embellecedor.
Incluye: Montaje, conexionado y comprobación de su correcto funcionamiento.</t>
  </si>
  <si>
    <t>07.02.12</t>
  </si>
  <si>
    <t>Instalación de kit de videoportero convencional B/N antivandálico para vivienda unifamiliar compuesto de: placa exterior de call</t>
  </si>
  <si>
    <t>Instalación de kit de videoportero convencional B/N antivandálico para vivienda unifamiliar compuesto de: placa exterior de calle antivandálica con pulsador de llamada y telecámara, fuente de alimentación y monitor con base de conexión. Incluso abrepuertas, visera, cableado y cajas. Integrado en buzon exterior de acero galvanizado en caliente, y empotrado en muro de cierre. Según diseño e indicaciones de D.F.
Incluye: Replanteo y trazado. Colocación y fijación de tubos y cajas. Tendido de cables. Montaje, conexionado y comprobación de su correcto funcionamiento.</t>
  </si>
  <si>
    <t>Total 07.02</t>
  </si>
  <si>
    <t>07.03</t>
  </si>
  <si>
    <t>Calefacción, climatización y A.C.S.</t>
  </si>
  <si>
    <t>07.03.01</t>
  </si>
  <si>
    <t>Punto de llenado formado por 2 m de tubo de polietileno reticulado (PE-Xa), con barrera de oxígeno (EVOH), de 16 mm de diámetro</t>
  </si>
  <si>
    <t>Punto de llenado formado por 2 m de tubo de polietileno reticulado (PE-Xa), con barrera de oxígeno (EVOH), de 16 mm de diámetro exterior y 2 mm de espesor, PN=6 atm, para climatización, colocado superficialmente, con aislamiento mediante coquilla flexible de espuma elastomérica.
Incluye: Replanteo del recorrido de las tuberías, accesorios y piezas especiales. Colocación y fijación de tuberías, accesorios y piezas especiales. Colocación del aislamiento. Realización de pruebas de servicio.</t>
  </si>
  <si>
    <t>Vivienda</t>
  </si>
  <si>
    <t>Total 07.03.01</t>
  </si>
  <si>
    <t>07.03.02</t>
  </si>
  <si>
    <t>Punto de vaciado formado por 2 m de tubo de polietileno reticulado (PE-Xa), con barrera de oxígeno (EVOH), de 25 mm de diámetro</t>
  </si>
  <si>
    <t>Punto de vaciado formado por 2 m de tubo de polietileno reticulado (PE-Xa), con barrera de oxígeno (EVOH), de 25 mm de diámetro exterior y 2,3 mm de espesor, PN=6 atm, para climatización, colocado superficialmente.
Incluye: Replanteo del recorrido de las tuberías, accesorios y piezas especiales. Colocación y fijación de tuberías, accesorios y piezas especiales. Realización de pruebas de servicio.</t>
  </si>
  <si>
    <t>Total 07.03.02</t>
  </si>
  <si>
    <t>07.03.03</t>
  </si>
  <si>
    <t>Bomba circuladora doble, de rotor húmedo, de hierro fundido, con motores de imán permanente, con variadores de frecuencia incorp</t>
  </si>
  <si>
    <t>Bomba circuladora doble, de rotor húmedo, de hierro fundido, con motores de imán permanente, con variadores de frecuencia incorporados y ventilación automática, con cuatro modos de funcionamiento seleccionables desde el panel de control (modo automático, presión proporcional, presión constante y velocidad constante), modelo Ego T 80 "EBARA".
Incluye: Replanteo. Colocación de la bomba de circulación. Conexión a la red de distribución.</t>
  </si>
  <si>
    <t>07.03.04</t>
  </si>
  <si>
    <t>Vaso de expansión, capacidad 5 l.</t>
  </si>
  <si>
    <t>Vaso de expansión, capacidad 5 l.
Incluye: Replanteo del vaso de expansión. Colocación del vaso de expansión. Conexión del vaso de expansión a la red de distribución.</t>
  </si>
  <si>
    <t>Total 07.03.04</t>
  </si>
  <si>
    <t>07.03.05</t>
  </si>
  <si>
    <t>Válvula de 3 vías de 1/2", mezcladora, con actuador de 230 V.</t>
  </si>
  <si>
    <t>Válvula de 3 vías de 1/2", mezcladora, con actuador de 230 V.
Incluye: Replanteo. Colocación de la válvula. Conexión de la válvula a los tubos.</t>
  </si>
  <si>
    <t>07.03.06</t>
  </si>
  <si>
    <t>Purgador automático de aire con boya y rosca de 1/2" de diámetro, cuerpo y tapa de latón.</t>
  </si>
  <si>
    <t>Purgador automático de aire con boya y rosca de 1/2" de diámetro, cuerpo y tapa de latón.
Incluye: Replanteo. Colocación del purgador. Conexionado.</t>
  </si>
  <si>
    <t>07.03.07</t>
  </si>
  <si>
    <t>Sistema de calefacción por suelo radiante compuesto por banda de espuma de polietileno (PE), de 150x10 mm con autonivelante</t>
  </si>
  <si>
    <t>Sistema de calefacción por suelo radiante compuesto por banda de espuma de polietileno (PE), de 150x10 mm, panel portatubos aislante de poliestireno expandido (EPS), de 30 kg/m³ de densidad, de 1450x850 mm y 33 mm de espesor, tubo de polietileno reticulado (PE-Xa) con barrera de oxígeno y capa de protección de polietileno (PE) modificado, de 17 mm de diámetro exterior y 2 mm de espesor, y mortero autonivelante, CA - C20 - F4 según UNE-EN 13813, de 40 a 70 mm de espesor según estancia.
Incluye: Preparación y limpieza de la superficie de apoyo. Replanteo de la instalación. Fijación del zócalo perimetral. Colocación de los paneles. Replanteo de la tubería. Colocación y fijación de las tuberías. Vertido y extendido de la capa de mortero autonivelante. Realización de pruebas de servicio.</t>
  </si>
  <si>
    <t>Total 07.03.07</t>
  </si>
  <si>
    <t>07.03.08</t>
  </si>
  <si>
    <t>Sistema de calefacción por suelo radiante compuesto por banda de espuma de polietileno (PE), de 150x10 mm sin autonivelante</t>
  </si>
  <si>
    <t>Total 07.03.08</t>
  </si>
  <si>
    <t>07.03.09</t>
  </si>
  <si>
    <t>Sistema de regulación de la temperatura para colector, para calefacción, compuesto de centralita, para un máximo de 6 termostato</t>
  </si>
  <si>
    <t>Sistema de regulación de la temperatura para colector, para calefacción, compuesto de centralita, para un máximo de 6 termostatos de control y 8 cabezales electrotérmicos, con comunicación bidireccional vía radio con los termostatos y las sondas, unidad de control con comunicación vía radio y pantalla táctil retroiluminada, para un máximo de 4 centralitas, termostatos digitales, y cabezales electrotérmicos, a 24 V.
Incluye: Colocación, fijación y conexionado eléctrico y de comunicación con todos los elementos que lo demanden en la instalación.</t>
  </si>
  <si>
    <t>Total 07.03.09</t>
  </si>
  <si>
    <t>07.03.10</t>
  </si>
  <si>
    <t>Sistema de regulación de la temperatura para colector, para calefacción, compuesto de centralita, para un máximo de 6 termostatos de control y 8 cabezales electrotérmicos, con comunicación bidireccional vía radio con los termostatos y las sondas, módulo de ampliación para centralita, para un máximo de 6 termostatos de control y 6 cabezales electrotérmicos, unidad de control con comunicación vía radio y pantalla táctil retroiluminada, para un máximo de 4 centralitas, termostatos digitales, y cabezales electrotérmicos, a 24 V.
Incluye: Colocación, fijación y conexionado eléctrico y de comunicación con todos los elementos que lo demanden en la instalación.</t>
  </si>
  <si>
    <t>CC 1</t>
  </si>
  <si>
    <t>Total 07.03.10</t>
  </si>
  <si>
    <t>07.03.11</t>
  </si>
  <si>
    <t>Electrobomba centrífuga, de hierro fundido, de tres velocidades, con una potencia de 0,071 kW.</t>
  </si>
  <si>
    <t>Electrobomba centrífuga, de hierro fundido, de tres velocidades, con una potencia de 0,071 kW.
Incluye: Replanteo. Colocación de la bomba de circulación. Conexión a la red de distribución.</t>
  </si>
  <si>
    <t>07.03.12</t>
  </si>
  <si>
    <t>Chimenea de acero inoxidable de doble pared, diámetro interior de 150 mm, aislamiento de 25 mm y acabado encamisado mediante tub</t>
  </si>
  <si>
    <t>Chimenea de acero inoxidable de doble pared, diámetro interior de 150 mm, aislamiento de 25 mm y acabado encamisado mediante tubi de acero galvanizado de 2 mm.
Incluye: Replanteo . Presentación de los elementos. Montaje y sus accesorios. Conexión al conducto de evacuación.</t>
  </si>
  <si>
    <t>07.03.13</t>
  </si>
  <si>
    <t>Colector para calefacción y refrigeración por suelo radiante.</t>
  </si>
  <si>
    <t>Colector premontado de poliamida reforzada, para 9 circuitos, compuesto de conexiones principales de 1", derivaciones de 3/4", termómetros, purgadores manuales, llave de llenado, llave de vaciado, caudalímetros, tapones terminales y soportes, racores hembra de 16 mm x 3/4" eurocono, válvulas de esfera para cierre del circuito del colector, curvatubos de plástico, montado en armario de acero galvanizado, de 80x850x730 mm con puerta. Totalmente montado, conexionado y probado.
Incluye: Replanteo del emplazamiento del colector. Colocación del armario para el colector. Colocación del colector. Conexión de las tuberías al colector. Conexión del colector a la red de distribución interior o a la caldera. Realización de pruebas de servicio.
Criterio de medición de proyecto: Número de unidades previstas, según documentación gráfica de Proyecto.
Criterio de medición de obra: Se medirá el número de unidades realmente ejecutadas según especificaciones de Proyecto.</t>
  </si>
  <si>
    <t>VIVIENDA</t>
  </si>
  <si>
    <t>Total 07.03.13</t>
  </si>
  <si>
    <t>07.03.14</t>
  </si>
  <si>
    <t>Fancoil de techo con distribución por conductos. Sistema de 2 tubos. Modelo: SD 4-020 ND</t>
  </si>
  <si>
    <t>Fancoil de techo con distribución por conductos. Sistema de 2 tubos. Modelo: SD 4-020 ND. Casa comercial: Saunier Duval. Incluye: Replanteo de la unidad. Fijación y nivelación. Montaje, conexionado y comprobación de su correcto funcionamiento. Criterio de medición de proyecto: Número de unidades previstas, según documentación gráfica de Proyecto. Criterio de medición de obra: Se medirá el número de unidades realmente ejecutadas según especificaciones de Proyecto.</t>
  </si>
  <si>
    <t>Total 07.03.14</t>
  </si>
  <si>
    <t>07.03.15</t>
  </si>
  <si>
    <t>Conducto de lana mineral.</t>
  </si>
  <si>
    <t>Conducto rectangular para la distribución de aire climatizado formado por panel rígido de alta densidad de lana de vidrio, según UNE-EN 14303, revestido por sus dos caras, la exterior con un complejo de aluminio visto + malla de fibra de vidrio + kraft y la interior con un velo de vidrio, de 25 mm de espesor, resistencia térmica 0,75 m²K/W, conductividad térmica 0,032 W/(mK). Incluso codos, derivaciones, embocaduras, soportes metálicos galvanizados, elementos de fijación, sellado de tramos y uniones con cinta autoadhesiva de aluminio, accesorios de montaje y piezas especiales.
Incluye: Replanteo del recorrido de los conductos. Marcado y posterior anclaje de los soportes de los conductos. Montaje y fijación de conductos. Sellado de las uniones. Comprobación de su correcto funcionamiento. Limpieza final.
Criterio de medición de proyecto: Superficie proyectada, según documentación gráfica de Proyecto, calculada como producto del perímetro exterior por la longitud del tramo, medida entre los ejes de los elementos o de los puntos a conectar, sin descontar las piezas especiales.
Criterio de medición de obra: Se medirá la superficie realmente ejecutada según especificaciones de Proyecto.</t>
  </si>
  <si>
    <t>07.03.16</t>
  </si>
  <si>
    <t>Rejilla de impulsión.</t>
  </si>
  <si>
    <t>Rejilla de impulsión, de aluminio extruido, anodizado color natural E6-C-0, con lamas horizontales regulables individualmente, de 225x125 mm, con parte posterior de chapa de acero pintada en color blanco RAL 9005, formada por lamas verticales regulables individualmente y mecanismo de regulación del caudal con lamas acopladas en oposición, accionables desde la parte frontal, fijación mediante tornillos vistos (con marco de montaje de chapa de acero galvanizado), montada en conducto rectangular no metálico. Incluso accesorios de montaje y elementos de fijación.
Incluye: Replanteo. Montaje y fijación de la rejilla.
Criterio de medición de proyecto: Número de unidades previstas, según documentación gráfica de Proyecto.
Criterio de medición de obra: Se medirá el número de unidades realmente ejecutadas según especificaciones de Proyecto.</t>
  </si>
  <si>
    <t>DISTRIBUIDOR 1</t>
  </si>
  <si>
    <t>DESPACHO</t>
  </si>
  <si>
    <t>DORMITORIO PPAL</t>
  </si>
  <si>
    <t>DORMITORIO ANEXO PRINCIPAL</t>
  </si>
  <si>
    <t>Total 07.03.16</t>
  </si>
  <si>
    <t>07.03.17</t>
  </si>
  <si>
    <t>Tubería de distribución de agua fría y caliente de climatización formada por tubo de polietileno reticulado (PE-Xa)</t>
  </si>
  <si>
    <t>Tubería general de distribución de agua fría y caliente de climatización formada por tubo de polietileno reticulado (PE-Xa), con barrera de oxígeno (EVOH), de 20 mm de diámetro exterior y 2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</si>
  <si>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Planta baja</t>
  </si>
  <si>
    <t>Planta 1</t>
  </si>
  <si>
    <t>Total 07.03.17</t>
  </si>
  <si>
    <t>07.03.18</t>
  </si>
  <si>
    <t>Tubería de distribución de agua fría y caliente de climatización formada por tubo de polietileno reticulado (PE-Xa), con barrera de oxígeno (EVOH), de 32 mm de diámetro exterior y 2,9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</si>
  <si>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Planta 2</t>
  </si>
  <si>
    <t>Total 07.03.18</t>
  </si>
  <si>
    <t>07.03.19</t>
  </si>
  <si>
    <t>Tubería de distribución de agua fría y caliente de climatización formada por tubo de polietileno reticulado (PE-Xa), con barrera de oxígeno (EVOH), de 40 mm de diámetro exterior y 3,7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</si>
  <si>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Total 07.03.19</t>
  </si>
  <si>
    <t>07.03.20</t>
  </si>
  <si>
    <t>Tubería de distribución de agua fría y caliente de climatización formada por tubo de polietileno reticulado (PE-Xa), con barrera de oxígeno (EVOH), de 20 mm de diámetro exterior y 2 mm de espesor, PN=6 atm, suministrado en rollos, colocado superficialmente en el exterior del edificio, con aislamiento mediante coquilla de lana de vidrio protegida con emulsión asfáltica recubierta con pintura protectora para aislamiento de color blanco. Incluso material auxiliar para montaje y sujeción a la obra, accesorios y piezas especiales.
Incluye: Replanteo. Colocación y fijación de tuberías, accesorios y piezas especiales. Colocación del aislamiento. Aplicación del revestimiento superficial del aislamiento. Realización de pruebas de servicio.
Criterio de medición de proyecto: Longitud medida según documentación gráfica de Proyecto.
Criterio de medición de obra: Se medirá la longitud realmente ejecutada según especificaciones de Proyecto.</t>
  </si>
  <si>
    <t>Total 07.03.20</t>
  </si>
  <si>
    <t>07.03.21</t>
  </si>
  <si>
    <t>Tubería de distribución de agua fría y caliente de climatización formada por tubo de polietileno reticulado (PE-Xa), con barrera de oxígeno (EVOH), de 40 mm de diámetro exterior y 3,7 mm de espesor, PN=6 atm, suministrado en rollos, colocado superficialmente en el exterior del edificio, con aislamiento mediante coquilla de lana de vidrio protegida con emulsión asfáltica recubierta con pintura protectora para aislamiento de color blanco. Incluso material auxiliar para montaje y sujeción a la obra, accesorios y piezas especiales.
Incluye: Replanteo. Colocación y fijación de tuberías, accesorios y piezas especiales. Colocación del aislamiento. Aplicación del revestimiento superficial del aislamiento. Realización de pruebas de servicio.
Criterio de medición de proyecto: Longitud medida según documentación gráfica de Proyecto.
Criterio de medición de obra: Se medirá la longitud realmente ejecutada según especificaciones de Proyecto.</t>
  </si>
  <si>
    <t>Total 07.03.21</t>
  </si>
  <si>
    <t>07.03.22</t>
  </si>
  <si>
    <t>Equipo aire-agua, bomba de calor aerotérmica, para producción de A.C.S., calefacción y refrigeración.</t>
  </si>
  <si>
    <t>Equipo aire-agua, bomba de calor aerotérmica, para producción de A.C.S., calefacción y refrigeración, modelo Pack Genia Set Max 12 "SAUNIER DUVAL", para gas R-290, alimentación monofásica a 230 V, potencia calorífica 14 kW (temperatura seca de entrada del aire 7°C, temperatura de salida del agua 35°C, salto térmico 5°C), potencia frigorífica 10 kW (temperatura seca de entrada del aire 35°C, temperatura de salida del agua 7°C, salto térmico 5°C), COP 5,38, EER 3,52, SCOP 6,48, SEER 4,61, clase de eficiencia energética A+++, formado por: bomba de calor reversible Genia Air Max HA 12-6 O B3 230V, potencia sonora 58 dBA, dimensiones 1565x1100x450 mm, peso 194 kg, comunicación a dos hilos a través del protocolo Ebus; interacumulador de A.C.S. FW 200-6 de 185 litros de capacidad, perfil de consumo XL, clase de eficiencia energética en A.C.S. A+, potencia sonora 30 dBA, dimensiones 1880x595x693 mm, peso 143 kg, con intercambiador de calor y aislamiento térmico; control MiPro Sense Radio (SRC 720f), vía radio, con control desde smartphone o tablet mediante aplicación para IOS (iPhone e iPad) y Android, regulación de la temperatura de impulsión por curva de calefacción y sonda de temperatura exterior, posibilidad de gestión de una instalación con varios generadores de energía y varios circuitos o zonas de calefacción con módulos adicionales y programación de la climatización mediante esquemas predefinidos utilizando un asistente de configuración; y módulo de conectividad MiGo Link (SR 940f), para control desde smartphone mediante la App MiGo Link y control desde el servicio técnico oficial, de 143x115x26 mm, montaje en pared. Accesorios: acumulador de inercia de 18 l para calefacción; kit de válvulas para la unidad interior; kit hidráulico formado por desacoplador hidráulico y bomba de circulación, para un circuito de calefacción, Kit L10; kit hidráulico con bomba de circulación y válvula mezcladora, para un circuito adicional de calefacción, Kit L11; juego de 2 soportes antivibratorios, de caucho, para la unidad exterior. Totalmente montado, conexionado y puesto en marcha por la empresa instaladora para la comprobación de su correcto funcionamiento.
Incluye: Replanteo de la unidad. Colocación y fijación de la unidad y sus accesorios. Conexionado con las redes de conducción de agua, eléctrica y de recogida de condensados. Puesta en marcha.
Criterio de medición de proyecto: Número de unidades previstas, según documentación gráfica de Proyecto.
Criterio de medición de obra: Se medirá el número de unidades realmente ejecutadas según especificaciones de Proyecto.</t>
  </si>
  <si>
    <t>Total 07.03</t>
  </si>
  <si>
    <t>07.04</t>
  </si>
  <si>
    <t>Eléctricas</t>
  </si>
  <si>
    <t>07.04.01</t>
  </si>
  <si>
    <t>Red de toma de tierra para estructura de hormigón del edificio con 58 m de conductor de cobre desnudo de 35 mm².</t>
  </si>
  <si>
    <t>Red de toma de tierra para estructura de hormigón del edificio con 58 m de conductor de cobre desnudo de 35 mm².
Incluye: Replanteo. Conexionado del electrodo y la línea de enlace. Montaje del punto de puesta a tierra. Trazado de la línea principal de tierra. Sujeción. Trazado de derivaciones de tierra. Conexionado de las derivaciones. Conexión a masa de la red. Realización de pruebas de servicio.</t>
  </si>
  <si>
    <t>07.04.02</t>
  </si>
  <si>
    <t>Red de equipotencialidad en cuarto húmedo.</t>
  </si>
  <si>
    <t>Red de equipotencialidad en cuarto húmedo.
Incluye: Replanteo. Conexionado del electrodo y la línea de enlace. Montaje del punto de puesta a tierra. Trazado de la línea principal de tierra. Sujeción. Trazado de derivaciones de tierra. Conexionado de las derivaciones. Conexión a masa de la red.</t>
  </si>
  <si>
    <t>07.04.03</t>
  </si>
  <si>
    <t>Suministro e instalación fija en superficie de canalización de tubo de PVC, serie B, de 32 mm de diámetro y 3 mm de espesor. Inc</t>
  </si>
  <si>
    <t>Suministro e instalación fija en superficie de canalización de tubo de PVC, serie B, de 32 mm de diámetro y 3 mm de espesor. Incluso accesorios y piezas especiales.
Incluye: Replanteo. Colocación y fijación del tubo.</t>
  </si>
  <si>
    <t>Instalación interior ( (Cuadro de vivienda))</t>
  </si>
  <si>
    <t>Derivación preinstalación coche electrico</t>
  </si>
  <si>
    <t>Total 07.04.03</t>
  </si>
  <si>
    <t>07.04.04</t>
  </si>
  <si>
    <t>Suministro e instalación fija en superficie de canalización de tubo de PVC, serie B, de 40 mm de diámetro y 3 mm de espesor. Inc</t>
  </si>
  <si>
    <t>Suministro e instalación fija en superficie de canalización de tubo de PVC, serie B, de 40 mm de diámetro y 3 mm de espesor. Incluso accesorios y piezas especiales.
Incluye: Replanteo. Colocación y fijación del tubo.</t>
  </si>
  <si>
    <t>Derivación individual ( (Cuadro de vivienda))</t>
  </si>
  <si>
    <t>Total 07.04.04</t>
  </si>
  <si>
    <t>07.04.05</t>
  </si>
  <si>
    <t>Suministro e instalación empotrada en elemento de construcción de obra de fábrica de canalización de tubo curvable de PVC, corru</t>
  </si>
  <si>
    <t>Suministro e instalación empotrada en elemento de construcción de obra de fábrica de canalización de tubo curvable de PVC, corrugado, de color negro, de 16 mm de diámetro nominal, con grado de protección IP545.
Incluye: Replanteo. Colocación y fijación del tubo.</t>
  </si>
  <si>
    <t>Total 07.04.05</t>
  </si>
  <si>
    <t>07.04.06</t>
  </si>
  <si>
    <t>Suministro e instalación empotrada en elemento de construcción de obra de fábrica de canalización de tubo curvable de PVC, corrugado, de color negro, de 20 mm de diámetro nominal, con grado de protección IP545.
Incluye: Replanteo. Colocación y fijación del tubo.</t>
  </si>
  <si>
    <t>Preinstalación seguridad y cámaras de vigilancia</t>
  </si>
  <si>
    <t>Total 07.04.06</t>
  </si>
  <si>
    <t>07.04.07</t>
  </si>
  <si>
    <t>Suministro e instalación empotrada en elemento de construcción de obra de fábrica de canalización de tubo curvable de PVC, corrugado, de color negro, de 25 mm de diámetro nominal, con grado de protección IP545.
Incluye: Replanteo. Colocación y fijación del tubo.</t>
  </si>
  <si>
    <t>Total 07.04.07</t>
  </si>
  <si>
    <t>07.04.08</t>
  </si>
  <si>
    <t>Suministro e instalación en conducto de obra de fábrica (no incluido en este precio) de canalización de tubo curvable, suministr</t>
  </si>
  <si>
    <t>Suministro e instalación en conducto de obra de fábrica (no incluido en este precio) de canalización de tubo curvable, suministrado en rollo, de polietileno de doble pared (interior lisa y exterior corrugada), de color naranja, de 40 mm de diámetro nominal, resistencia a la compresión 450 N.
Incluye: Replanteo. Colocación y fijación del tubo.</t>
  </si>
  <si>
    <t>Total 07.04.08</t>
  </si>
  <si>
    <t>07.04.09</t>
  </si>
  <si>
    <t>Cable unipolar ES07Z1-K (AS), reacción al fuego clase Cca-s1b,d1,a1, con conductor multifilar de cobre clase 5 (-K) de 10 mm² de</t>
  </si>
  <si>
    <t>Cable unipolar ES07Z1-K (AS), reacción al fuego clase Cca-s1b,d1,a1, con conductor multifilar de cobre clase 5 (-K) de 10 mm² de sección, con aislamiento de compuesto termoplástico a base de poliolefina libre de halógenos con baja emisión de humos y gases corrosivos (Z1).
Incluye: Tendido del cable. Conexionado.</t>
  </si>
  <si>
    <t>Total 07.04.09</t>
  </si>
  <si>
    <t>07.04.10</t>
  </si>
  <si>
    <t>Cable unipolar H07V-K, siendo su tensión asignada de 450/750 V, reacción al fuego clase Eca, con conductor multifilar de cobre c</t>
  </si>
  <si>
    <t>Cable unipolar H07V-K, siendo su tensión asignada de 450/750 V, reacción al fuego clase Eca, con conductor multifilar de cobre clase 5 (-K) de 1,5 mm² de sección, con aislamiento de PVC (V).
Incluye: Tendido del cable. Conexionado.</t>
  </si>
  <si>
    <t>Total 07.04.10</t>
  </si>
  <si>
    <t>07.04.11</t>
  </si>
  <si>
    <t>Cable unipolar H07V-K, siendo su tensión asignada de 450/750 V, reacción al fuego clase Eca, con conductor multifilar de cobre clase 5 (-K) de 2,5 mm² de sección, con aislamiento de PVC (V).
Incluye: Tendido del cable. Conexionado.</t>
  </si>
  <si>
    <t>Total 07.04.11</t>
  </si>
  <si>
    <t>07.04.12</t>
  </si>
  <si>
    <t>Cable unipolar H07V-K, siendo su tensión asignada de 450/750 V, reacción al fuego clase Eca, con conductor multifilar de cobre clase 5 (-K) de 4 mm² de sección, con aislamiento de PVC (V).
Incluye: Tendido del cable. Conexionado.</t>
  </si>
  <si>
    <t>Total 07.04.12</t>
  </si>
  <si>
    <t>07.04.13</t>
  </si>
  <si>
    <t>Cable unipolar H07V-K, siendo su tensión asignada de 450/750 V, reacción al fuego clase Eca, con conductor multifilar de cobre clase 5 (-K) de 6 mm² de sección, con aislamiento de PVC (V).
Incluye: Tendido del cable. Conexionado.</t>
  </si>
  <si>
    <t>Total 07.04.13</t>
  </si>
  <si>
    <t>07.04.14</t>
  </si>
  <si>
    <t>Caja de protección y medida CPM1-S2, de hasta 63 A de intensidad, para 1 contador monofásico, instalada en el interior de hornac</t>
  </si>
  <si>
    <t>Caja de protección y medida CPM1-S2, de hasta 63 A de intensidad, para 1 contador monofásico, instalada en el interior de hornacina mural, en vivienda unifamiliar o local.
Incluye: Replanteo de la situación de los conductos y anclajes de la caja. Fijación. Colocación de tubos y piezas especiales. Conexionado.</t>
  </si>
  <si>
    <t>CPM-1</t>
  </si>
  <si>
    <t>Total 07.04.14</t>
  </si>
  <si>
    <t>07.04.15</t>
  </si>
  <si>
    <t>Cuadro de vivienda formado por caja de material aislante y los dispositivos de mando y protección.</t>
  </si>
  <si>
    <t>Cuadro de vivienda formado por caja de material aislante y los dispositivos de mando y protección.
dejar previsión para circuito de carga de coche electrico.
Incluye: Replanteo. Colocación de la caja para el cuadro. Conexionado. Montaje de los componentes.</t>
  </si>
  <si>
    <t xml:space="preserve"> (Cuadro de vivienda)</t>
  </si>
  <si>
    <t>Total 07.04.15</t>
  </si>
  <si>
    <t>07.04.16</t>
  </si>
  <si>
    <t>Componentes para la red eléctrica de distribución interior de vivienda: mecanismos jung 990ls blanco</t>
  </si>
  <si>
    <t>Componentes para la red eléctrica de distribución interior de vivienda: mecanismos jung 990ls; cajas de empotrar con tornillos de fijación, cajas de derivación con tapas y regletas de conexión.
Incluye: Colocación de cajas de derivación y de empotrar. Colocación de mecanismos.</t>
  </si>
  <si>
    <t>Total 07.04.16</t>
  </si>
  <si>
    <t>07.04.17</t>
  </si>
  <si>
    <t>Canalización para cableado de televisión oculto en trasdosado de yeso laminado</t>
  </si>
  <si>
    <t>Canalización de PVC, para ocultación de cableado de televisión en trasdosado de yeso laminado, resistencia a la compresión 750 N, resistencia al impacto 2 julios, con grado de protección IP44. Instalación fija en superficie.
Incluye: Embellecedor pasacables, Replanteo. Colocación y fijación del tubo. 
Totalmente ramatado.</t>
  </si>
  <si>
    <t>ocultación yeso laminado</t>
  </si>
  <si>
    <t>Total 07.04.17</t>
  </si>
  <si>
    <t>Total 07.04</t>
  </si>
  <si>
    <t>07.05</t>
  </si>
  <si>
    <t>Fontanería</t>
  </si>
  <si>
    <t>07.05.01</t>
  </si>
  <si>
    <t>Acometida enterrada de abastecimiento de agua potable de 6,69 m de longitud, formada por tubo de polietileno PE 100, de 25 mm de</t>
  </si>
  <si>
    <t>Acometida enterrada de abastecimiento de agua potable de 6,69 m de longitud, formada por tubo de polietileno PE 100, de 25 mm de diámetro exterior, PN=16 atm y 2,3 mm de espesor y llave de corte alojada en arqueta prefabricada de polipropileno.
Incluye: Replanteo y trazado de la acometida, coordinado con el resto de instalaciones o elementos que puedan tener interferencias. Rotura del pavimento con compresor. Eliminación de las tierras sueltas del fondo de la excavación. Vertido y compactación del hormigón en formación de solera. Colocación de la arqueta prefabricada. Vertido de la arena en el fondo de la zanja. Colocación de la tubería. Montaje de la llave de corte. Colocación de la tapa. Ejecución del relleno envolvente. Empalme de la acometida con la red general del municipio. Realización de pruebas de servicio.</t>
  </si>
  <si>
    <t>07.05.02</t>
  </si>
  <si>
    <t>Alimentación de agua potable, de 9,43 m de longitud, enterrada, formada por tubo de polietileno PE 100, de color negro con banda</t>
  </si>
  <si>
    <t>Alimentación de agua potable, de 9,43 m de longitud, enterrada, formada por tubo de polietileno PE 100, de color negro con bandas de color azul, de 25 mm de diámetro exterior y 2,3 mm de espesor, SDR11, PN=16 atm.
Incluye: Replanteo y trazado. Eliminación de las tierras sueltas del fondo de la excavación. Vertido de la arena en el fondo de la zanja. Colocación de la tubería. Ejecución del relleno envolvente. Realización de pruebas de servicio.</t>
  </si>
  <si>
    <t>Tubería de agua fría</t>
  </si>
  <si>
    <t>Total 07.05.02</t>
  </si>
  <si>
    <t>07.05.03</t>
  </si>
  <si>
    <t>Preinstalación de contador general de agua de 1" DN 25 mm, colocado en hornacina, con llave de corte general de compuerta.</t>
  </si>
  <si>
    <t>Preinstalación de contador general de agua de 1" DN 25 mm, colocado en hornacina, con llave de corte general de compuerta.
Incluye: Replanteo. Colocación y fijación de accesorios y piezas especiales. Conexionado.</t>
  </si>
  <si>
    <t>07.05.04</t>
  </si>
  <si>
    <t>Tubería para instalación interior de fontanería, colocada superficialmente, formada por tubo de polietileno reticulado (PE-Xa),</t>
  </si>
  <si>
    <t>Tubería para instalación interior de fontanería, colocada superficialmente, formada por tubo de polietileno reticulado (PE-Xa), serie 5, de 16 mm de diámetro exterior, PN=6 atm.
Incluye: Replanteo y trazado. Colocación y fijación de tubo y accesorios. Realización de pruebas de servicio.</t>
  </si>
  <si>
    <t>Tubería de agua caliente</t>
  </si>
  <si>
    <t>Total 07.05.04</t>
  </si>
  <si>
    <t>07.05.05</t>
  </si>
  <si>
    <t>Tubería para instalación interior de fontanería, colocada superficialmente, formada por tubo de polietileno reticulado (PE-Xa), serie 5, de 20 mm de diámetro exterior, PN=6 atm.
Incluye: Replanteo y trazado. Colocación y fijación de tubo y accesorios. Realización de pruebas de servicio.</t>
  </si>
  <si>
    <t>Tubería de retorno de agua caliente sanitaria</t>
  </si>
  <si>
    <t>Total 07.05.05</t>
  </si>
  <si>
    <t>07.05.06</t>
  </si>
  <si>
    <t>Tubería para instalación interior de fontanería, colocada superficialmente, formada por tubo de polietileno reticulado (PE-Xa), serie 5, de 25 mm de diámetro exterior, PN=6 atm.
Incluye: Replanteo y trazado. Colocación y fijación de tubo y accesorios. Realización de pruebas de servicio.</t>
  </si>
  <si>
    <t>Total 07.05.06</t>
  </si>
  <si>
    <t>07.05.07</t>
  </si>
  <si>
    <t>Tubería para instalación interior de fontanería, colocada superficialmente, formada por tubo de polietileno reticulado (PE-Xa), serie 5, de 32 mm de diámetro exterior, PN=6 atm.
Incluye: Replanteo y trazado. Colocación y fijación de tubo y accesorios. Realización de pruebas de servicio.</t>
  </si>
  <si>
    <t>Total 07.05.07</t>
  </si>
  <si>
    <t>07.05.08</t>
  </si>
  <si>
    <t>Válvula de asiento de latón, de 3/4" de diámetro, con maneta y embellecedor de acero inoxidable.</t>
  </si>
  <si>
    <t>Válvula de asiento de latón, de 3/4" de diámetro, con maneta y embellecedor de acero inoxidable.
Incluye: Replanteo. Conexión de la válvula a los tubos.</t>
  </si>
  <si>
    <t>Llave de local húmedo</t>
  </si>
  <si>
    <t>Total 07.05.08</t>
  </si>
  <si>
    <t>07.05.09</t>
  </si>
  <si>
    <t>Válvula de asiento de latón, de 1" de diámetro, con maneta y embellecedor de acero inoxidable.</t>
  </si>
  <si>
    <t>Válvula de asiento de latón, de 1" de diámetro, con maneta y embellecedor de acero inoxidable.
Incluye: Replanteo. Conexión de la válvula a los tubos.</t>
  </si>
  <si>
    <t>Válvula de corte</t>
  </si>
  <si>
    <t>Total 07.05.09</t>
  </si>
  <si>
    <t>Total 07.05</t>
  </si>
  <si>
    <t>07.06</t>
  </si>
  <si>
    <t>Contra incendios</t>
  </si>
  <si>
    <t>07.06.01</t>
  </si>
  <si>
    <t>Extintor portátil de polvo químico ABC polivalente antibrasa, con presión incorporada, de eficacia 21A-144B-C, con 6 kg de agent</t>
  </si>
  <si>
    <t>Extintor portátil de polvo químico ABC polivalente antibrasa, con presión incorporada, de eficacia 21A-144B-C, con 6 kg de agente extintor, con manómetro y manguera con boquilla difusora. Incluso soporte y accesorios de montaje.
Incluye: Replanteo. Colocación y fijación del soporte. Colocación del extintor.</t>
  </si>
  <si>
    <t>Total 07.06.01</t>
  </si>
  <si>
    <t>07.06.02</t>
  </si>
  <si>
    <t>Suministro e instalación en superficie en garaje de luminaria de emergencia estanca, con tubo lineal fluorescente, 8 W - G5, flu</t>
  </si>
  <si>
    <t>Suministro e instalación en superficie en garaje de luminaria de emergencia estanca, con tubo lineal fluorescente, 8 W - G5, flujo luminoso 100 lúmenes, carcasa de 405x134x134 mm, clase I, IP65, con baterías de Ni-Cd de alta temperatura, autonomía de 1 h, alimentación a 230 V, tiempo de carga 24 h. Incluso accesorios y elementos de fijación.
Incluye: Replanteo. Fijación y nivelación. Montaje, conexionado y comprobación de su correcto funcionamiento.</t>
  </si>
  <si>
    <t>Total 07.06</t>
  </si>
  <si>
    <t>07.07</t>
  </si>
  <si>
    <t>Evacuación de aguas</t>
  </si>
  <si>
    <t>07.07.01</t>
  </si>
  <si>
    <t>Bajante interior de la red de evacuación de aguas residuales, formada por tubo de PVC, serie B, de 110 mm de diámetro y 3,2 mm d</t>
  </si>
  <si>
    <t>Bajante interior de la red de evacuación de aguas residuales, formada por tubo de PVC, serie B, de 110 mm de diámetro y 3,2 mm de espesor; unión pegada con adhesivo. Incluso líquido limpiador, adhesivo para tubos y accesorios de PVC, material auxiliar para montaje y sujeción a la obra, accesorios y piezas especiales.
Incluye: Replanteo del recorrido de la bajante y de la situación de los elementos de sujeción. Presentación en seco de los tubos. Fijación del material auxiliar para montaje y sujeción a la obra. Montaje, conexionado y comprobación de su correcto funcionamiento. Realización de pruebas de servicio.</t>
  </si>
  <si>
    <t>07.07.02</t>
  </si>
  <si>
    <t>Sombrerete de ventilación de PVC, de 110 mm de diámetro, para tubería de ventilación, conectado al extremo superior de la bajant</t>
  </si>
  <si>
    <t>Sombrerete de ventilación de PVC, de 110 mm de diámetro, para tubería de ventilación, conectado al extremo superior de la bajante con unión pegada con adhesivo. Incluso líquido limpiador y adhesivo para tubos y accesorios de PVC.
Incluye: Replanteo. Montaje y conexionado.</t>
  </si>
  <si>
    <t>07.07.03</t>
  </si>
  <si>
    <t>Canalón cuadrado de zinctitanio, natural, de desarrollo 470 mm, 0,65 mm de espesor y recorte de baquetón.</t>
  </si>
  <si>
    <t>Canalón cuadrado de zinctitanio, natural, de desarrollo 470 mm, 0,65 mm de espesor y recorte de baquetón.
Incluye: Replanteo del recorrido del canalón y de la situación de los elementos de sujeción. Fijación del material auxiliar para montaje y sujeción a la obra. Montaje, conexionado y comprobación de su correcto funcionamiento.</t>
  </si>
  <si>
    <t>07.07.04</t>
  </si>
  <si>
    <t>Red de pequeña evacuación, empotrada, de PVC, serie B, de 32 mm de diámetro, unión pegada con adhesivo.</t>
  </si>
  <si>
    <t>Red de pequeña evacuación, empotrada, de PVC, serie B, de 32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</si>
  <si>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07.07.05</t>
  </si>
  <si>
    <t>Red de pequeña evacuación, empotrada, de PVC, serie B, de 40 mm de diámetro, unión pegada con adhesivo.</t>
  </si>
  <si>
    <t>Red de pequeña evacuación, empotrada, de PVC, serie B, de 40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</si>
  <si>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07.07.06</t>
  </si>
  <si>
    <t>Red de pequeña evacuación, empotrada, de PVC, serie B, de 75 mm de diámetro, unión pegada con adhesivo.</t>
  </si>
  <si>
    <t>Red de pequeña evacuación, empotrada, de PVC, serie B, de 75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</si>
  <si>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07.07.07</t>
  </si>
  <si>
    <t>Red de pequeña evacuación, empotrada, de PVC, serie B, de 110 mm de diámetro, unión pegada con adhesivo.</t>
  </si>
  <si>
    <t>Red de pequeña evacuación, empotrada, de PVC, serie B, de 110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</si>
  <si>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07.07.08</t>
  </si>
  <si>
    <t>Bote sifónico de PVC, de 110 mm de diámetro, con tapa ciega de acero inoxidable, empotrado.</t>
  </si>
  <si>
    <t>Bote sifónico de PVC, de 110 mm de diámetro, con tapa ciega de acero inoxidable, empotrado.
Incluye: Montaje, conexionado y comprobación de su correcto funcionamiento. Realización de pruebas de servicio.</t>
  </si>
  <si>
    <t>Total 07.07</t>
  </si>
  <si>
    <t>07.08</t>
  </si>
  <si>
    <t>Transporte</t>
  </si>
  <si>
    <t>07.08.01</t>
  </si>
  <si>
    <t>Ascensor eléctrico (potencia 850W) sin cuarto de máquinas de frecuencia variable de 0,15 m/s de velocidad, 3 paradas, 320 kg de</t>
  </si>
  <si>
    <t>Ascensor eléctrico (potencia 850W) sin cuarto de máquinas de frecuencia variable de 0,15 m/s de velocidad, 3 paradas, 320 kg de carga nominal, con capacidad para 4 personas, acabado en cabina de 780x1200x2200 mm mediante suelo vinílico o granito y pasamanos frente al mandador, maniobra universal simple, puertas interiores automáticas de acero inoxidable y puertas exteriores automáticas en acero inoxidable de 800x2000 mm.
Incluye: Replanteo de guías y niveles. Colocación de los puntos de fijación. Instalación de las lámparas de alumbrado del hueco. Montaje de guías, cables de tracción y pasacables. Colocación de los amortiguadores de foso. Colocación de contrapesos. Presentación de las puertas de acceso. Montaje del grupo tractor. Montaje del cuadro y conexión del cable de maniobra. Montaje del bastidor, el chasis y las puertas de cabina con sus acabados. Instalación del limitador de velocidad y el paracaídas. Instalación de las botoneras de piso y de cabina. Instalación del selector de paradas. Conexionado con la red eléctrica. Instalación de la línea telefónica y de los sistemas de seguridad. Comprobación de su correcto funcionamiento.</t>
  </si>
  <si>
    <t>Total 07.08</t>
  </si>
  <si>
    <t>07.09</t>
  </si>
  <si>
    <t>Ventilación</t>
  </si>
  <si>
    <t>07.09.01</t>
  </si>
  <si>
    <t>Suministro y montaje de aireador de admisión graduable, de aluminio lacado en color a elegir de la carta RAL, caudal máximo 10 l</t>
  </si>
  <si>
    <t>Suministro y montaje de aireador de admisión graduable, de aluminio lacado en color a elegir de la carta RAL, caudal máximo 10 l/s, de 1200x80x12 mm, con abertura de 800x12 mm, aislamiento acústico de 39 dBA y filtro antipolución. Incluso elementos de fijación.
Incluye: Replanteo. Montaje. Colocación y fijación del aireador encima de la carpintería.</t>
  </si>
  <si>
    <t>SALÓN/COMEDOR</t>
  </si>
  <si>
    <t>DORMITORIO 1</t>
  </si>
  <si>
    <t>DORMITORIO 2</t>
  </si>
  <si>
    <t>DORMITORIO 3</t>
  </si>
  <si>
    <t>Total 07.09.01</t>
  </si>
  <si>
    <t>07.09.02</t>
  </si>
  <si>
    <t>Suministro y montaje de boca de extracción, autorregulable, caudal máximo 21 l/s, aislamiento acústico de 39,8 dBA formada por r</t>
  </si>
  <si>
    <t>Suministro y montaje de boca de extracción, autorregulable, caudal máximo 21 l/s, aislamiento acústico de 39,8 dBA formada por rejilla color blanco, cuerpo de plástico color blanco de 150x33x150 mm con cuello de conexión de 125 mm de diámetro, junta de caucho y regulador de plástico con membrana de silicona y muelle de recuperación. Incluso elementos de fijación.
Incluye: Replanteo. Montaje. Colocación y fijación del elemento al conducto de extracción.</t>
  </si>
  <si>
    <t>ASEO</t>
  </si>
  <si>
    <t>LAVADERO/DESPENSA</t>
  </si>
  <si>
    <t>BAÑO D1</t>
  </si>
  <si>
    <t>BAÑO GENERAL</t>
  </si>
  <si>
    <t>Total 07.09.02</t>
  </si>
  <si>
    <t>07.09.03</t>
  </si>
  <si>
    <t>Suministro y montaje de boca de extracción, autorregulable, caudal máximo 25 l/s, aislamiento acústico de 56 dBA formada por rej</t>
  </si>
  <si>
    <t>Suministro y montaje de boca de extracción, autorregulable, caudal máximo 25 l/s, aislamiento acústico de 56 dBA formada por rejilla, cuerpo de plástico color blanco de 170 mm de diámetro exterior con cuello de conexión de 125 mm de diámetro y regulador de plástico. Incluso elementos de fijación.
Incluye: Replanteo. Montaje. Colocación y fijación del elemento al conducto de extracción.</t>
  </si>
  <si>
    <t>COCINA</t>
  </si>
  <si>
    <t>Total 07.09.03</t>
  </si>
  <si>
    <t>07.09.04</t>
  </si>
  <si>
    <t>Suministro e instalación en el extremo exterior del conducto de extracción (boca de expulsión) de ventilador helicoidal para tej</t>
  </si>
  <si>
    <t>Suministro e instalación en el extremo exterior del conducto de extracción (boca de expulsión) de ventilador helicoidal para tejado, con hélice de plástico reforzada con fibra de vidrio, cuerpo y sombrerete de aluminio, base de acero galvanizado y motor para alimentación monofásica a 230 V y 50 Hz de frecuencia, con protección térmica, aislamiento clase F, grado de protección IP65, de 835 r.p.m., potencia absorbida 0,22 kW, caudal máximo 3900 m³/h, nivel de presión sonora 52 dBA, con malla de protección contra la entrada de hojas y pájaros, para conducto de extracción de 450 mm de diámetro. Incluso accesorios y elementos de fijación.
Incluye: Replanteo. Colocación y fijación. Conexionado y comprobación de su correcto funcionamiento.</t>
  </si>
  <si>
    <t>1-VEM</t>
  </si>
  <si>
    <t>Total 07.09.04</t>
  </si>
  <si>
    <t>07.09.05</t>
  </si>
  <si>
    <t>Suministro e instalación de campana extractora convencional con 1 motor de aspiración, con tramo de conexión de tubo flexible de</t>
  </si>
  <si>
    <t>Suministro e instalación de campana extractora convencional con 1 motor de aspiración, con tramo de conexión de tubo flexible de aluminio a conducto de extracción para salida de humos. Incluso elementos de fijación.
Incluye: Replanteo mediante plantilla. Colocación y fijación. Conexionado y comprobación de su correcto funcionamiento.</t>
  </si>
  <si>
    <t>Total 07.09.05</t>
  </si>
  <si>
    <t>07.09.06</t>
  </si>
  <si>
    <t>Suministro y montaje en el extremo exterior del conducto de extracción (boca de expulsión) de aspirador giratorio con sombrero d</t>
  </si>
  <si>
    <t>Suministro y montaje en el extremo exterior del conducto de extracción (boca de expulsión) de aspirador giratorio con sombrero dinámico, de aluminio (Dureza H-24), para conducto de salida de 250 mm de diámetro exterior, para ventilación de cocinas. Incluso elementos de fijación.
Incluye: Replanteo. Montaje. Colocación y fijación.</t>
  </si>
  <si>
    <t>2-VEK</t>
  </si>
  <si>
    <t>Total 07.09.06</t>
  </si>
  <si>
    <t>07.09.07</t>
  </si>
  <si>
    <t>Conducto circular de ventilación formado por tubo de chapa de acero galvanizado de pared simple helicoidal, de 100 mm de diámetr</t>
  </si>
  <si>
    <t>Conducto circular de ventilación formado por tubo de chapa de acero galvanizado de pared simple helicoidal, de 100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</si>
  <si>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07.09.07</t>
  </si>
  <si>
    <t>07.09.08</t>
  </si>
  <si>
    <t>Conducto circular de ventilación formado por tubo de chapa de acero galvanizado de pared simple helicoidal, de 125 mm de diámetr</t>
  </si>
  <si>
    <t>Conducto circular de ventilación formado por tubo de chapa de acero galvanizado de pared simple helicoidal, de 125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</si>
  <si>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07.09.08</t>
  </si>
  <si>
    <t>07.09.09</t>
  </si>
  <si>
    <t>Conducto circular de ventilación formado por tubo de chapa de acero galvanizado de pared simple helicoidal, de 135 mm de diámetr</t>
  </si>
  <si>
    <t>Conducto circular de ventilación formado por tubo de chapa de acero galvanizado de pared simple helicoidal, de 135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</si>
  <si>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07.09.09</t>
  </si>
  <si>
    <t>07.09.10</t>
  </si>
  <si>
    <t>Conducto circular de ventilación formado por tubo de chapa de acero galvanizado de pared simple helicoidal, de 100 mm de diámetro y 0,5 mm de espesor, colocado en posición horizontal.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</si>
  <si>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07.09.10</t>
  </si>
  <si>
    <t>07.09.11</t>
  </si>
  <si>
    <t>Conducto de ventilación, formado por tubo liso de PVC, de 125 mm de diámetro exterior, pegado mediante adhesivo, colocado en pos</t>
  </si>
  <si>
    <t>Conducto de ventilación, formado por tubo liso de PVC, de 125 mm de diámetro exterior, pegado mediante adhesivo, colocado en posición vertical. Incluso material auxiliar para montaje y sujeción a la obra, accesorios y piezas especiales.
Incluye: Replanteo del recorrido del conducto y de la situación de los elementos de sujeción. Presentación en seco de tubos y piezas especiales. Fijación del material auxiliar para montaje y sujeción a la obra. Montaje, conexionado y comprobación de su correcto funcionamiento.</t>
  </si>
  <si>
    <t>Total 07.09.11</t>
  </si>
  <si>
    <t>07.09.12</t>
  </si>
  <si>
    <t>Rejilla de plástico, con lamas horizontales fijas, salida de aire perpendicular a la rejilla, color blanco RAL 9010, para conduc</t>
  </si>
  <si>
    <t>Rejilla de plástico, con lamas horizontales fijas, salida de aire perpendicular a la rejilla, color blanco RAL 9010, para conducto de admisión o extracción, de 125 mm de diámetro. Incluso elementos de fijación.
Incluye: Replanteo. Colocación y fijación.</t>
  </si>
  <si>
    <t>07.09.13</t>
  </si>
  <si>
    <t>Conducto circular de ventilación formado por tubo de chapa de acero galvanizado de pared simple helicoidal, de 150 mm de diámetr</t>
  </si>
  <si>
    <t>Conducto circular de ventilación formado por tubo de chapa de acero galvanizado de pared simple helicoidal, de 150 mm de diámetro y 0,5 mm de espesor, para preinstalación de ventilación de secadora.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t>
  </si>
  <si>
    <t>Total 07.09</t>
  </si>
  <si>
    <t>07.10</t>
  </si>
  <si>
    <t>Iluminación</t>
  </si>
  <si>
    <t>07.10.17</t>
  </si>
  <si>
    <t>Luminaria exterior drop 28 Performance in lighting</t>
  </si>
  <si>
    <t>Luminaria exterior drop 28 Performance in lighting para pared y techo, color blanco con todos los componentes, instalado en techo o pared incluso en pasatubos de muros según planos y D.F. Totalmente rematado y puesta en funcionamiento contemplando cualquier tipo de pieza para el perfecto funcionamiento.</t>
  </si>
  <si>
    <t>Total 07.10.17</t>
  </si>
  <si>
    <t>07.10.18</t>
  </si>
  <si>
    <t>Luminaria interior drop 28 Performance in lighting</t>
  </si>
  <si>
    <t>Luminaria interior drop 28 Performance in lighting para pared y techo, color blanco con todos los componentes, instalado en techo o pared incluso en pasatubos según planos y D.F. Totalmente rematado y puesta en funcionamiento contemplando cualquier tipo de pieza para el perfecto funcionamiento.</t>
  </si>
  <si>
    <t>planta sótano</t>
  </si>
  <si>
    <t>planta 1º</t>
  </si>
  <si>
    <t>Total 07.10.18</t>
  </si>
  <si>
    <t>07.10.19</t>
  </si>
  <si>
    <t>Luminaria estanca airfal tr3</t>
  </si>
  <si>
    <t>Luminaria estanca airfal tr3, con todos los componentes y cable, instalado en techo o pared según planos y D.F. Totalmente rematado y puesta en funcionamiento contemplando cualquier tipo de pieza para el perfecto funcionamiento.</t>
  </si>
  <si>
    <t>Total 07.10.19</t>
  </si>
  <si>
    <t>Total 07.10</t>
  </si>
  <si>
    <t>Total 07</t>
  </si>
  <si>
    <t>08</t>
  </si>
  <si>
    <t>Aislamientos e impermeabilizaciones</t>
  </si>
  <si>
    <t>08.01</t>
  </si>
  <si>
    <t>Aislamientos térmicos</t>
  </si>
  <si>
    <t>08.01.01</t>
  </si>
  <si>
    <t>Aislamiento térmico bajo forjado, formado por panel semirrígido de lana mineral, según UNE-EN 13162, no revestido, de 70 mm de e</t>
  </si>
  <si>
    <t>Aislamiento térmico bajo forjado, formado por panel semirrígido de lana mineral, según UNE-EN 13162, no revestido, de 70 mm de espesor, resistencia térmica 1,7 m²K/W, conductividad térmica 0,035 W/(mK), colocado a tope y fijado mecánicamente.
Incluye: Limpieza y preparación de la superficie soporte. Replanteo y corte del aislamiento. Colocación del aislamiento. Fijación del aislamiento.</t>
  </si>
  <si>
    <t>Planta Baja (T2)</t>
  </si>
  <si>
    <t>Planta Sótano (T3)</t>
  </si>
  <si>
    <t>Garaje</t>
  </si>
  <si>
    <t>Escaleras</t>
  </si>
  <si>
    <t>Ascensor</t>
  </si>
  <si>
    <t>Planta Baja (T3)</t>
  </si>
  <si>
    <t>Exteriores (T5)</t>
  </si>
  <si>
    <t>Porche trasero</t>
  </si>
  <si>
    <t>Balcón</t>
  </si>
  <si>
    <t>Total 08.01.01</t>
  </si>
  <si>
    <t>08.01.02</t>
  </si>
  <si>
    <t>Aislamiento térmico bajo forjado, formado por panel semirrígido de lana de roca volcánica Alpharock -E- 225 "ROCKWOOL", según UN</t>
  </si>
  <si>
    <t>Aislamiento térmico bajo forjado, formado por panel semirrígido de lana de roca volcánica Alpharock -E- 225 "ROCKWOOL", según UNE-EN 13162, no revestido, de 120 mm de espesor, resistencia térmica 1,75 m²K/W, conductividad térmica 0,034 W/(mK), colocado en falso techo.
Incluye: Limpieza y preparación de la superficie soporte. Replanteo y corte del aislamiento. Colocación del aislamiento. Fijación del aislamiento.</t>
  </si>
  <si>
    <t>Planta Alta (T4)</t>
  </si>
  <si>
    <t>Faldones</t>
  </si>
  <si>
    <t>Total 08.01.02</t>
  </si>
  <si>
    <t>08.01.03</t>
  </si>
  <si>
    <t>Aislamiento térmico entre los montantes de la estructura portante del trasdosado autoportante de placas, formado por panel semir</t>
  </si>
  <si>
    <t>Aislamiento térmico entre los montantes de la estructura portante del trasdosado autoportante de placas, formado por panel semirrígido de lana de roca volcánica Alpharock -E- 225 "ROCKWOOL", según UNE-EN 13162, no revestido, de 70 mm de espesor, resistencia térmica 1,75 m²K/W, conductividad térmica 0,034 W/(mK), colocado entre los montantes de la estructura portante.
Incluye: Corte del aislamiento. Colocación del aislamiento entre los montantes.</t>
  </si>
  <si>
    <t>Planta Alta  hidrófugo</t>
  </si>
  <si>
    <t>Total 08.01.03</t>
  </si>
  <si>
    <t>08.01.04</t>
  </si>
  <si>
    <t>Aislamiento térmico de recercados de ventana, formado por panel rígido de lana de roca, no revestido, según UNE-EN 13162, de 20</t>
  </si>
  <si>
    <t>Aislamiento térmico de recercados de ventana, formado por panel rígido de lana de roca, no revestido, según UNE-EN 13162, de 20 mm de espesor, resistencia térmica 0,55 m²K/W, conductividad térmica 0,036 W/(mK), colocado a tope y fijado mecánicamente sobre la estructura desencofrada. Incluso tacos de expansión de plástico para la fijación del aislante.
Incluye: Replanteo y corte del aislante. Fijación del aislante.</t>
  </si>
  <si>
    <t>Total 08.01.04</t>
  </si>
  <si>
    <t>08.01.05</t>
  </si>
  <si>
    <t>Aislamiento térmico del tramo que conecta la tubería general con la unidad terminal, de menos de 5 m de longitud en instalación</t>
  </si>
  <si>
    <t>Aislamiento térmico del tramo que conecta la tubería general con la unidad terminal, de menos de 5 m de longitud en instalación interior de A.C.S., empotrada en la pared, para la distribución de fluidos calientes (de +40°C a +60°C), formado por coquilla de espuma elastomérica, con un elevado factor de resistencia a la difusión del vapor de agua, de 16,0 mm de diámetro interior y 9,5 mm de espesor, a base de caucho sintético flexible, de estructura celular cerrada, con adhesivo para las uniones.
Incluye: Preparación de la superficie soporte. Replanteo y corte del aislamiento. Colocación del aislamiento.</t>
  </si>
  <si>
    <t>Total 08.01.05</t>
  </si>
  <si>
    <t>08.01.06</t>
  </si>
  <si>
    <t>Aislamiento térmico del tramo que conecta la tubería general con la unidad terminal, de menos de 5 m de longitud en instalación interior de A.C.S., empotrada en la pared, para la distribución de fluidos calientes (de +40°C a +60°C), formado por coquilla de espuma elastomérica, con un elevado factor de resistencia a la difusión del vapor de agua, de 23,0 mm de diámetro interior y 10,0 mm de espesor, a base de caucho sintético flexible, de estructura celular cerrada, con adhesivo para las uniones.
Incluye: Preparación de la superficie soporte. Replanteo y corte del aislamiento. Colocación del aislamiento.</t>
  </si>
  <si>
    <t>Total 08.01.06</t>
  </si>
  <si>
    <t>08.01.07</t>
  </si>
  <si>
    <t>Aislamiento térmico de tubería en instalación interior de A.C.S., colocada superficialmente, para la distribución de fluidos cal</t>
  </si>
  <si>
    <t>Aislamiento térmico de tubería en instalación interior de A.C.S., colocada superficialmente, para la distribución de fluidos calientes (de +60°C a +100°C), formado por coquilla de espuma elastomérica, de 19 mm de diámetro interior y 25 mm de espesor, a base de caucho sintético flexible, de estructura celular cerrada, con adhesivo para las uniones.
Incluye: Preparación de la superficie soporte. Replanteo y corte del aislamiento. Colocación del aislamiento.</t>
  </si>
  <si>
    <t>Total 08.01.07</t>
  </si>
  <si>
    <t>08.01.08</t>
  </si>
  <si>
    <t>Aislamiento térmico de tubería en instalación interior de A.C.S., colocada superficialmente, para la distribución de fluidos calientes (de +60°C a +100°C), formado por coquilla de espuma elastomérica, de 23 mm de diámetro interior y 25 mm de espesor, a base de caucho sintético flexible, de estructura celular cerrada, con adhesivo para las uniones.
Incluye: Preparación de la superficie soporte. Replanteo y corte del aislamiento. Colocación del aislamiento.</t>
  </si>
  <si>
    <t>Total 08.01.08</t>
  </si>
  <si>
    <t>08.01.09</t>
  </si>
  <si>
    <t>Aislamiento térmico de tubería en instalación interior de A.C.S., colocada superficialmente, para la distribución de fluidos calientes (de +60°C a +100°C), formado por coquilla de espuma elastomérica, de 26 mm de diámetro interior y 25 mm de espesor, a base de caucho sintético flexible, de estructura celular cerrada, con adhesivo para las uniones.
Incluye: Preparación de la superficie soporte. Replanteo y corte del aislamiento. Colocación del aislamiento.</t>
  </si>
  <si>
    <t>Total 08.01.09</t>
  </si>
  <si>
    <t>08.01.10</t>
  </si>
  <si>
    <t>Aislamiento térmico de tubería en instalación interior de A.C.S., colocada superficialmente, para la distribución de fluidos calientes (de +60°C a +100°C), formado por coquilla de espuma elastomérica, de 36 mm de diámetro interior y 25 mm de espesor, a base de caucho sintético flexible, de estructura celular cerrada, con adhesivo para las uniones.
Incluye: Preparación de la superficie soporte. Replanteo y corte del aislamiento. Colocación del aislamiento.</t>
  </si>
  <si>
    <t>Total 08.01.10</t>
  </si>
  <si>
    <t>Total 08.01</t>
  </si>
  <si>
    <t>08.02</t>
  </si>
  <si>
    <t>Impermeabilizaciones</t>
  </si>
  <si>
    <t>08.02.01</t>
  </si>
  <si>
    <t>Impermeabilización de galerías y balcones, realizada con lámina de betún modificado con elastómero SBS, LBM(SBS)-40-FP, con arma</t>
  </si>
  <si>
    <t>Impermeabilización de galerías y balcones, realizada con lámina de betún modificado con elastómero SBS, LBM(SBS)-40-FP, con armadura de fieltro de poliéster no tejido de 160 g/m², de superficie no protegida, adherida con emulsión asfáltica aniónica con cargas tipo EB al soporte, y protegida con capa separadora de lámina drenante de polietileno pòr ambas caras, de 7 mm de espesor.
Incluye: Colocación de la capa separadora. Colocación de la impermeabilización. Resolución de los puntos singulares. Colocación de la capa separadora.</t>
  </si>
  <si>
    <t>Terraza</t>
  </si>
  <si>
    <t>Cubierta instalaciones</t>
  </si>
  <si>
    <t>Balcón planta baja</t>
  </si>
  <si>
    <t>Total 08.02.01</t>
  </si>
  <si>
    <t>08.02.02</t>
  </si>
  <si>
    <t>Impermeabilización de fachada con lámina impermeabilizante, desolidarizante y difusora de vapor de agua de polietileno con estru</t>
  </si>
  <si>
    <t>Impermeabilización de fachada con lámina impermeabilizante, desolidarizante y difusora de vapor de agua de polietileno con estructura nervada y cavidades cuadradas en forma de cola de milano, de 3 mm de espesor, Schlüter-DITRA 25 30M "SCHLÜTER-SYSTEMS", revestida de geotextil no tejido en una de sus caras, suministrada en rollos de 30 m de longitud, tipo monocapa, totalmente adherida al soporte con adhesivo cementoso de fraguado normal, C1 gris, preparada para recibir directamente sobre ella el revestimiento cerámico y resolución de encuentros con paramentos verticales mediante colocación de adhesivo bicomponente, Schlüter-KERDI-COLL-L "SCHLÜTER-SYSTEMS", banda de refuerzo Schlüter-KERDI-KEBA 100/125 y masilla adhesiva elástica monocomponente, Schlüter-KERDI-FIX "SCHLÜTER-SYSTEMS".
Incluye: Limpieza y preparación de la superficie. Aplicación del adhesivo cementoso. Colocación de la impermeabilización. Resolución de encuentros y puntos singulares.</t>
  </si>
  <si>
    <t>Total 08.02.02</t>
  </si>
  <si>
    <t>08.02.03</t>
  </si>
  <si>
    <t>Impermeabilización de muro de hormigón en contacto con el terreno, por su cara exterior, con emulsión bituminosa aniónica monoco</t>
  </si>
  <si>
    <t>Impermeabilización de muro de hormigón en contacto con el terreno, por su cara exterior, con emulsión bituminosa aniónica monocomponente, a base de betunes y resinas, aplicada en dos manos, (rendimiento: 1 kg/m² cada mano).
Incluye: Preparación de la superficie soporte. Aplicación de la primera mano. Aplicación de la segunda mano.</t>
  </si>
  <si>
    <t>Total 08.02.03</t>
  </si>
  <si>
    <t>08.02.04</t>
  </si>
  <si>
    <t>Impermeabilización de cornisa o alero con lámina de betún modificado con elastómero SBS, LBM(SBS)-50/G-FP, con armadura de fielt</t>
  </si>
  <si>
    <t>Impermeabilización de cornisa o alero con lámina de betún modificado con elastómero SBS, LBM(SBS)-50/G-FP, con armadura de fieltro de poliéster reforzado y estabilizado de 150 g/m², con autoprotección mineral de color gris, tipo monocapa, totalmente adherida al soporte con soplete, previa imprimación con emulsión asfáltica aniónica con cargas tipo EB y resolución de encuentros con paramentos verticales mediante colocación de perfil de chapa de acero galvanizado, banda de refuerzo y banda de terminación. Incluso masilla de poliuretano para el sellado del espacio entre el perfil metálico y el paramento.
Incluye: Limpieza y preparación de la superficie. Imprimación de la superficie a impermeabilizar. Colocación de la banda de refuerzo. Colocación de la impermeabilización. Colocación de la banda de terminación. Colocación de los perfiles metálicos. Aplicación del cordón de sellado entre el perfil y el paramento vertical.</t>
  </si>
  <si>
    <t>Gárgolas</t>
  </si>
  <si>
    <t>Total 08.02.04</t>
  </si>
  <si>
    <t>08.02.05</t>
  </si>
  <si>
    <t>Impermeabilización de ducha de obra con canaleta de drenaje</t>
  </si>
  <si>
    <t>Impermeabilización de paramentos verticales y horizontales de ducha de obra con canaleta de drenaje, sistema tipo Dry50 "REVESTECH" o equivalente, compuesta por, kit Dry50 Lineal Premier 60, formado por lámina impermeabilizante flexible tipo EVAC de 1200x2000 mm compuesta de una doble hoja de poliolefina termoplástica con acetato de vinil etileno, con ambas caras revestidas de fibras de poliéster no tejidas, de 0,52 mm de espesor y 335 g/m², según UNE-EN 13956, con unión termosellada a el sumidero sifónico de PVC de 82 mm de altura, salida horizontal de 40 mm de diámetro, con rejilla para empotrar de acero inoxidable, modelo Liso Acero de 591x88 mm y canaleta de drenaje de acero inoxidable, de 596x93 mm, y lámina impermeabilizante flexible tipo EVAC, Dry50 30, compuesta de una doble hoja de poliolefina termoplástica con acetato de vinil etileno, con ambas caras revestidas de fibras de poliéster no tejidas, de 0,52 mm de espesor y 335 g/m², fijada al soporte con adhesivo cementoso mejorado, deformable y tixotrópico, C2 TE S1. Incluso complementos de refuerzo en tratamiento de puntos singulares mediante el uso de piezas especiales "REVESTECH" para la resolución de ángulos internos (Dry50 Cornerin), resolución de uniones y sellado de juntas elásticas (puntos de penetración de tuberías en el revestimiento, encuentros entre el paramento y la ducha de obra, etc.).
Criterio de valoración económica: El precio no incluye la formación de pendientes ni el revestimiento.
Incluye: Corte y preparación de las láminas de poliolefinas. Extendido del adhesivo cementoso. Colocación de la impermeabilización. Colocación y fijación del kit. Ejecución de refuerzos en puntos singulares. Resolución de uniones. Sellado de juntas elásticas. Colocación de la rejilla. Formación de pendientes del hormigón (vertido hormigón en otra partida).
Criterio de medición de proyecto: Número de unidades previstas, según documentación gráfica de Proyecto.
Criterio de medición de obra: Se medirá el número de unidades realmente ejecutadas según especificaciones de Proyecto.</t>
  </si>
  <si>
    <t>SPC-01</t>
  </si>
  <si>
    <t>Duchas de obra</t>
  </si>
  <si>
    <t>Total 08.02.05</t>
  </si>
  <si>
    <t>Total 08.02</t>
  </si>
  <si>
    <t>08.03</t>
  </si>
  <si>
    <t>Estanqueidad</t>
  </si>
  <si>
    <t>08.03.01</t>
  </si>
  <si>
    <t>Barrera de vapor con estanqueidad al aire, de polipropileno, con armadura, de 0,15 mm de espesor y 100 g/m², de 107 m de espesor</t>
  </si>
  <si>
    <t>Barrera de vapor con estanqueidad al aire, de polipropileno, con armadura, de 0,15 mm de espesor y 100 g/m², de 107 m de espesor de aire equivalente frente a la difusión de vapor de agua, según UNE-EN 1931, (Euroclase E de reacción al fuego según UNE-EN 13501-1); colocada por el interior del cerramiento vertical. Incluso grapas, cinta autoadhesiva para sellado de juntas.
Incluye: Limpieza y preparación de la superficie. Corte y preparación. Fijación. Corte de la cinta de sellado. Colocación de la cinta de sellado.</t>
  </si>
  <si>
    <t>Total 08.03.01</t>
  </si>
  <si>
    <t>08.03.02</t>
  </si>
  <si>
    <t>Barrera de vapor con estanqueidad al aire, de polipropileno, con armadura, de 0,15 mm de espesor y 100 g/m², de 107 m de espesor de aire equivalente frente a la difusión de vapor de agua, según UNE-EN 1931, (Euroclase E de reacción al fuego según UNE-EN 13501-1); colocada por el interior de la cubierta y voladizos. Incluso grapas, cinta autoadhesiva para sellado de juntas.
Incluye: Limpieza y preparación de la superficie. Corte y preparación. Fijación. Corte de la cinta de sellado. Colocación de la cinta de sellado.</t>
  </si>
  <si>
    <t>Exteriroes (T5)</t>
  </si>
  <si>
    <t>Total 08.03.02</t>
  </si>
  <si>
    <t>Total 08.03</t>
  </si>
  <si>
    <t>08.04</t>
  </si>
  <si>
    <t>Drenajes</t>
  </si>
  <si>
    <t>08.04.01</t>
  </si>
  <si>
    <t>Drenaje de muro de hormigón en contacto con el terreno, por su cara exterior, con lámina drenante y filtrante de estructura nodu</t>
  </si>
  <si>
    <t>Drenaje de muro de hormigón en contacto con el terreno, por su cara exterior, con lámina drenante y filtrante de estructura nodular de polietileno de alta densidad (PEAD/HDPE), con nódulos de 8 mm de altura, con geotextil de polipropileno incorporado, resistencia a la compresión 150 kN/m² según UNE-EN ISO 604, capacidad de drenaje 5 l/(s·m) y masa nominal 0,7 kg/m²; colocada con solapes, con los nódulos contra el muro previamente impermeabilizado, fijada con clavos de acero de 62 mm de longitud, con arandela blanda de polietileno de 36 mm de diámetro (2 ud/m²). Incluso perfil metálico para remate superior y.
Incluye: Realización de trabajos auxiliares en la superficie soporte (conformado de ángulos, paso de tubos, etc.). Limpieza y preparación de la superficie. Colocación de la lámina drenante y filtrante. Resolución de puntos singulares.</t>
  </si>
  <si>
    <t>Total 08.04.01</t>
  </si>
  <si>
    <t>Total 08.04</t>
  </si>
  <si>
    <t>08.05</t>
  </si>
  <si>
    <t>Aislamientos Acústico</t>
  </si>
  <si>
    <t>NBA020</t>
  </si>
  <si>
    <t>Aislamiento acústico a ruido aéreo de bajante, con complejos multicapa.</t>
  </si>
  <si>
    <t>Aislamiento acústico a ruido aéreo de bajante de 110 mm de diámetro, realizado con complejo multicapa, de 4 mm de espesor, 3,6 kg/m² de masa superficial, formado por una lámina de poliolefinas y una lámina viscoelástica de alta densidad; dispuesto en torno a la bajante a modo de coquilla. Incluso cinta viscoelástica autoadhesiva, para sellado de juntas.
Incluye: Limpieza de la superficie soporte. Corte del rollo en tramos. Forrado de la bajante. Sellado de juntas.
Criterio de medición de proyecto: Longitud medida según documentación gráfica de Proyecto.
Criterio de medición de obra: Se medirá la longitud realmente ejecutada según especificaciones de Proyecto.</t>
  </si>
  <si>
    <t>Ailamiento bajantes cocina</t>
  </si>
  <si>
    <t>Total NBA020</t>
  </si>
  <si>
    <t>Total 08.05</t>
  </si>
  <si>
    <t>Total 08</t>
  </si>
  <si>
    <t>09</t>
  </si>
  <si>
    <t>Cubiertas</t>
  </si>
  <si>
    <t>09.01</t>
  </si>
  <si>
    <t>Planas</t>
  </si>
  <si>
    <t>09.01.01</t>
  </si>
  <si>
    <t>Cubierta plana no transitable</t>
  </si>
  <si>
    <t>Cubierta plana no transitable, no ventilada, con grava, tipo convencional, pendiente del 1% al 5%, compuesta de: formación de pendientes: hormigón ligero, de resistencia a compresión 2,0 MPa y 690 kg/m³ de densidad, confeccionado en obra con arcilla expandida y cemento gris, con espesor medio de 10 cm, acabado con capa de regularización de mortero de cemento, industrial, M-5 de 2 cm de espesor; aislamiento térmico: panel rígido de poliestireno extruido, de superficie lisa y mecanizado lateral a media madera, de 80 mm de espesor, resistencia a compresión &gt;= 300 kPa; capa separadora bajo impermeabilización: geotextil no tejido compuesto por fibras de poliéster unidas por agujeteado, (150 g/m²); impermeabilización monocapa no adherida: lámina de betún modificado con elastómero SBS, LBM(SBS)-40-FP; capa separadora bajo protección: geotextil no tejido compuesto por fibras de poliéster unidas por agujeteado, (200 g/m²); capa de mortero protector de 2 cm; capa de protección: 10 cm de canto rodado de 16 a 32 mm de diámetro.
Incluye: Replanteo de los puntos singulares. Replanteo de las pendientes y trazado de limatesas, limahoyas y juntas. Formación de pendientes mediante encintado de limatesas, limahoyas y juntas con maestras de ladrillo. Relleno de juntas con poliestireno expandido. Vertido y regleado del hormigón ligero hasta alcanzar el nivel de coronación de las maestras. Vertido, extendido y regleado de la capa de mortero de regularización. Revisión de la superficie base en la que se realiza la fijación del aislamiento de acuerdo con las exigencias de la técnica a emplear. Corte, ajuste y colocación del aislamiento. Colocación de la capa separadora bajo impermeabilización. Limpieza y preparación de la superficie. Colocación de la impermeabilización. Colocación de la capa separadora bajo protección. Vertido y extendido de las capas de protección primero una capa de motero y después otra de grava.</t>
  </si>
  <si>
    <t>Patios</t>
  </si>
  <si>
    <t>Total 09.01.01</t>
  </si>
  <si>
    <t>Total 09.01</t>
  </si>
  <si>
    <t>09.02</t>
  </si>
  <si>
    <t>Inclinadas</t>
  </si>
  <si>
    <t>09.02.01</t>
  </si>
  <si>
    <t>Tablero de panel sándwich realizado in situ, compuesto de: cara superior de tablero de contrachapado fenólico hidrófugo de 32 mm</t>
  </si>
  <si>
    <t>Tablero de panel sándwich realizado in situ, compuesto de: cara superior de tablero de contrachapado fenólico hidrófugo de 32 mm de espesor, núcleo aislante de espuma de poliestireno extruido de 20 mm de espesor con rastreles hidrófugos intermedios y cara inferior de tablero de aglomerado hidrófugo de 10 mm de espesor, fijado mecánicamente sobre soporte discontinuo metálico; para formación de faldón en cubierta inclinada. Incluso tornillos autotaladrantes para fijación sobre soporte; banda impermeabilizante autoadhesiva para impermeabilización y sellado de juntas.
Incluye: Replanteo. Corte de las piezas. Colocación de los paneles que forman el tablero. Fijación mecánica de las piezas al soporte. Sellado de juntas y uniones.</t>
  </si>
  <si>
    <t>A descontar</t>
  </si>
  <si>
    <t>Total 09.02.01</t>
  </si>
  <si>
    <t>09.02.02</t>
  </si>
  <si>
    <t>Cubierta inclinada de zinc</t>
  </si>
  <si>
    <t>Cubierta inclinada formada por estructura portante. Impermeabilización con lámina de caucho EPDM, tipo II, UNE-EN 13956. Cobertura compuesta por bandeja de zinctitanio "RHEINZINK", acabado natural, de 0,7 mm de espesor, de 10 m de longitud máxima, fabricada según el sistema de junta alzada de 25 mm de altura, a partir de material en banda de 650 mm de desarrollo y 580 mm entre ejes, unión longitudinal de bandejas mediante engatillado simple, fijada mecánicamente sobre panel sandwich realizado in situ (no incluido en este precio).
Incluye: Limpieza y preparación del soporte. Colocación de la barrera de vapor. Replanteo y colocación de los cabios de madera. Corte, extendido y ajuste del aislamiento térmico. Colocación de la impermeabilización. Fijación del enrastrelado a intervalos regulares. Disposición del entablado de madera. Extendido y fijación de las bandejas. Realización de las juntas transversales y longitudinales. Resolución de puntos singulares con piezas de remate.</t>
  </si>
  <si>
    <t>Total 09.02.02</t>
  </si>
  <si>
    <t>Total 09.02</t>
  </si>
  <si>
    <t>09.03</t>
  </si>
  <si>
    <t>09.03.01</t>
  </si>
  <si>
    <t>Forrado de chimeneas y encuentro con faldón de tejado mediante chapa de zinc y banda ajustable compuesta por aleación de alumini</t>
  </si>
  <si>
    <t>Forrado de chimeneas y encuentro con faldón de tejado mediante chapa de zinc y banda ajustable, formando doble babero, fijada con perfil de acero inoxidable.
Incluye: Replanteo. Forrado de chimeneas. Formación del encuentro. Remates.</t>
  </si>
  <si>
    <t>09.03.02</t>
  </si>
  <si>
    <t>Borde lateral de cubierta revestido con perfil vierteaguas de zinc, de 70 mm de altura.</t>
  </si>
  <si>
    <t>Borde lateral de cubierta revestido con perfil vierteaguas de zinc, de 70 mm de altura.
Incluye: Limpieza y preparación de la superficie. Replanteo. Corte, colocación y fijación del perfil.</t>
  </si>
  <si>
    <t>09.03.03</t>
  </si>
  <si>
    <t>Borde lateral de cubierta revestido con perfil vierteaguas de zinc, de 40 mm de altura.</t>
  </si>
  <si>
    <t>Borde lateral de cubierta revestido con perfil vierteaguas de zinc, de 40 mm de altura.
Incluye: Limpieza y preparación de la superficie. Replanteo. Corte, colocación y fijación del perfil.</t>
  </si>
  <si>
    <t>09.03.04</t>
  </si>
  <si>
    <t>Gárgola de zinctitanio, natural, de desarrollo 470 mm, 0,65 mm de espesor y recorte de baquetón y vuelo de 300 mm.</t>
  </si>
  <si>
    <t>Gárgola de zinctitanio, natural, de desarrollo 470 mm, 0,65 mm de espesor y recorte de baquetón y vuelo de 300 mm. Según detalle constructivo de planos
Incluye: Replanteo del recorrido de la gárgola y de la situación de los elementos de sujeción. Fijación del material auxiliar para montaje y sujeción a la obra. Montaje, conexionado y comprobación de su correcto funcionamiento.</t>
  </si>
  <si>
    <t>Total 09.03</t>
  </si>
  <si>
    <t>Total 09</t>
  </si>
  <si>
    <t>10</t>
  </si>
  <si>
    <t>Revestimientos y trasdosados</t>
  </si>
  <si>
    <t>10.01</t>
  </si>
  <si>
    <t>Alicatados</t>
  </si>
  <si>
    <t>10.01.01</t>
  </si>
  <si>
    <t>Alicatado, capacidad de absorción de agua E&gt;10%, grupo BIII, resistencia al deslizamiento Rd&lt;</t>
  </si>
  <si>
    <t>Alicatado, dimensiones 120x60 cm color gris claro con capacidad de absorción de agua E&gt;10%, grupo BIII, resistencia al deslizamiento Rd&lt;=15, clase 0, colocado sobre una superficie soporte de mortero de cemento o placas de yeso, en paramentos interiores, recibido con adhesivo cementoso de uso exclusivo para interiores, Ci gris, sin junta (separación entre 1,5 y 3 mm); formación de ingletes. Se estima un precio de material de 45€/m2.
Incluye: Preparación de la superficie soporte. Replanteo de niveles y disposición de baldosas. Colocación de maestras o reglas. Preparación y aplicación del adhesivo. Formación de juntas de movimiento. Colocación de las baldosas. Ejecución de esquinas y rincones. Rejuntado de baldosas. Acabado y limpieza final.</t>
  </si>
  <si>
    <t>Cocina</t>
  </si>
  <si>
    <t>baño planta baja</t>
  </si>
  <si>
    <t>Baño D1</t>
  </si>
  <si>
    <t>Baño General</t>
  </si>
  <si>
    <t>Total 10.01.01</t>
  </si>
  <si>
    <t>Total 10.01</t>
  </si>
  <si>
    <t>10.02</t>
  </si>
  <si>
    <t>10.02.01</t>
  </si>
  <si>
    <t>Peldaño de madera.</t>
  </si>
  <si>
    <t>Peldaño de madera maciza de roble (Quercus robur), con certificado PEFC, de 800x280x22 mm, formado por tablero alistonado de lama continua, barnizado en taller con barniz al agua con acabado mate cero (poco brillo, similar al acabado de pavimento madera), resistencia al deslizamiento 15&lt;Rd&lt;=35, clase 1, colocado mediante sistema de fijación oculta en zanca de escalera. Incluso accesorios y elementos para fijación del peldaño.
Incluye: Replanteo. Colocación y fijación de los peldaños. Limpieza final.
Criterio de medición de proyecto: Número de unidades previstas, según documentación gráfica de Proyecto.
Criterio de medición de obra: Se medirá el número de unidades realmente ejecutadas según especificaciones de Proyecto.</t>
  </si>
  <si>
    <t>Total 10.02.01</t>
  </si>
  <si>
    <t>10.02.02</t>
  </si>
  <si>
    <t>Alfeizar de madera maciza de roble</t>
  </si>
  <si>
    <t>Alfeizar de madera maciza de roble (Quercus robur), con certificado PEFC, de 1350x410x32 mm, formado por tablero alistonado de lama continua, barnizado en taller con barniz al agua con acabado mate cero (poco brillo, similar al acabado de pavimento madera), resistencia al deslizamiento 15&lt;Rd&lt;=35, clase 1, colocado mediante sistema de fijación oculta en zanca de escalera. Incluso accesorios y elementos para fijación del peldaño.
Incluye: Replanteo. Colocación y fijación de los peldaños. Limpieza final.
Criterio de medición de proyecto: Número de unidades previstas, según documentación gráfica de Proyecto.
Criterio de medición de obra: Se medirá el número de unidades realmente ejecutadas según especificaciones de Proyecto.</t>
  </si>
  <si>
    <t>Alfeizar ventanal dormitorio principal</t>
  </si>
  <si>
    <t>Total 10.02.02</t>
  </si>
  <si>
    <t>Total 10.02</t>
  </si>
  <si>
    <t>10.03</t>
  </si>
  <si>
    <t>Pinturas en paramentos interiores</t>
  </si>
  <si>
    <t>10.03.01</t>
  </si>
  <si>
    <t>Aplicación manual de dos manos de pintura plástica color blanco, acabado mate, textura lisa, la primera mano diluida con un 20%</t>
  </si>
  <si>
    <t>Aplicación manual de dos manos de pintura plástica color blanco, acabado mate, textura lisa, la primera mano diluida con un 20% de agua y la siguiente sin diluir, (rendimiento: 0,1 l/m² cada mano); previa aplicación de una mano de imprimación a base de copolímeros acrílicos en suspensión acuosa, sobre paramento interior de yeso proyectado o placas de yeso laminado, vertical.
Incluye: Preparación del soporte. Aplicación de una mano de fondo. Aplicación de dos manos de acabado.</t>
  </si>
  <si>
    <t>Total 10.03.01</t>
  </si>
  <si>
    <t>10.03.02</t>
  </si>
  <si>
    <t>Total 10.03.02</t>
  </si>
  <si>
    <t>10.03.03</t>
  </si>
  <si>
    <t>Aplicación manual de dos manos de pintura plástica color blanco, acabado mate, textura lisa, la primera mano diluida con un 20% de agua y la siguiente sin diluir, (rendimiento: 0,1 l/m² cada mano); previa aplicación de una mano de imprimación a base de copolímeros acrílicos en suspensión acuosa, sobre paramento interior de yeso proyectado o placas de yeso laminado, horizontal.
Incluye: Preparación del soporte. Aplicación de una mano de fondo. Aplicación de dos manos de acabado.</t>
  </si>
  <si>
    <t>Tabicas</t>
  </si>
  <si>
    <t>distribuidor</t>
  </si>
  <si>
    <t>Total 10.03.03</t>
  </si>
  <si>
    <t>Total 10.03</t>
  </si>
  <si>
    <t>10.04</t>
  </si>
  <si>
    <t>Tratamientos superficiales de protección</t>
  </si>
  <si>
    <t>10.04.01</t>
  </si>
  <si>
    <t>Tratamiento superficial de protección hidrófuga para fachadas de hormigón</t>
  </si>
  <si>
    <t>Tratamiento superficial de protección hidrófuga para fachadas de hormigón, mediante impregnación acuosa, incolora, hidrófuga, con propiedades tixotrópicas, aplicada en manos sucesivas hasta la saturación del elemento (rendimiento: 0,2 l/m²).
Incluye: Limpieza general del paramento soporte. Aplicación del hidrofugante.</t>
  </si>
  <si>
    <t>Total 10.04.01</t>
  </si>
  <si>
    <t>Total 10.04</t>
  </si>
  <si>
    <t>10.06</t>
  </si>
  <si>
    <t>Pavimentos</t>
  </si>
  <si>
    <t>10.06.01</t>
  </si>
  <si>
    <t>Pavimento laminado QuickStep AC6</t>
  </si>
  <si>
    <t>Pavimento laminado QuickStep AC6 modelo IM3105 ó EL915 de Clase 23: Doméstico intenso, resistencia a la abrasión AC3, formado por tablero base de HDF laminado decorativo en roble, acabado con capa superficial de protección plástica, ensamblado sin adhesivo, tipo 'Clic'. COLOCACIÓN: sistema flotante machihembrado sobre lámina de espuma de polietileno de alta densidad de 3 mm de espesor. Incluso cinta autoadhesiva para sellado de juntas.
Incluye: Colocación de la base de polietileno. Colocación y recorte de la primera hilada por una esquina de la habitación. Colocación y recorte de las siguientes hiladas. Ensamblado de las tablas mediante sistema 'Clic'. Colocación y recorte de la última hilada. Corte de las piezas para empalmes, esquinas y rincones. Fijación de las piezas sobre el paramento. Ocultación de la fijación por enmasillado.
Criterio de medición de proyecto: Superficie útil, medida según documentación gráfica de Proyecto.
Criterio de medición de obra: Se medirá la superficie realmente ejecutada según especificaciones de Proyecto.</t>
  </si>
  <si>
    <t>Pavimento (S3)</t>
  </si>
  <si>
    <t>Total 10.06.01</t>
  </si>
  <si>
    <t>10.06.02</t>
  </si>
  <si>
    <t>Pavimento continio de hormigón pulido barnizado</t>
  </si>
  <si>
    <t>Pavimento continuo de hormigón de 10 cm de espesor, realizado con hormigón HA-25/B/12/IIa, fabricado en central, acabado natural y tratado superficialmente mediante fratasadora y pulidora mecánicas; con aplicación superficial de densificador liquido de mezcla de silicatos de litio en base agua para el endurecimiento y densificación de la superficie tipo Sikafloor CureHard LI de Sika. Acabado superficial barnizado mediante barniz bicomponente transparente mate de poliuretano resistente a ralladuras que no modifique el color del hormigón (composición "low sheen" o "non-darkening"), a realizar pruebas para aceptación e la D.F. y propiedad.
Incluyendo: plancha de poliestireno extruido  de 10 mm de espesor para formación de encuentros con paramentos verticales.Preparación de la superficie de apoyo del hormigón. Replanteo de las juntas de construcción y de dilatación. Tendido de niveles mediante toques, maestras de hormigón o reglas. Riego de la superficie base. Vertido, extendido y vibrado del hormigón. Conexión de los elementos exteriores. Aplicación del líquido de curado y posterior tratamiento encerado.</t>
  </si>
  <si>
    <t>Pavimento (S4)</t>
  </si>
  <si>
    <t>Total 10.06.02</t>
  </si>
  <si>
    <t>10.06.03</t>
  </si>
  <si>
    <t>Rodapié MDM lacado blanco</t>
  </si>
  <si>
    <t>Rodapié de MDF, de 90x18 mm, lacado blanco, con sección para alojamiento de clips, fijado al paramento mediante clips.
Incluye: Replanteo. Corte de las piezas. Fijación de las piezas sobre el paramento. Resolución de esquinas y encuentros.
Criterio de medición de proyecto: Longitud medida según documentación gráfica de Proyecto, sin incluir huecos de puertas.
Criterio de medición de obra: Se medirá la longitud realmente ejecutada según especificaciones de Proyecto.</t>
  </si>
  <si>
    <t>Total 10.06.03</t>
  </si>
  <si>
    <t>10.06.05</t>
  </si>
  <si>
    <t>Encachado 20 mm en terrazas</t>
  </si>
  <si>
    <t>Encachado de piedra silícea  color gris de diámetro 20 mm y 10 cm de espesor, i/extendido y compactado.</t>
  </si>
  <si>
    <t>Terrazas</t>
  </si>
  <si>
    <t>4.08</t>
  </si>
  <si>
    <t>Total 10.06.05</t>
  </si>
  <si>
    <t>10.06.06</t>
  </si>
  <si>
    <t>Pavimento exterior de piezas de gres porcelánico técnico. Colocación en capa fina.</t>
  </si>
  <si>
    <t>Pavimento exterior de piezas de gres porcelánico técnico, de 600x1200x10 mm, gama media, capacidad de absorción de agua E&lt;0,1%, grupo BIa, según UNE-EN 14411, con resistencia al deslizamiento Rd&gt;45 según UNE-EN 16165 y resbaladicidad clase 3 según CTE; carga de rotura &gt;3000 N; resistencia a la flexión &gt;45 N/mm². SOPORTE: de mortero de cemento. COLOCACIÓN: en capa fina y mediante encolado simple con adhesivo cementoso mejorado, C2 TE, según UNE-EN 12004, con deslizamiento reducido y tiempo abierto ampliado. REJUNTADO: con mortero de juntas cementoso mejorado, con absorción de agua reducida y resistencia elevada a la abrasión tipo CG 2 W A, color blanco, en juntas de 2 mm de espesor.
Precio estimado material 65 €/m2.
Incluye: Limpieza y comprobación de la superficie soporte. Replanteo de los niveles de acabado. Replanteo de la disposición de las piezas y juntas de movimiento. Aplicación del adhesivo. Colocación de las crucetas. Colocación de las piezas a punta de paleta. Formación de juntas de partición, perimetrales y estructurales. Rejuntado. Eliminación y limpieza del material sobrante. Limpieza final del pavimento.
Criterio de medición de proyecto: Superficie útil, medida según documentación gráfica de Proyecto. No se ha incrementado la medición por roturas y recortes, ya que en la descomposición se ha considerado un 5% más de piezas.
Criterio de medición de obra: Se medirá la superficie realmente ejecutada según especificaciones de Proyecto.</t>
  </si>
  <si>
    <t>Total 10.06.06</t>
  </si>
  <si>
    <t>Total 10.06</t>
  </si>
  <si>
    <t>10.07</t>
  </si>
  <si>
    <t>Trasdosados</t>
  </si>
  <si>
    <t>10.07.01</t>
  </si>
  <si>
    <t>Trasdosado autoportante libre, perfil 70 mm y placa de yeso laminado 13 normal</t>
  </si>
  <si>
    <t>Trasdosado autoportante libre, de perfil 70 mm y con placa de yeso laminado 13 normal, anclada a los forjados mediante estructura formada por canales y montantes; 85 mm de espesor total; separación entre montantes 600 mm. 
Incluye: Replanteo y trazado en el forjado inferior y en el superior de los perfiles.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Replanteo de las cajas para alojamiento de mecanismos eléctricos y de paso de instalaciones, y posterior perforación de las placas. Tratamiento de juntas. Recibido de las cajas para alojamiento de mecanismos eléctricos y de paso de instalaciones.</t>
  </si>
  <si>
    <t>Total 10.07.01</t>
  </si>
  <si>
    <t>10.07.02</t>
  </si>
  <si>
    <t>Trasdosado autoportante libre, perfil 70 mm  y placa de yeso laminado 13 hidrofugo</t>
  </si>
  <si>
    <t>Trasdosado autoportante libre, de perfil 70 mm y con placa de yeso laminado 13 hidrofugo, anclada a los forjados mediante estructura formada por canales y montantes; 85 mm de espesor total; separación entre montantes 600 mm. 
Incluye: Replanteo y trazado en el forjado inferior y en el superior de los perfiles.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Replanteo de las cajas para alojamiento de mecanismos eléctricos y de paso de instalaciones, y posterior perforación de las placas. Tratamiento de juntas. Recibido de las cajas para alojamiento de mecanismos eléctricos y de paso de instalaciones.</t>
  </si>
  <si>
    <t>Total 10.07.02</t>
  </si>
  <si>
    <t>Total 10.07</t>
  </si>
  <si>
    <t>10.08</t>
  </si>
  <si>
    <t>Falsos techos</t>
  </si>
  <si>
    <t>10.08.01</t>
  </si>
  <si>
    <t>Falso techo continuo suspendido, liso, con estructura metálica con placa de 15</t>
  </si>
  <si>
    <t>Falso techo continuo suspendido, situado a una altura menor de 4 m, liso, con estructura metálica, formado por una placa de yeso laminado A / UNE-EN 520 - 1200 / 3000 / 15 / con los bordes longitudinales afinados.
Incluye: Replanteo de los ejes de la estructura metálica. Colocación de la banda acústica de dilatación. Fijación del perfil perimetral. Señalización de los puntos de anclaje al forjado o elemento soporte. Nivelación y suspensión de los perfiles primarios de la estructura. Corte de las placas. Fijación de las placas. Tratamiento de juntas.</t>
  </si>
  <si>
    <t>Total 10.08.01</t>
  </si>
  <si>
    <t>10.08.02</t>
  </si>
  <si>
    <t>Falso techo continuo suspendido, situado a una altura menor de 4 m, liso, con estructura metálica, formado por una placa de yeso laminado A / UNE-EN 520 - 1200 / longitud / 15 / con los bordes longitudinales afinados.
Incluye: Replanteo de los ejes de la estructura metálica. Fijación del perfil perimetral. Señalización de los puntos de anclaje al forjado o elemento soporte. Nivelación y suspensión de los perfiles primarios de la estructura. Corte de las placas. Fijación de las placas. Tratamiento de juntas.</t>
  </si>
  <si>
    <t>Baño planta baja</t>
  </si>
  <si>
    <t>Distribuidor planta baja</t>
  </si>
  <si>
    <t>Total 10.08.02</t>
  </si>
  <si>
    <t>10.08.03</t>
  </si>
  <si>
    <t>Falso techo continuo suspendido, para exterior, formado por lamas de madera termotratada Therrmopine Finsa de 120 mm, con borde</t>
  </si>
  <si>
    <t>Falso techo continuo suspendido, para exterior, formado por lamas de madera termotratada Therrmopine Finsa de 120 mm, con borde machihembrado y acanaladuras en la cara oculta, acabado lasur incoloro, fijadas con clips a una estructura metálica de acero galvanizado de perfiles T 24 24x15x3700 mm separados cada 600 mm entre ejes.
Incluye: Trazado en los muros del nivel del falso techo. Replanteo de los perfiles primarios de la trama. Señalización de los puntos de anclaje al forjado o elemento soporte. Colocación de los clips de fijación. Nivelación y suspensión de los perfiles primarios de la trama. Colocación de los perfiles distanciadores, perpendiculares a los perfiles primarios. Corte de las lamas de madera. Fijación de las lamas de madera.</t>
  </si>
  <si>
    <t>Total 10.08.03</t>
  </si>
  <si>
    <t>10.08.04</t>
  </si>
  <si>
    <t>Falso techo liso, formado por una placa de yeso laminado A / UNE-EN 520 - 1200 / longitud / 15 / con los bordes longitudinales afinados.
Incluye: Replanteo de los ejes de la estructura metálica. Colocación de la banda acústica de dilatación. Fijación del perfil perimetral. Señalización de los puntos de anclaje al forjado o elemento soporte. Nivelación de los perfiles primarios. Corte de las placas. Fijación de las placas. Tratamiento de juntas.</t>
  </si>
  <si>
    <t>terraza</t>
  </si>
  <si>
    <t>Total 10.08.04</t>
  </si>
  <si>
    <t>10.08.05</t>
  </si>
  <si>
    <t>Tabica vertical en cambio de nivel de falso techo continuo, formada con placas de yeso laminado, para cerrar un espacio de 20 cm</t>
  </si>
  <si>
    <t>Tabica vertical en cambio de nivel de falso techo continuo, formada con placas de yeso laminado, para cerrar un espacio de 20 cm de altura.
Incluye: Replanteo y trazado en los paramentos de la situación de la tabica. Presentación y corte de las piezas. Extendido de la pasta de agarre. Fijación de las placas. Tratamiento de juntas.</t>
  </si>
  <si>
    <t>Total 10.08.05</t>
  </si>
  <si>
    <t>10.08.06</t>
  </si>
  <si>
    <t>Techo acústico de virutas  de madera Heraklith</t>
  </si>
  <si>
    <t>Techo de paneles acústicos de viruta de madera gruesa mezclada con magnesita o cemento, de dimensiones 60x120 cm y 25 mm de espesor, con una densidad de 440 kg/m2, en color natural claro y cantos vivos colocado a rompejunta, y perfilería suspendida oculta de acero galvanizado con clips de sujección o atornillado según definiciñon de D.F. y previas pruebas de acabado, s/NTE-RTP-12.</t>
  </si>
  <si>
    <t>planta sótano-garaje</t>
  </si>
  <si>
    <t>Total 10.08.06</t>
  </si>
  <si>
    <t>Total 10.08</t>
  </si>
  <si>
    <t>Total 10</t>
  </si>
  <si>
    <t>11</t>
  </si>
  <si>
    <t>Señalización y equipamiento</t>
  </si>
  <si>
    <t>11.01</t>
  </si>
  <si>
    <t>Aparatos sanitarios</t>
  </si>
  <si>
    <t>11.01.01</t>
  </si>
  <si>
    <t>Conjunto de aparatos sanitarios en baño planta baja</t>
  </si>
  <si>
    <t>Conjunto de aparatos sanitarios en aseo formado por: 
-Inodoro suspendido Roca serie The Gap Square Rimless referencia A34647A000 con tapa amortiguada de supralit, incluso bastidor con cisterna empotrable en tabique de pladur, placas de accionamiento y accesorios necesarios para la instalación.
-Lavabo mural compacto blanco de Roca serie Tura referencia A327690000 con griferia Zesis S Mezclador monomando de lavabo 100 CoolStart sin vaciador automático Referencia 74721000.
-Griferia de ducha mediante columna de ducha Tizona REF: G3781100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</si>
  <si>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baño p baja</t>
  </si>
  <si>
    <t>Total 11.01.01</t>
  </si>
  <si>
    <t>11.01.02</t>
  </si>
  <si>
    <t>Conjunto de aparatos sanitarios en baño planta primera habitación principal</t>
  </si>
  <si>
    <t>Conjunto de aparatos sanitarios en aseo formado por: 
-Inodoro suspendido Roca serie The Gap Square Rimless referencia A34647A000 con tapa amortiguada de supralit, incluso bastidor con cisterna empotrable en tabique de pladur, placas de accionamiento y accesorios necesarios para la instalación.
-Lavabo sobre encimera de Roca serie The Gap Round referencia A3270MJ000 con griferia Zesis S Mezclador monomando de lavabo 230 CoolStart sin vaciador automático Referencia 74731000.
-Griferia de ducha mediante griferia Roca Pack Basic empotrado monomando L20 para baño-ducha Ref: A5D1809C00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</si>
  <si>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Total 11.01.02</t>
  </si>
  <si>
    <t>11.01.03</t>
  </si>
  <si>
    <t>Conjunto de aparatos sanitarios en baño general</t>
  </si>
  <si>
    <t>Conjunto de aparatos sanitarios en aseo formado por: 
-Inodoro Gala serie Emmasquare BTW referencia G2726001, incluso placas de accionamiento y accesorios necesarios para la instalación.
-Lavabo bajo encimera compacto blanco de Roca serie The Gap referencia A3270YF000 con griferia Zesis S Mezclador monomando de lavabo 100 CoolStart sin vaciador automático Referencia 74721000.
-Bañera acrílica rectangular de Gala seríe MITTA ref G6266101 con Griferia Zesis S Mezclador monomando de bañera visto Referencia 74420000 y Vernis Blend Teleducha 100 Vario EcoSmart+ Referencia 26090000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</si>
  <si>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Baño  Gral</t>
  </si>
  <si>
    <t>Total 11.01.03</t>
  </si>
  <si>
    <t>Total 11.01</t>
  </si>
  <si>
    <t>11.02</t>
  </si>
  <si>
    <t>Cocinas/galerías</t>
  </si>
  <si>
    <t>11.02.01</t>
  </si>
  <si>
    <t>Fregadero de acero inoxidable para instalación en encimera</t>
  </si>
  <si>
    <t>Fregadero de acero inoxidable para instalación en encimera, de 1 cubeta, de 450x490 mm, equipado con grifería monomando con cartucho cerámico para fregadero, gama media, acabado cromado.
Incluye: Replanteo y trazado en el paramento soporte de la situación del aparato. Colocación, nivelación y fijación de los elementos de soporte. Nivelación, aplomado y colocación del aparato. Conexión a la red de evacuación. Montaje de la grifería. Conexión a las redes de agua fría y caliente. Montaje de accesorios y complementos. Sellado de juntas.</t>
  </si>
  <si>
    <t>11.02.02</t>
  </si>
  <si>
    <t>Lavadero de porcelana sanitaria</t>
  </si>
  <si>
    <t>Lavadero de porcelana sanitaria, color blanco, de 600x390x360 mm, con mueble soporte de tablero aglomerado, de 378x555x786 mm, equipado con grifería, gama básica, con caño giratorio superior, con aireador.
Incluye: Replanteo y trazado en el paramento soporte de la situación del aparato. Colocación, nivelación y fijación de los elementos de soporte. Nivelación, aplomado y colocación del aparato. Conexión a la red de evacuación. Montaje de la grifería. Conexión a las redes de agua fría y caliente. Montaje de accesorios y complementos. Sellado de juntas.</t>
  </si>
  <si>
    <t>11.02.03</t>
  </si>
  <si>
    <t>Mobiliario completo en cocina</t>
  </si>
  <si>
    <t>Mobiliario completo en cocina compuesto por 3,40 m de muebles bajos con zócalo inferior, isla de 2,10 x 1,30 m  y 2,20 m de muebles de suelo a techo, realizado con frentes de cocina revestidos en sus caras y cantos con varias capas de laca de poliuretano de color blanco, con acabado mate y núcleo tablero de fibras tipo MDF.H (tablero de DM para utilización general en ambiente húmedo), y cuerpos de los muebles constituidos por núcleo de tablero de partículas tipo P3 no estructural (tablero aglomerado para ambiente húmedo), con recubrimiento melamínico acabado mate con papel decorativo de color blanco, impregnado con resina melamínica y cantos termoplásticos de ABS; cajones y baldas del mismo material que el cuerpo, bisagras, patas regulables para muebles bajos, guías de cajones, herrajes de cuelgue y otros herrajes de calidad básica, instalados en los cuerpos de los muebles y tiradores, pomos, sistemas de apertura automática, y otros herrajes de cierre de la serie básica, fijados en los frentes de cocina.
Incluye: Replanteo de la posición y de los puntos de sujeción. Colocación, fijación y nivelación de los cuerpos de los muebles. Colocación y fijación de bisagras y baldas. Colocación de frentes y cajones. Colocación de los tiradores en frentes y cajones. Colocación del zócalo. Limpieza y retirada de restos a contenedor.</t>
  </si>
  <si>
    <t>11.02.04</t>
  </si>
  <si>
    <t>Encimera de aglomerado de cuarzo, acabado pulido, canto simple recto,</t>
  </si>
  <si>
    <t>Encimera de aglomerado de cuarzo, acabado pulido, 2 cm de espesor, canto simple recto, con los bordes ligeramente biselados, y copete perimetral de 5 cm de altura y 2 cm de espesor, con el borde recto.
Incluye: Replanteo y trazado de la encimera formación de hueco para fegadero/lavabo. Colocación y fijación de los soportes y anclajes. Colocación, ajuste y fijación de las piezas que componen la encimera. Colocación de copete perimetral.</t>
  </si>
  <si>
    <t>Cocina lineal (formación huecos fregadero y vitro)</t>
  </si>
  <si>
    <t>Cocina isla central</t>
  </si>
  <si>
    <t>mueble baño habitación principal (formación hueco)</t>
  </si>
  <si>
    <t>mueble baño general</t>
  </si>
  <si>
    <t>Total 11.02.04</t>
  </si>
  <si>
    <t>11.02.05</t>
  </si>
  <si>
    <t>Grifería monomando para fregadero.</t>
  </si>
  <si>
    <t>Grifería monomando formada por grifo mezclador monomando de repisa para fregadero, de 1/2", con caño alto giratorio 150° y ducha teléfono extraíble con dos tipos de chorro (laminar y concentrado), inversor, válvula antirretorno, serie Eurosmart Cosmopolitan, modelo 31 481 001 "GROHE", acabado cromado, con palanca metálica, cartucho cerámico de 35 mm de diámetro, limitador de caudal y aireador. Incluso enlaces de alimentación flexibles con conexión de entrada de 3/8" de diámetro.
Incluye: Replanteo. Colocación. Conexionado. Comprobación de su correcto funcionamiento.
Criterio de medición de proyecto: Número de unidades previstas, según documentación gráfica de Proyecto.
Criterio de medición de obra: Se medirá el número de unidades realmente colocadas según especificaciones de Proyecto.</t>
  </si>
  <si>
    <t>Total 11.02.05</t>
  </si>
  <si>
    <t>Total 11.02</t>
  </si>
  <si>
    <t>11.03</t>
  </si>
  <si>
    <t>Buzones</t>
  </si>
  <si>
    <t>11.03.01</t>
  </si>
  <si>
    <t>Buzón integrado con video portero</t>
  </si>
  <si>
    <t>Buzón  metálico para exterior, vertical para integrar con vido porteno en portal de acceso y según diseño de D.F., de dimensiones 240x350x120 mm con acabado inox mate según EAN 13724, i/ tornillería de fijación y de unión, tarjetero, cerradura y llaves. Totalmente instalado</t>
  </si>
  <si>
    <t>Total 11.03.01</t>
  </si>
  <si>
    <t>Total 11.03</t>
  </si>
  <si>
    <t>Total 11</t>
  </si>
  <si>
    <t>12</t>
  </si>
  <si>
    <t>Urbanización interior de la parcela</t>
  </si>
  <si>
    <t>12.01</t>
  </si>
  <si>
    <t>Contenciones</t>
  </si>
  <si>
    <t>12.01.01</t>
  </si>
  <si>
    <t>Muro de contención de tierras de superficie plana, con puntera y talón, de hormigón armado, de hasta 3 m de altura, realizado co</t>
  </si>
  <si>
    <t>Muro de contención de tierras de superficie plana, con puntera y talón, de hormigón armado, de hasta 3 m de altura, realizado con hormigón HA-30/B/20/IIIa fabricado en central, y vertido con cubilote, y acero UNE-EN 10080 B 500 S, con una cuantía aproximada de 22 kg/m³. Incluso tubos de PVC para drenaje, alambre de atar y separadores. Acabado visto por el exterior, mediante malla de ocultación de media caña de bambú clavado a tablero soporte de encofrado, colocándolo según indicaciones de la DF.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</si>
  <si>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Accesos</t>
  </si>
  <si>
    <t>Zapatas</t>
  </si>
  <si>
    <t>Total 12.01.01</t>
  </si>
  <si>
    <t>12.01.02</t>
  </si>
  <si>
    <t>Muro de contención de tierras, sin puntera, de hormigón armado, de hasta 3 m de altura, realizado con hormigón HA-30/B/20/IIIa f</t>
  </si>
  <si>
    <t>Muro de contención de tierras, sin puntera, de hormigón armado, de hasta 3 m de altura, realizado con hormigón HA-30/B/20/IIIa fabricado en central, y vertido con cubilote, y acero UNE-EN 10080 B 500 S, con una cuantía aproximada de 22 kg/m³. Incluso tubos de PVC para drenaje, alambre de atar y separadores. Acabado visto por el exterior, mediante malla de ocultación de media caña de bambú clavado a tablero soporte de encofrado, colocándolo según indicaciones de la DF.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</si>
  <si>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Frente parcela</t>
  </si>
  <si>
    <t>Lateral Parcela</t>
  </si>
  <si>
    <t>Total 12.01.02</t>
  </si>
  <si>
    <t>12.01.03</t>
  </si>
  <si>
    <t>Muretes de contención de urbanización</t>
  </si>
  <si>
    <t>Muro de contención de tierras de superficie plana, previo relleno y compactación para apoyo de cimentación de muretes, con conexión a muros y piedra del terreno mediante pertoraciones y resina con la cuantía necesaría, con puntera y talón, de hormigón armado, de hasta 3 m de altura, realizado con hormigón HA-25/B/20/IIa fabricado en central, y vertido con cubilote, y acero UNE-EN 10080 B 500 S, con una cuantía aproximada de 22 kg/m³. Incluso tubos de PVC para drenaje, alambre de atar y separadores.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</si>
  <si>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Muretes graderíos</t>
  </si>
  <si>
    <t>Total 12.01.03</t>
  </si>
  <si>
    <t>12.01.04</t>
  </si>
  <si>
    <t>Relleno en trasdós de muro de hormigón</t>
  </si>
  <si>
    <t>Relleno en trasdós de muro de hormigón, con tierra seleccionada procedente de la propia excavación, y compactación en tongadas sucesivas de 30 cm de espesor máximo con bandeja vibrante de guiado manual, hasta alcanzar una densidad seca no inferior al 95% de la máxima obtenida en el ensayo Proctor Modificado, realizado según UNE 103501.
Incluye: Transporte y descarga del material de relleno a pie de tajo. Extendido del material de relleno en tongadas de espesor uniforme. Humectación o desecación de cada tongada. Compactación.</t>
  </si>
  <si>
    <t>Total 12.01.04</t>
  </si>
  <si>
    <t>Total 12.01</t>
  </si>
  <si>
    <t>12.02</t>
  </si>
  <si>
    <t>Pavimentos exteriores</t>
  </si>
  <si>
    <t>12.02.01</t>
  </si>
  <si>
    <t>Peldaño de hormigón prefabricado de 21x30x100 cm, colocado sobre terreno compactado.</t>
  </si>
  <si>
    <t>Peldaño de hormigón prefabricado de 21x30x100 cm, colocado sobre terreno compactado.
Incluye: Replanteo de alineaciones y niveles. Colocación, recibido y nivelación de las piezas, incluyendo topes o contrafuertes.</t>
  </si>
  <si>
    <t>Total 12.02.01</t>
  </si>
  <si>
    <t>Total 12.02</t>
  </si>
  <si>
    <t>12.03</t>
  </si>
  <si>
    <t>Cerramientos exteriores</t>
  </si>
  <si>
    <t>12.03.01</t>
  </si>
  <si>
    <t>Barandilla en forma recta,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</si>
  <si>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Muro frente parcela</t>
  </si>
  <si>
    <t>Total 12.03.01</t>
  </si>
  <si>
    <t>12.03.02</t>
  </si>
  <si>
    <t>Pa.1 Puerta de acceso a parcela</t>
  </si>
  <si>
    <t>Puerta de acceso a parcela, de acero inoxidable conformada con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Dimensiones de 725 cm de largo, y altura variable de 150 cm a 205 cm, de hoja corredera, para acceso de vehículos, apertura automática y motorizada de características y la potencia necesaria, según plano CA 05.
Incluye: Replanteo. Colocación y fijación de los perfiles guía. Instalación de la puerta cancela. Vertido del hormigón. Montaje del sistema de apertura. Montaje del sistema de accionamiento. Conexionado eléctrico. Repaso y engrase de mecanismos y guías. Puesta en marcha.</t>
  </si>
  <si>
    <t>Pa.1</t>
  </si>
  <si>
    <t>Total 12.03.02</t>
  </si>
  <si>
    <t>12.03.03</t>
  </si>
  <si>
    <t>Pa.2 Puerta de acceso a parcela</t>
  </si>
  <si>
    <t>Puerta de acceso a parcela, de acero acero inoxidable conformada con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Dimensiones de 105x200 cm de dimensión, de hoja con apertura abatible manual, con sistema de cierre mecánico mediante llave, para acceso de personas, según plano CA 05.
Incluye: Instalación de la puerta cancela. Montaje del sistema de apertura. Montaje del sistema de accionamiento. Repaso y engrase de mecanismos.</t>
  </si>
  <si>
    <t>Pa.2</t>
  </si>
  <si>
    <t>Total 12.03.03</t>
  </si>
  <si>
    <t>Total 12.03</t>
  </si>
  <si>
    <t>Total 12</t>
  </si>
  <si>
    <t>13</t>
  </si>
  <si>
    <t>Gestión de residuos</t>
  </si>
  <si>
    <t>13.01</t>
  </si>
  <si>
    <t>Gestión de residuos inertes</t>
  </si>
  <si>
    <t>13.01.01</t>
  </si>
  <si>
    <t>Transporte de residuos inertes de hormigones, morteros y prefabricados producidos en obras de construcción y/o demolición, con c</t>
  </si>
  <si>
    <t>Transporte de residuos inertes de hormigones, morteros y prefabricados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</si>
  <si>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13.01.02</t>
  </si>
  <si>
    <t>Transporte de residuos inertes de ladrillos, tejas y materiales cerámicos, producidos en obras de construcción y/o demolición, c</t>
  </si>
  <si>
    <t>Transporte de residuos inertes de ladrillos, tejas y materiales cerámicos,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</si>
  <si>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13.01.03</t>
  </si>
  <si>
    <t>Transporte de residuos inertes de madera producidos en obras de construcción y/o demolición, con contenedor de 7 m³, a vertedero</t>
  </si>
  <si>
    <t>Transporte de residuos inertes de madera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</si>
  <si>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13.01.04</t>
  </si>
  <si>
    <t>Transporte de residuos inertes vítreos producidos en obras de construcción y/o demolición, con contenedor de 7 m³, a vertedero e</t>
  </si>
  <si>
    <t>Transporte de residuos inertes vítreos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</si>
  <si>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13.01.05</t>
  </si>
  <si>
    <t>Transporte de residuos inertes plásticos producidos en obras de construcción y/o demolición, con contenedor de 7 m³, a vertedero</t>
  </si>
  <si>
    <t>Transporte de residuos inertes plásticos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</si>
  <si>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13.01.06</t>
  </si>
  <si>
    <t>Transporte de residuos inertes de papel y cartón, producidos en obras de construcción y/o demolición, con contenedor de 7 m³, a</t>
  </si>
  <si>
    <t>Transporte de residuos inertes de papel y cartón,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</si>
  <si>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13.01.07</t>
  </si>
  <si>
    <t>Transporte de residuos inertes metálicos producidos en obras de construcción y/o demolición, con contenedor de 7 m³, a vertedero</t>
  </si>
  <si>
    <t>Transporte de residuos inertes metálicos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</si>
  <si>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13.01.08</t>
  </si>
  <si>
    <t>Transporte de mezcla sin clasificar de residuos inertes producidos en obras de construcción y/o demolición, con contenedor de 7</t>
  </si>
  <si>
    <t>Transporte de mezcla sin clasificar de residuos inertes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</si>
  <si>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13.01.09</t>
  </si>
  <si>
    <t>Canon de vertido por entrega de contenedor de 7 m³ con residuos inertes de hormigones, morteros y prefabricados producidos en ob</t>
  </si>
  <si>
    <t>Canon de vertido por entrega de contenedor de 7 m³ con residuos inertes de hormigones, morteros y prefabricados producidos en obras de construcción y/o demolición, en vertedero específico, instalación de tratamiento de residuos de construcción y demolición externa a la obra o centro de valorización o eliminación de residuos.</t>
  </si>
  <si>
    <t>13.01.10</t>
  </si>
  <si>
    <t>Canon de vertido por entrega de contenedor de 7 m³ con residuos inertes de ladrillos, tejas y materiales cerámicos, producidos e</t>
  </si>
  <si>
    <t>Canon de vertido por entrega de contenedor de 7 m³ con residuos inertes de ladrillos, tejas y materiales cerámicos, producidos en obras de construcción y/o demolición, en vertedero específico, instalación de tratamiento de residuos de construcción y demolición externa a la obra o centro de valorización o eliminación de residuos.</t>
  </si>
  <si>
    <t>13.01.11</t>
  </si>
  <si>
    <t>Canon de vertido por entrega de contenedor de 7 m³ con residuos inertes de madera producidos en obras de construcción y/o demoli</t>
  </si>
  <si>
    <t>Canon de vertido por entrega de contenedor de 7 m³ con residuos inertes de madera producidos en obras de construcción y/o demolición, en vertedero específico, instalación de tratamiento de residuos de construcción y demolición externa a la obra o centro de valorización o eliminación de residuos.</t>
  </si>
  <si>
    <t>13.01.12</t>
  </si>
  <si>
    <t>Canon de vertido por entrega de contenedor de 7 m³ con residuos inertes vítreos producidos en obras de construcción y/o demolici</t>
  </si>
  <si>
    <t>Canon de vertido por entrega de contenedor de 7 m³ con residuos inertes vítreos producidos en obras de construcción y/o demolición, en vertedero específico, instalación de tratamiento de residuos de construcción y demolición externa a la obra o centro de valorización o eliminación de residuos.</t>
  </si>
  <si>
    <t>13.01.13</t>
  </si>
  <si>
    <t>Canon de vertido por entrega de contenedor de 7 m³ con residuos inertes plásticos producidos en obras de construcción y/o demoli</t>
  </si>
  <si>
    <t>Canon de vertido por entrega de contenedor de 7 m³ con residuos inertes plásticos producidos en obras de construcción y/o demolición, en vertedero específico, instalación de tratamiento de residuos de construcción y demolición externa a la obra o centro de valorización o eliminación de residuos.</t>
  </si>
  <si>
    <t>13.01.14</t>
  </si>
  <si>
    <t>Canon de vertido por entrega de contenedor de 7 m³ con residuos inertes de papel y cartón, producidos en obras de construcción y</t>
  </si>
  <si>
    <t>Canon de vertido por entrega de contenedor de 7 m³ con residuos inertes de papel y cartón, producidos en obras de construcción y/o demolición, en vertedero específico, instalación de tratamiento de residuos de construcción y demolición externa a la obra o centro de valorización o eliminación de residuos.</t>
  </si>
  <si>
    <t>13.01.15</t>
  </si>
  <si>
    <t>Canon de vertido por entrega de contenedor de 7 m³ con residuos inertes metálicos producidos en obras de construcción y/o demoli</t>
  </si>
  <si>
    <t>Canon de vertido por entrega de contenedor de 7 m³ con residuos inertes metálicos producidos en obras de construcción y/o demolición, en vertedero específico, instalación de tratamiento de residuos de construcción y demolición externa a la obra o centro de valorización o eliminación de residuos.</t>
  </si>
  <si>
    <t>13.01.16</t>
  </si>
  <si>
    <t>Canon de vertido por entrega de contenedor de 7 m³ con mezcla sin clasificar de residuos inertes producidos en obras de construc</t>
  </si>
  <si>
    <t>Canon de vertido por entrega de contenedor de 7 m³ con mezcla sin clasificar de residuos inertes producidos en obras de construcción y/o demolición, en vertedero específico, instalación de tratamiento de residuos de construcción y demolición externa a la obra o centro de valorización o eliminación de residuos.</t>
  </si>
  <si>
    <t>Total 13.01</t>
  </si>
  <si>
    <t>Total 13</t>
  </si>
  <si>
    <t>14</t>
  </si>
  <si>
    <t>Control de calidad y ensayos</t>
  </si>
  <si>
    <t>14.01</t>
  </si>
  <si>
    <t>Estructuras de hormigón</t>
  </si>
  <si>
    <t>14.01.01</t>
  </si>
  <si>
    <t>Ensayo sobre una muestra de barras corrugadas de acero de un mismo lote, con determinación de: sección media equivalente, caract</t>
  </si>
  <si>
    <t>Ensayo sobre una muestra de barras corrugadas de acero de un mismo lote, con determinación de: sección media equivalente, características geométricas del corrugado, doblado/desdoblado.
Incluye: Desplazamiento a obra. Toma de muestras. Realización de ensayos. Redacción de informe de los resultados de los ensayos realizados.</t>
  </si>
  <si>
    <t>B 500 S (Serie fina)</t>
  </si>
  <si>
    <t>B 500 S (Serie media)</t>
  </si>
  <si>
    <t>B 500 S (Serie gruesa)</t>
  </si>
  <si>
    <t>Total 14.01.01</t>
  </si>
  <si>
    <t>14.01.02</t>
  </si>
  <si>
    <t>Ensayo sobre una muestra de barras corrugadas de acero de cada diámetro, con determinación de características mecánicas.</t>
  </si>
  <si>
    <t>Ensayo sobre una muestra de barras corrugadas de acero de cada diámetro, con determinación de características mecánicas.
Incluye: Desplazamiento a obra. Toma de muestras. Realización de ensayos. Redacción de informe de los resultados de los ensayos realizados.</t>
  </si>
  <si>
    <t>14.01.03</t>
  </si>
  <si>
    <t>Ensayo sobre una muestra de mallas electrosoldadas con determinación de: sección media equivalente, características geométricas</t>
  </si>
  <si>
    <t>Ensayo sobre una muestra de mallas electrosoldadas con determinación de: sección media equivalente, características geométricas del corrugado, doblado/desdoblado, carga de despegue.
Incluye: Desplazamiento a obra. Toma de muestras. Realización de ensayos. Redacción de informe de los resultados de los ensayos realizados.</t>
  </si>
  <si>
    <t>Serie fina</t>
  </si>
  <si>
    <t>Total 14.01.03</t>
  </si>
  <si>
    <t>14.01.04</t>
  </si>
  <si>
    <t>Ensayo sobre una muestra de una malla electrosoldada de cada diámetro, con determinación de características mecánicas.</t>
  </si>
  <si>
    <t>Ensayo sobre una muestra de una malla electrosoldada de cada diámetro, con determinación de características mecánicas.
Incluye: Desplazamiento a obra. Toma de muestras. Realización de ensayos. Redacción de informe de los resultados de los ensayos realizados.</t>
  </si>
  <si>
    <t>14.01.05</t>
  </si>
  <si>
    <t>Ensayo sobre una muestra de hormigón sin D.O.R. con determinación de: consistencia del hormigón fresco mediante el método de ase</t>
  </si>
  <si>
    <t>Ensayo sobre una muestra de hormigón sin D.O.R. con determinación de: consistencia del hormigón fresco mediante el método de asentamiento del cono de Abrams y resistencia característica a compresión del hormigón endurecido mediante control estadístico con fabricación de seis probetas, curado, refrentado y rotura a compresión.
Incluye: Desplazamiento a obra. Toma de muestras. Realización de ensayos. Redacción de informe de los resultados de los ensayos realizados.</t>
  </si>
  <si>
    <t>Elementos a compresión (HA-25/B/20/IIa)</t>
  </si>
  <si>
    <t>Elementos a flexión (HA-25/B/20/IIa)</t>
  </si>
  <si>
    <t>Macizos (HA-25/B/20/IIa)</t>
  </si>
  <si>
    <t>Total 14.01.05</t>
  </si>
  <si>
    <t>Total 14.01</t>
  </si>
  <si>
    <t>14.02</t>
  </si>
  <si>
    <t>Estructuras metálicas</t>
  </si>
  <si>
    <t>14.02.01</t>
  </si>
  <si>
    <t>Ensayo sobre una muestra de perfil laminado, con determinación del espesor del recubrimiento.</t>
  </si>
  <si>
    <t>Ensayo sobre una muestra de perfil laminado, con determinación del espesor del recubrimiento.
Incluye: Desplazamiento a obra. Toma de muestras. Realización de ensayos. Redacción de informe de los resultados de los ensayos realizados.</t>
  </si>
  <si>
    <t>14.02.02</t>
  </si>
  <si>
    <t>Inspección visual sobre una unión soldada.</t>
  </si>
  <si>
    <t>Inspección visual sobre una unión soldada.
Incluye: Desplazamiento a obra. Realización del ensayo. Redacción de informe del resultado del ensayo realizado.</t>
  </si>
  <si>
    <t>14.02.03</t>
  </si>
  <si>
    <t>Ensayo no destructivo sobre una unión soldada, mediante partículas magnéticas.</t>
  </si>
  <si>
    <t>Ensayo no destructivo sobre una unión soldada, mediante partículas magnéticas.
Incluye: Desplazamiento a obra. Realización del ensayo. Redacción de informe del resultado del ensayo realizado.</t>
  </si>
  <si>
    <t>Total 14.02</t>
  </si>
  <si>
    <t>Total 14</t>
  </si>
  <si>
    <t>15</t>
  </si>
  <si>
    <t>Seguridad y salud</t>
  </si>
  <si>
    <t>15.01</t>
  </si>
  <si>
    <t>Medidas de seguridad y salud para el conjunto de la obra conforme Estudio Básico de Seguridad y Salud, Normativa en vigor, plan de seguridad y salud e indicaciones del coordinador de seguridad y salud y de la dirección facultativa.</t>
  </si>
  <si>
    <t>15.02</t>
  </si>
  <si>
    <t>Andamio de obra</t>
  </si>
  <si>
    <t>UD. De Montaje y desmontaje de andamio tubular tipo europeo para los trabajos que requieran su uso.</t>
  </si>
  <si>
    <t>Total 15</t>
  </si>
  <si>
    <t>Total 200117LU___314_010</t>
  </si>
</sst>
</file>

<file path=xl/styles.xml><?xml version="1.0" encoding="utf-8"?>
<styleSheet xmlns="http://schemas.openxmlformats.org/spreadsheetml/2006/main">
  <numFmts count="2">
    <numFmt numFmtId="164" formatCode="#,##0.000"/>
    <numFmt numFmtId="165" formatCode="#,##0.0?????????"/>
  </numFmts>
  <fonts count="9">
    <font>
      <sz val="11"/>
      <color theme="1"/>
      <name val="Calibri"/>
      <family val="2"/>
      <scheme val="minor"/>
    </font>
    <font>
      <b/>
      <sz val="10"/>
      <color theme="1"/>
      <name val="Calibri"/>
      <family val="2"/>
      <scheme val="minor"/>
    </font>
    <font>
      <b/>
      <sz val="14"/>
      <color theme="1"/>
      <name val="Calibri"/>
      <family val="2"/>
      <scheme val="minor"/>
    </font>
    <font>
      <b/>
      <sz val="11"/>
      <color indexed="81"/>
      <name val="Tahoma"/>
      <family val="2"/>
    </font>
    <font>
      <b/>
      <i/>
      <sz val="10"/>
      <color theme="1"/>
      <name val="Calibri"/>
      <family val="2"/>
      <scheme val="minor"/>
    </font>
    <font>
      <b/>
      <sz val="8"/>
      <color theme="1"/>
      <name val="Calibri"/>
      <family val="2"/>
      <scheme val="minor"/>
    </font>
    <font>
      <b/>
      <sz val="8"/>
      <color rgb="FFFF40FF"/>
      <name val="Calibri"/>
      <family val="2"/>
      <scheme val="minor"/>
    </font>
    <font>
      <sz val="8"/>
      <color theme="1"/>
      <name val="Calibri"/>
      <family val="2"/>
      <scheme val="minor"/>
    </font>
    <font>
      <sz val="8"/>
      <color rgb="FFFF40FF"/>
      <name val="Calibri"/>
      <family val="2"/>
      <scheme val="minor"/>
    </font>
  </fonts>
  <fills count="6">
    <fill>
      <patternFill patternType="none"/>
    </fill>
    <fill>
      <patternFill patternType="gray125"/>
    </fill>
    <fill>
      <patternFill patternType="solid">
        <fgColor rgb="FFBED2B7"/>
        <bgColor indexed="64"/>
      </patternFill>
    </fill>
    <fill>
      <patternFill patternType="solid">
        <fgColor rgb="FFCADAC4"/>
        <bgColor indexed="64"/>
      </patternFill>
    </fill>
    <fill>
      <patternFill patternType="solid">
        <fgColor rgb="FFFFEDDB"/>
        <bgColor indexed="64"/>
      </patternFill>
    </fill>
    <fill>
      <patternFill patternType="solid">
        <fgColor rgb="FFC0C0C0"/>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4" fillId="0" borderId="0" xfId="0" applyFont="1" applyAlignment="1">
      <alignment vertical="top"/>
    </xf>
    <xf numFmtId="49" fontId="5" fillId="2" borderId="0" xfId="0" applyNumberFormat="1" applyFont="1" applyFill="1" applyAlignment="1">
      <alignment vertical="top"/>
    </xf>
    <xf numFmtId="0" fontId="5" fillId="2" borderId="0" xfId="0" applyFont="1" applyFill="1" applyAlignment="1">
      <alignment vertical="top"/>
    </xf>
    <xf numFmtId="3" fontId="6" fillId="2" borderId="0" xfId="0" applyNumberFormat="1" applyFont="1" applyFill="1" applyAlignment="1">
      <alignment vertical="top"/>
    </xf>
    <xf numFmtId="4" fontId="6" fillId="2" borderId="0" xfId="0" applyNumberFormat="1" applyFont="1" applyFill="1" applyAlignment="1">
      <alignment vertical="top"/>
    </xf>
    <xf numFmtId="0" fontId="7" fillId="0" borderId="0" xfId="0" applyFont="1" applyAlignment="1">
      <alignment vertical="top"/>
    </xf>
    <xf numFmtId="49" fontId="7" fillId="0" borderId="0" xfId="0" applyNumberFormat="1" applyFont="1" applyAlignment="1">
      <alignment vertical="top"/>
    </xf>
    <xf numFmtId="49" fontId="5" fillId="3" borderId="0" xfId="0" applyNumberFormat="1" applyFont="1" applyFill="1" applyAlignment="1">
      <alignment vertical="top"/>
    </xf>
    <xf numFmtId="0" fontId="5" fillId="3" borderId="0" xfId="0" applyFont="1" applyFill="1" applyAlignment="1">
      <alignment vertical="top"/>
    </xf>
    <xf numFmtId="164" fontId="6" fillId="3" borderId="0" xfId="0" applyNumberFormat="1" applyFont="1" applyFill="1" applyAlignment="1">
      <alignment vertical="top"/>
    </xf>
    <xf numFmtId="4" fontId="6" fillId="3" borderId="0" xfId="0" applyNumberFormat="1" applyFont="1" applyFill="1" applyAlignment="1">
      <alignment vertical="top"/>
    </xf>
    <xf numFmtId="49" fontId="7" fillId="4" borderId="0" xfId="0" applyNumberFormat="1" applyFont="1" applyFill="1" applyAlignment="1">
      <alignment vertical="top"/>
    </xf>
    <xf numFmtId="164" fontId="8" fillId="0" borderId="0" xfId="0" applyNumberFormat="1" applyFont="1" applyAlignment="1">
      <alignment vertical="top"/>
    </xf>
    <xf numFmtId="4" fontId="8" fillId="0" borderId="0" xfId="0" applyNumberFormat="1" applyFont="1" applyAlignment="1">
      <alignment vertical="top"/>
    </xf>
    <xf numFmtId="49" fontId="7" fillId="0" borderId="0" xfId="0" applyNumberFormat="1" applyFont="1" applyAlignment="1">
      <alignment vertical="top" wrapText="1"/>
    </xf>
    <xf numFmtId="165" fontId="7" fillId="0" borderId="0" xfId="0" applyNumberFormat="1" applyFont="1" applyAlignment="1">
      <alignment vertical="top"/>
    </xf>
    <xf numFmtId="164" fontId="7" fillId="0" borderId="0" xfId="0" applyNumberFormat="1" applyFont="1" applyAlignment="1">
      <alignment vertical="top"/>
    </xf>
    <xf numFmtId="49" fontId="5" fillId="0" borderId="0" xfId="0" applyNumberFormat="1" applyFont="1" applyAlignment="1">
      <alignment vertical="top"/>
    </xf>
    <xf numFmtId="164" fontId="6" fillId="0" borderId="0" xfId="0" applyNumberFormat="1" applyFont="1" applyAlignment="1">
      <alignment vertical="top"/>
    </xf>
    <xf numFmtId="4" fontId="7" fillId="0" borderId="0" xfId="0" applyNumberFormat="1" applyFont="1" applyAlignment="1">
      <alignment vertical="top"/>
    </xf>
    <xf numFmtId="4" fontId="6" fillId="0" borderId="0" xfId="0" applyNumberFormat="1" applyFont="1" applyAlignment="1">
      <alignment vertical="top"/>
    </xf>
    <xf numFmtId="0" fontId="7" fillId="5" borderId="0" xfId="0" applyFont="1" applyFill="1" applyAlignment="1">
      <alignment vertical="top"/>
    </xf>
    <xf numFmtId="3" fontId="7" fillId="0" borderId="0" xfId="0" applyNumberFormat="1" applyFont="1" applyAlignment="1">
      <alignment vertical="top"/>
    </xf>
    <xf numFmtId="0" fontId="4" fillId="0" borderId="0" xfId="0" applyFont="1" applyAlignment="1">
      <alignment vertical="top" wrapText="1"/>
    </xf>
    <xf numFmtId="49" fontId="5" fillId="2" borderId="0" xfId="0" applyNumberFormat="1" applyFont="1" applyFill="1" applyAlignment="1">
      <alignment vertical="top" wrapText="1"/>
    </xf>
    <xf numFmtId="49" fontId="5" fillId="3" borderId="0" xfId="0" applyNumberFormat="1" applyFont="1" applyFill="1" applyAlignment="1">
      <alignment vertical="top" wrapText="1"/>
    </xf>
    <xf numFmtId="0" fontId="7" fillId="0" borderId="0" xfId="0" applyFont="1" applyAlignment="1">
      <alignment vertical="top" wrapText="1"/>
    </xf>
    <xf numFmtId="0" fontId="7" fillId="5" borderId="0" xfId="0" applyFont="1" applyFill="1" applyAlignment="1">
      <alignmen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M1896"/>
  <sheetViews>
    <sheetView tabSelected="1" workbookViewId="0">
      <pane xSplit="4" ySplit="3" topLeftCell="E4" activePane="bottomRight" state="frozen"/>
      <selection pane="topRight" activeCell="E1" sqref="E1"/>
      <selection pane="bottomLeft" activeCell="A4" sqref="A4"/>
      <selection pane="bottomRight" activeCell="E4" sqref="E4"/>
    </sheetView>
  </sheetViews>
  <sheetFormatPr baseColWidth="10" defaultRowHeight="15"/>
  <cols>
    <col min="1" max="1" width="7" customWidth="1"/>
    <col min="2" max="2" width="6.5703125" customWidth="1"/>
    <col min="3" max="3" width="6.7109375" customWidth="1"/>
    <col min="4" max="4" width="32.85546875" customWidth="1"/>
    <col min="5" max="5" width="47.7109375" bestFit="1" customWidth="1"/>
    <col min="6" max="6" width="11.7109375" bestFit="1" customWidth="1"/>
    <col min="7" max="7" width="8.5703125" customWidth="1"/>
    <col min="8" max="8" width="8.140625" customWidth="1"/>
    <col min="9" max="9" width="6.5703125" customWidth="1"/>
    <col min="10" max="10" width="19.5703125" bestFit="1" customWidth="1"/>
    <col min="11" max="11" width="7.85546875" customWidth="1"/>
    <col min="12" max="12" width="4.85546875" customWidth="1"/>
    <col min="13" max="13" width="7.7109375" customWidth="1"/>
  </cols>
  <sheetData>
    <row r="1" spans="1:13">
      <c r="A1" s="1" t="s">
        <v>0</v>
      </c>
      <c r="B1" s="2"/>
      <c r="C1" s="2"/>
      <c r="D1" s="2"/>
      <c r="E1" s="2"/>
      <c r="F1" s="2"/>
      <c r="G1" s="2"/>
      <c r="H1" s="2"/>
      <c r="I1" s="2"/>
      <c r="J1" s="2"/>
      <c r="K1" s="2"/>
      <c r="L1" s="2"/>
      <c r="M1" s="2"/>
    </row>
    <row r="2" spans="1:13" ht="18.75">
      <c r="A2" s="3" t="s">
        <v>1</v>
      </c>
      <c r="B2" s="2"/>
      <c r="C2" s="2"/>
      <c r="D2" s="2"/>
      <c r="E2" s="2"/>
      <c r="F2" s="2"/>
      <c r="G2" s="2"/>
      <c r="H2" s="2"/>
      <c r="I2" s="2"/>
      <c r="J2" s="2"/>
      <c r="K2" s="2"/>
      <c r="L2" s="2"/>
      <c r="M2" s="2"/>
    </row>
    <row r="3" spans="1:13">
      <c r="A3" s="4" t="s">
        <v>2</v>
      </c>
      <c r="B3" s="4" t="s">
        <v>3</v>
      </c>
      <c r="C3" s="4" t="s">
        <v>4</v>
      </c>
      <c r="D3" s="27" t="s">
        <v>5</v>
      </c>
      <c r="E3" s="4" t="s">
        <v>6</v>
      </c>
      <c r="F3" s="4" t="s">
        <v>7</v>
      </c>
      <c r="G3" s="4" t="s">
        <v>8</v>
      </c>
      <c r="H3" s="4" t="s">
        <v>9</v>
      </c>
      <c r="I3" s="4" t="s">
        <v>10</v>
      </c>
      <c r="J3" s="4" t="s">
        <v>11</v>
      </c>
      <c r="K3" s="4" t="s">
        <v>12</v>
      </c>
      <c r="L3" s="4" t="s">
        <v>13</v>
      </c>
      <c r="M3" s="4" t="s">
        <v>14</v>
      </c>
    </row>
    <row r="4" spans="1:13">
      <c r="A4" s="5" t="s">
        <v>15</v>
      </c>
      <c r="B4" s="5" t="s">
        <v>16</v>
      </c>
      <c r="C4" s="5" t="s">
        <v>17</v>
      </c>
      <c r="D4" s="28" t="s">
        <v>18</v>
      </c>
      <c r="E4" s="6"/>
      <c r="F4" s="6"/>
      <c r="G4" s="6"/>
      <c r="H4" s="6"/>
      <c r="I4" s="6"/>
      <c r="J4" s="6"/>
      <c r="K4" s="7">
        <f>K119</f>
        <v>1</v>
      </c>
      <c r="L4" s="8">
        <f>L119</f>
        <v>0</v>
      </c>
      <c r="M4" s="8">
        <f>M119</f>
        <v>0</v>
      </c>
    </row>
    <row r="5" spans="1:13" ht="56.25">
      <c r="A5" s="9"/>
      <c r="B5" s="9"/>
      <c r="C5" s="9"/>
      <c r="D5" s="18" t="s">
        <v>19</v>
      </c>
      <c r="E5" s="9"/>
      <c r="F5" s="9"/>
      <c r="G5" s="9"/>
      <c r="H5" s="9"/>
      <c r="I5" s="9"/>
      <c r="J5" s="9"/>
      <c r="K5" s="9"/>
      <c r="L5" s="9"/>
      <c r="M5" s="9"/>
    </row>
    <row r="6" spans="1:13">
      <c r="A6" s="11" t="s">
        <v>20</v>
      </c>
      <c r="B6" s="11" t="s">
        <v>16</v>
      </c>
      <c r="C6" s="11" t="s">
        <v>17</v>
      </c>
      <c r="D6" s="29" t="s">
        <v>21</v>
      </c>
      <c r="E6" s="12"/>
      <c r="F6" s="12"/>
      <c r="G6" s="12"/>
      <c r="H6" s="12"/>
      <c r="I6" s="12"/>
      <c r="J6" s="12"/>
      <c r="K6" s="13">
        <f>K40</f>
        <v>1</v>
      </c>
      <c r="L6" s="14">
        <f>L40</f>
        <v>0</v>
      </c>
      <c r="M6" s="14">
        <f>M40</f>
        <v>0</v>
      </c>
    </row>
    <row r="7" spans="1:13">
      <c r="A7" s="15" t="s">
        <v>22</v>
      </c>
      <c r="B7" s="10" t="s">
        <v>23</v>
      </c>
      <c r="C7" s="10" t="s">
        <v>24</v>
      </c>
      <c r="D7" s="18" t="s">
        <v>25</v>
      </c>
      <c r="E7" s="9"/>
      <c r="F7" s="9"/>
      <c r="G7" s="9"/>
      <c r="H7" s="9"/>
      <c r="I7" s="9"/>
      <c r="J7" s="9"/>
      <c r="K7" s="16">
        <f>K10</f>
        <v>40.799999999999997</v>
      </c>
      <c r="L7" s="17">
        <f>L10</f>
        <v>0</v>
      </c>
      <c r="M7" s="17">
        <f>M10</f>
        <v>0</v>
      </c>
    </row>
    <row r="8" spans="1:13">
      <c r="A8" s="9"/>
      <c r="B8" s="9"/>
      <c r="C8" s="9"/>
      <c r="D8" s="18" t="s">
        <v>26</v>
      </c>
      <c r="E8" s="9"/>
      <c r="F8" s="9"/>
      <c r="G8" s="9"/>
      <c r="H8" s="9"/>
      <c r="I8" s="9"/>
      <c r="J8" s="9"/>
      <c r="K8" s="9"/>
      <c r="L8" s="9"/>
      <c r="M8" s="9"/>
    </row>
    <row r="9" spans="1:13">
      <c r="A9" s="9"/>
      <c r="B9" s="9"/>
      <c r="C9" s="10" t="s">
        <v>27</v>
      </c>
      <c r="D9" s="30"/>
      <c r="E9" s="10" t="s">
        <v>28</v>
      </c>
      <c r="F9" s="19">
        <v>1</v>
      </c>
      <c r="G9" s="20">
        <v>12.75</v>
      </c>
      <c r="H9" s="20">
        <v>0</v>
      </c>
      <c r="I9" s="20">
        <v>0</v>
      </c>
      <c r="J9" s="20">
        <v>40.799999999999997</v>
      </c>
      <c r="K9" s="10" t="s">
        <v>29</v>
      </c>
      <c r="L9" s="9"/>
      <c r="M9" s="9"/>
    </row>
    <row r="10" spans="1:13">
      <c r="A10" s="9"/>
      <c r="B10" s="9"/>
      <c r="C10" s="9"/>
      <c r="D10" s="30"/>
      <c r="E10" s="9"/>
      <c r="F10" s="9"/>
      <c r="G10" s="9"/>
      <c r="H10" s="9"/>
      <c r="I10" s="9"/>
      <c r="J10" s="21" t="s">
        <v>30</v>
      </c>
      <c r="K10" s="22">
        <f>J9</f>
        <v>40.799999999999997</v>
      </c>
      <c r="L10" s="23">
        <v>0</v>
      </c>
      <c r="M10" s="24">
        <f>ROUND(K10*L10,2)</f>
        <v>0</v>
      </c>
    </row>
    <row r="11" spans="1:13" ht="0.95" customHeight="1">
      <c r="A11" s="25"/>
      <c r="B11" s="25"/>
      <c r="C11" s="25"/>
      <c r="D11" s="31"/>
      <c r="E11" s="25"/>
      <c r="F11" s="25"/>
      <c r="G11" s="25"/>
      <c r="H11" s="25"/>
      <c r="I11" s="25"/>
      <c r="J11" s="25"/>
      <c r="K11" s="25"/>
      <c r="L11" s="25"/>
      <c r="M11" s="25"/>
    </row>
    <row r="12" spans="1:13">
      <c r="A12" s="15" t="s">
        <v>31</v>
      </c>
      <c r="B12" s="10" t="s">
        <v>23</v>
      </c>
      <c r="C12" s="10" t="s">
        <v>24</v>
      </c>
      <c r="D12" s="18" t="s">
        <v>32</v>
      </c>
      <c r="E12" s="9"/>
      <c r="F12" s="9"/>
      <c r="G12" s="9"/>
      <c r="H12" s="9"/>
      <c r="I12" s="9"/>
      <c r="J12" s="9"/>
      <c r="K12" s="16">
        <f>K15</f>
        <v>43.604999999999997</v>
      </c>
      <c r="L12" s="17">
        <f>L15</f>
        <v>0</v>
      </c>
      <c r="M12" s="17">
        <f>M15</f>
        <v>0</v>
      </c>
    </row>
    <row r="13" spans="1:13">
      <c r="A13" s="9"/>
      <c r="B13" s="9"/>
      <c r="C13" s="9"/>
      <c r="D13" s="18" t="s">
        <v>33</v>
      </c>
      <c r="E13" s="9"/>
      <c r="F13" s="9"/>
      <c r="G13" s="9"/>
      <c r="H13" s="9"/>
      <c r="I13" s="9"/>
      <c r="J13" s="9"/>
      <c r="K13" s="9"/>
      <c r="L13" s="9"/>
      <c r="M13" s="9"/>
    </row>
    <row r="14" spans="1:13">
      <c r="A14" s="9"/>
      <c r="B14" s="9"/>
      <c r="C14" s="10" t="s">
        <v>27</v>
      </c>
      <c r="D14" s="30"/>
      <c r="E14" s="10" t="s">
        <v>34</v>
      </c>
      <c r="F14" s="19">
        <v>1</v>
      </c>
      <c r="G14" s="20">
        <v>12.75</v>
      </c>
      <c r="H14" s="20">
        <v>0</v>
      </c>
      <c r="I14" s="20">
        <v>0</v>
      </c>
      <c r="J14" s="20">
        <v>43.604999999999997</v>
      </c>
      <c r="K14" s="10" t="s">
        <v>35</v>
      </c>
      <c r="L14" s="9"/>
      <c r="M14" s="9"/>
    </row>
    <row r="15" spans="1:13">
      <c r="A15" s="9"/>
      <c r="B15" s="9"/>
      <c r="C15" s="9"/>
      <c r="D15" s="30"/>
      <c r="E15" s="9"/>
      <c r="F15" s="9"/>
      <c r="G15" s="9"/>
      <c r="H15" s="9"/>
      <c r="I15" s="9"/>
      <c r="J15" s="21" t="s">
        <v>36</v>
      </c>
      <c r="K15" s="22">
        <f>J14</f>
        <v>43.604999999999997</v>
      </c>
      <c r="L15" s="23">
        <v>0</v>
      </c>
      <c r="M15" s="24">
        <f>ROUND(K15*L15,2)</f>
        <v>0</v>
      </c>
    </row>
    <row r="16" spans="1:13" ht="0.95" customHeight="1">
      <c r="A16" s="25"/>
      <c r="B16" s="25"/>
      <c r="C16" s="25"/>
      <c r="D16" s="31"/>
      <c r="E16" s="25"/>
      <c r="F16" s="25"/>
      <c r="G16" s="25"/>
      <c r="H16" s="25"/>
      <c r="I16" s="25"/>
      <c r="J16" s="25"/>
      <c r="K16" s="25"/>
      <c r="L16" s="25"/>
      <c r="M16" s="25"/>
    </row>
    <row r="17" spans="1:13">
      <c r="A17" s="15" t="s">
        <v>37</v>
      </c>
      <c r="B17" s="10" t="s">
        <v>23</v>
      </c>
      <c r="C17" s="10" t="s">
        <v>24</v>
      </c>
      <c r="D17" s="18" t="s">
        <v>38</v>
      </c>
      <c r="E17" s="9"/>
      <c r="F17" s="9"/>
      <c r="G17" s="9"/>
      <c r="H17" s="9"/>
      <c r="I17" s="9"/>
      <c r="J17" s="9"/>
      <c r="K17" s="16">
        <f>K21</f>
        <v>24.75</v>
      </c>
      <c r="L17" s="17">
        <f>L21</f>
        <v>0</v>
      </c>
      <c r="M17" s="17">
        <f>M21</f>
        <v>0</v>
      </c>
    </row>
    <row r="18" spans="1:13">
      <c r="A18" s="9"/>
      <c r="B18" s="9"/>
      <c r="C18" s="9"/>
      <c r="D18" s="18" t="s">
        <v>39</v>
      </c>
      <c r="E18" s="9"/>
      <c r="F18" s="9"/>
      <c r="G18" s="9"/>
      <c r="H18" s="9"/>
      <c r="I18" s="9"/>
      <c r="J18" s="9"/>
      <c r="K18" s="9"/>
      <c r="L18" s="9"/>
      <c r="M18" s="9"/>
    </row>
    <row r="19" spans="1:13">
      <c r="A19" s="9"/>
      <c r="B19" s="9"/>
      <c r="C19" s="10" t="s">
        <v>27</v>
      </c>
      <c r="D19" s="30"/>
      <c r="E19" s="10" t="s">
        <v>40</v>
      </c>
      <c r="F19" s="19">
        <v>1</v>
      </c>
      <c r="G19" s="20">
        <v>9</v>
      </c>
      <c r="H19" s="20">
        <v>0.5</v>
      </c>
      <c r="I19" s="20">
        <v>1</v>
      </c>
      <c r="J19" s="16">
        <f>OR(F19&lt;&gt;0,G19&lt;&gt;0,H19&lt;&gt;0,I19&lt;&gt;0)*(F19 + (F19 = 0))*(G19 + (G19 = 0))*(H19 + (H19 = 0))*(I19 + (I19 = 0))</f>
        <v>4.5</v>
      </c>
      <c r="K19" s="9"/>
      <c r="L19" s="9"/>
      <c r="M19" s="9"/>
    </row>
    <row r="20" spans="1:13">
      <c r="A20" s="9"/>
      <c r="B20" s="9"/>
      <c r="C20" s="10" t="s">
        <v>27</v>
      </c>
      <c r="D20" s="30"/>
      <c r="E20" s="10" t="s">
        <v>41</v>
      </c>
      <c r="F20" s="19">
        <v>9</v>
      </c>
      <c r="G20" s="20">
        <v>9</v>
      </c>
      <c r="H20" s="20">
        <v>0.5</v>
      </c>
      <c r="I20" s="20">
        <v>0.5</v>
      </c>
      <c r="J20" s="16">
        <f>OR(F20&lt;&gt;0,G20&lt;&gt;0,H20&lt;&gt;0,I20&lt;&gt;0)*(F20 + (F20 = 0))*(G20 + (G20 = 0))*(H20 + (H20 = 0))*(I20 + (I20 = 0))</f>
        <v>20.25</v>
      </c>
      <c r="K20" s="9"/>
      <c r="L20" s="9"/>
      <c r="M20" s="9"/>
    </row>
    <row r="21" spans="1:13">
      <c r="A21" s="9"/>
      <c r="B21" s="9"/>
      <c r="C21" s="9"/>
      <c r="D21" s="30"/>
      <c r="E21" s="9"/>
      <c r="F21" s="9"/>
      <c r="G21" s="9"/>
      <c r="H21" s="9"/>
      <c r="I21" s="9"/>
      <c r="J21" s="21" t="s">
        <v>42</v>
      </c>
      <c r="K21" s="22">
        <f>SUM(J19:J20)</f>
        <v>24.75</v>
      </c>
      <c r="L21" s="23">
        <v>0</v>
      </c>
      <c r="M21" s="24">
        <f>ROUND(K21*L21,2)</f>
        <v>0</v>
      </c>
    </row>
    <row r="22" spans="1:13" ht="0.95" customHeight="1">
      <c r="A22" s="25"/>
      <c r="B22" s="25"/>
      <c r="C22" s="25"/>
      <c r="D22" s="31"/>
      <c r="E22" s="25"/>
      <c r="F22" s="25"/>
      <c r="G22" s="25"/>
      <c r="H22" s="25"/>
      <c r="I22" s="25"/>
      <c r="J22" s="25"/>
      <c r="K22" s="25"/>
      <c r="L22" s="25"/>
      <c r="M22" s="25"/>
    </row>
    <row r="23" spans="1:13" ht="33.75">
      <c r="A23" s="15" t="s">
        <v>43</v>
      </c>
      <c r="B23" s="10" t="s">
        <v>23</v>
      </c>
      <c r="C23" s="10" t="s">
        <v>24</v>
      </c>
      <c r="D23" s="18" t="s">
        <v>44</v>
      </c>
      <c r="E23" s="9"/>
      <c r="F23" s="9"/>
      <c r="G23" s="9"/>
      <c r="H23" s="9"/>
      <c r="I23" s="9"/>
      <c r="J23" s="9"/>
      <c r="K23" s="16">
        <f>K28</f>
        <v>17.303000000000001</v>
      </c>
      <c r="L23" s="17">
        <f>L28</f>
        <v>0</v>
      </c>
      <c r="M23" s="17">
        <f>M28</f>
        <v>0</v>
      </c>
    </row>
    <row r="24" spans="1:13">
      <c r="A24" s="9"/>
      <c r="B24" s="9"/>
      <c r="C24" s="9"/>
      <c r="D24" s="18" t="s">
        <v>45</v>
      </c>
      <c r="E24" s="9"/>
      <c r="F24" s="9"/>
      <c r="G24" s="9"/>
      <c r="H24" s="9"/>
      <c r="I24" s="9"/>
      <c r="J24" s="9"/>
      <c r="K24" s="9"/>
      <c r="L24" s="9"/>
      <c r="M24" s="9"/>
    </row>
    <row r="25" spans="1:13">
      <c r="A25" s="9"/>
      <c r="B25" s="9"/>
      <c r="C25" s="10" t="s">
        <v>27</v>
      </c>
      <c r="D25" s="30"/>
      <c r="E25" s="10" t="s">
        <v>17</v>
      </c>
      <c r="F25" s="19">
        <v>1</v>
      </c>
      <c r="G25" s="20">
        <v>6.69</v>
      </c>
      <c r="H25" s="20">
        <v>0.5</v>
      </c>
      <c r="I25" s="20">
        <v>0.5</v>
      </c>
      <c r="J25" s="16">
        <f>OR(F25&lt;&gt;0,G25&lt;&gt;0,H25&lt;&gt;0,I25&lt;&gt;0)*(F25 + (F25 = 0))*(G25 + (G25 = 0))*(H25 + (H25 = 0))*(I25 + (I25 = 0))</f>
        <v>1.673</v>
      </c>
      <c r="K25" s="9"/>
      <c r="L25" s="9"/>
      <c r="M25" s="9"/>
    </row>
    <row r="26" spans="1:13">
      <c r="A26" s="9"/>
      <c r="B26" s="9"/>
      <c r="C26" s="10" t="s">
        <v>27</v>
      </c>
      <c r="D26" s="30"/>
      <c r="E26" s="10" t="s">
        <v>17</v>
      </c>
      <c r="F26" s="19">
        <v>1</v>
      </c>
      <c r="G26" s="20">
        <v>56.16</v>
      </c>
      <c r="H26" s="20">
        <v>0.5</v>
      </c>
      <c r="I26" s="20">
        <v>0.5</v>
      </c>
      <c r="J26" s="16">
        <f>OR(F26&lt;&gt;0,G26&lt;&gt;0,H26&lt;&gt;0,I26&lt;&gt;0)*(F26 + (F26 = 0))*(G26 + (G26 = 0))*(H26 + (H26 = 0))*(I26 + (I26 = 0))</f>
        <v>14.04</v>
      </c>
      <c r="K26" s="9"/>
      <c r="L26" s="9"/>
      <c r="M26" s="9"/>
    </row>
    <row r="27" spans="1:13">
      <c r="A27" s="9"/>
      <c r="B27" s="9"/>
      <c r="C27" s="10" t="s">
        <v>27</v>
      </c>
      <c r="D27" s="30"/>
      <c r="E27" s="10" t="s">
        <v>17</v>
      </c>
      <c r="F27" s="19">
        <v>1</v>
      </c>
      <c r="G27" s="20">
        <v>6.36</v>
      </c>
      <c r="H27" s="20">
        <v>0.5</v>
      </c>
      <c r="I27" s="20">
        <v>0.5</v>
      </c>
      <c r="J27" s="16">
        <f>OR(F27&lt;&gt;0,G27&lt;&gt;0,H27&lt;&gt;0,I27&lt;&gt;0)*(F27 + (F27 = 0))*(G27 + (G27 = 0))*(H27 + (H27 = 0))*(I27 + (I27 = 0))</f>
        <v>1.59</v>
      </c>
      <c r="K27" s="9"/>
      <c r="L27" s="9"/>
      <c r="M27" s="9"/>
    </row>
    <row r="28" spans="1:13">
      <c r="A28" s="9"/>
      <c r="B28" s="9"/>
      <c r="C28" s="9"/>
      <c r="D28" s="30"/>
      <c r="E28" s="9"/>
      <c r="F28" s="9"/>
      <c r="G28" s="9"/>
      <c r="H28" s="9"/>
      <c r="I28" s="9"/>
      <c r="J28" s="21" t="s">
        <v>46</v>
      </c>
      <c r="K28" s="22">
        <f>SUM(J25:J27)</f>
        <v>17.303000000000001</v>
      </c>
      <c r="L28" s="23">
        <v>0</v>
      </c>
      <c r="M28" s="24">
        <f>ROUND(K28*L28,2)</f>
        <v>0</v>
      </c>
    </row>
    <row r="29" spans="1:13" ht="0.95" customHeight="1">
      <c r="A29" s="25"/>
      <c r="B29" s="25"/>
      <c r="C29" s="25"/>
      <c r="D29" s="31"/>
      <c r="E29" s="25"/>
      <c r="F29" s="25"/>
      <c r="G29" s="25"/>
      <c r="H29" s="25"/>
      <c r="I29" s="25"/>
      <c r="J29" s="25"/>
      <c r="K29" s="25"/>
      <c r="L29" s="25"/>
      <c r="M29" s="25"/>
    </row>
    <row r="30" spans="1:13">
      <c r="A30" s="15" t="s">
        <v>47</v>
      </c>
      <c r="B30" s="10" t="s">
        <v>23</v>
      </c>
      <c r="C30" s="10" t="s">
        <v>24</v>
      </c>
      <c r="D30" s="18" t="s">
        <v>48</v>
      </c>
      <c r="E30" s="9"/>
      <c r="F30" s="9"/>
      <c r="G30" s="9"/>
      <c r="H30" s="9"/>
      <c r="I30" s="9"/>
      <c r="J30" s="9"/>
      <c r="K30" s="16">
        <f>K33</f>
        <v>301.91000000000003</v>
      </c>
      <c r="L30" s="17">
        <f>L33</f>
        <v>0</v>
      </c>
      <c r="M30" s="17">
        <f>M33</f>
        <v>0</v>
      </c>
    </row>
    <row r="31" spans="1:13">
      <c r="A31" s="9"/>
      <c r="B31" s="9"/>
      <c r="C31" s="9"/>
      <c r="D31" s="18" t="s">
        <v>49</v>
      </c>
      <c r="E31" s="9"/>
      <c r="F31" s="9"/>
      <c r="G31" s="9"/>
      <c r="H31" s="9"/>
      <c r="I31" s="9"/>
      <c r="J31" s="9"/>
      <c r="K31" s="9"/>
      <c r="L31" s="9"/>
      <c r="M31" s="9"/>
    </row>
    <row r="32" spans="1:13">
      <c r="A32" s="9"/>
      <c r="B32" s="9"/>
      <c r="C32" s="10" t="s">
        <v>27</v>
      </c>
      <c r="D32" s="30"/>
      <c r="E32" s="10" t="s">
        <v>17</v>
      </c>
      <c r="F32" s="19">
        <v>1</v>
      </c>
      <c r="G32" s="23">
        <v>301.91000000000003</v>
      </c>
      <c r="H32" s="23">
        <v>0</v>
      </c>
      <c r="I32" s="23">
        <v>0</v>
      </c>
      <c r="J32" s="17">
        <f>OR(F32&lt;&gt;0,G32&lt;&gt;0,H32&lt;&gt;0,I32&lt;&gt;0)*(F32 + (F32 = 0))*(G32 + (G32 = 0))*(H32 + (H32 = 0))*(I32 + (I32 = 0))</f>
        <v>301.91000000000003</v>
      </c>
      <c r="K32" s="9"/>
      <c r="L32" s="9"/>
      <c r="M32" s="9"/>
    </row>
    <row r="33" spans="1:13">
      <c r="A33" s="9"/>
      <c r="B33" s="9"/>
      <c r="C33" s="9"/>
      <c r="D33" s="30"/>
      <c r="E33" s="9"/>
      <c r="F33" s="9"/>
      <c r="G33" s="9"/>
      <c r="H33" s="9"/>
      <c r="I33" s="9"/>
      <c r="J33" s="21" t="s">
        <v>50</v>
      </c>
      <c r="K33" s="22">
        <f>J32</f>
        <v>301.91000000000003</v>
      </c>
      <c r="L33" s="23">
        <v>0</v>
      </c>
      <c r="M33" s="24">
        <f>ROUND(K33*L33,2)</f>
        <v>0</v>
      </c>
    </row>
    <row r="34" spans="1:13" ht="0.95" customHeight="1">
      <c r="A34" s="25"/>
      <c r="B34" s="25"/>
      <c r="C34" s="25"/>
      <c r="D34" s="31"/>
      <c r="E34" s="25"/>
      <c r="F34" s="25"/>
      <c r="G34" s="25"/>
      <c r="H34" s="25"/>
      <c r="I34" s="25"/>
      <c r="J34" s="25"/>
      <c r="K34" s="25"/>
      <c r="L34" s="25"/>
      <c r="M34" s="25"/>
    </row>
    <row r="35" spans="1:13" ht="45">
      <c r="A35" s="15" t="s">
        <v>51</v>
      </c>
      <c r="B35" s="10" t="s">
        <v>23</v>
      </c>
      <c r="C35" s="10" t="s">
        <v>24</v>
      </c>
      <c r="D35" s="18" t="s">
        <v>52</v>
      </c>
      <c r="E35" s="9"/>
      <c r="F35" s="9"/>
      <c r="G35" s="9"/>
      <c r="H35" s="9"/>
      <c r="I35" s="9"/>
      <c r="J35" s="9"/>
      <c r="K35" s="16">
        <f>K38</f>
        <v>10.210000000000001</v>
      </c>
      <c r="L35" s="17">
        <f>L38</f>
        <v>0</v>
      </c>
      <c r="M35" s="17">
        <f>M38</f>
        <v>0</v>
      </c>
    </row>
    <row r="36" spans="1:13">
      <c r="A36" s="9"/>
      <c r="B36" s="9"/>
      <c r="C36" s="9"/>
      <c r="D36" s="18" t="s">
        <v>53</v>
      </c>
      <c r="E36" s="9"/>
      <c r="F36" s="9"/>
      <c r="G36" s="9"/>
      <c r="H36" s="9"/>
      <c r="I36" s="9"/>
      <c r="J36" s="9"/>
      <c r="K36" s="9"/>
      <c r="L36" s="9"/>
      <c r="M36" s="9"/>
    </row>
    <row r="37" spans="1:13">
      <c r="A37" s="9"/>
      <c r="B37" s="9"/>
      <c r="C37" s="10" t="s">
        <v>27</v>
      </c>
      <c r="D37" s="30"/>
      <c r="E37" s="10" t="s">
        <v>17</v>
      </c>
      <c r="F37" s="19">
        <v>1</v>
      </c>
      <c r="G37" s="20">
        <v>10.210000000000001</v>
      </c>
      <c r="H37" s="20">
        <v>0</v>
      </c>
      <c r="I37" s="20">
        <v>0</v>
      </c>
      <c r="J37" s="16">
        <f>OR(F37&lt;&gt;0,G37&lt;&gt;0,H37&lt;&gt;0,I37&lt;&gt;0)*(F37 + (F37 = 0))*(G37 + (G37 = 0))*(H37 + (H37 = 0))*(I37 + (I37 = 0))</f>
        <v>10.210000000000001</v>
      </c>
      <c r="K37" s="9"/>
      <c r="L37" s="9"/>
      <c r="M37" s="9"/>
    </row>
    <row r="38" spans="1:13">
      <c r="A38" s="9"/>
      <c r="B38" s="9"/>
      <c r="C38" s="9"/>
      <c r="D38" s="30"/>
      <c r="E38" s="9"/>
      <c r="F38" s="9"/>
      <c r="G38" s="9"/>
      <c r="H38" s="9"/>
      <c r="I38" s="9"/>
      <c r="J38" s="21" t="s">
        <v>54</v>
      </c>
      <c r="K38" s="22">
        <f>J37</f>
        <v>10.210000000000001</v>
      </c>
      <c r="L38" s="23">
        <v>0</v>
      </c>
      <c r="M38" s="24">
        <f>ROUND(K38*L38,2)</f>
        <v>0</v>
      </c>
    </row>
    <row r="39" spans="1:13" ht="0.95" customHeight="1">
      <c r="A39" s="25"/>
      <c r="B39" s="25"/>
      <c r="C39" s="25"/>
      <c r="D39" s="31"/>
      <c r="E39" s="25"/>
      <c r="F39" s="25"/>
      <c r="G39" s="25"/>
      <c r="H39" s="25"/>
      <c r="I39" s="25"/>
      <c r="J39" s="25"/>
      <c r="K39" s="25"/>
      <c r="L39" s="25"/>
      <c r="M39" s="25"/>
    </row>
    <row r="40" spans="1:13">
      <c r="A40" s="9"/>
      <c r="B40" s="9"/>
      <c r="C40" s="9"/>
      <c r="D40" s="30"/>
      <c r="E40" s="9"/>
      <c r="F40" s="9"/>
      <c r="G40" s="9"/>
      <c r="H40" s="9"/>
      <c r="I40" s="9"/>
      <c r="J40" s="21" t="s">
        <v>55</v>
      </c>
      <c r="K40" s="20">
        <v>1</v>
      </c>
      <c r="L40" s="24">
        <f>M7+M12+M17+M23+M30+M35</f>
        <v>0</v>
      </c>
      <c r="M40" s="24">
        <f>ROUND(K40*L40,2)</f>
        <v>0</v>
      </c>
    </row>
    <row r="41" spans="1:13" ht="0.95" customHeight="1">
      <c r="A41" s="25"/>
      <c r="B41" s="25"/>
      <c r="C41" s="25"/>
      <c r="D41" s="31"/>
      <c r="E41" s="25"/>
      <c r="F41" s="25"/>
      <c r="G41" s="25"/>
      <c r="H41" s="25"/>
      <c r="I41" s="25"/>
      <c r="J41" s="25"/>
      <c r="K41" s="25"/>
      <c r="L41" s="25"/>
      <c r="M41" s="25"/>
    </row>
    <row r="42" spans="1:13">
      <c r="A42" s="11" t="s">
        <v>56</v>
      </c>
      <c r="B42" s="11" t="s">
        <v>16</v>
      </c>
      <c r="C42" s="11" t="s">
        <v>17</v>
      </c>
      <c r="D42" s="29" t="s">
        <v>57</v>
      </c>
      <c r="E42" s="12"/>
      <c r="F42" s="12"/>
      <c r="G42" s="12"/>
      <c r="H42" s="12"/>
      <c r="I42" s="12"/>
      <c r="J42" s="12"/>
      <c r="K42" s="13">
        <f>K73</f>
        <v>1</v>
      </c>
      <c r="L42" s="14">
        <f>L73</f>
        <v>0</v>
      </c>
      <c r="M42" s="14">
        <f>M73</f>
        <v>0</v>
      </c>
    </row>
    <row r="43" spans="1:13">
      <c r="A43" s="15" t="s">
        <v>58</v>
      </c>
      <c r="B43" s="10" t="s">
        <v>23</v>
      </c>
      <c r="C43" s="10" t="s">
        <v>4</v>
      </c>
      <c r="D43" s="18" t="s">
        <v>59</v>
      </c>
      <c r="E43" s="9"/>
      <c r="F43" s="9"/>
      <c r="G43" s="9"/>
      <c r="H43" s="9"/>
      <c r="I43" s="9"/>
      <c r="J43" s="9"/>
      <c r="K43" s="16">
        <f>K53</f>
        <v>8</v>
      </c>
      <c r="L43" s="17">
        <f>L53</f>
        <v>0</v>
      </c>
      <c r="M43" s="17">
        <f>M53</f>
        <v>0</v>
      </c>
    </row>
    <row r="44" spans="1:13">
      <c r="A44" s="9"/>
      <c r="B44" s="9"/>
      <c r="C44" s="9"/>
      <c r="D44" s="18" t="s">
        <v>60</v>
      </c>
      <c r="E44" s="9"/>
      <c r="F44" s="9"/>
      <c r="G44" s="9"/>
      <c r="H44" s="9"/>
      <c r="I44" s="9"/>
      <c r="J44" s="9"/>
      <c r="K44" s="9"/>
      <c r="L44" s="9"/>
      <c r="M44" s="9"/>
    </row>
    <row r="45" spans="1:13">
      <c r="A45" s="9"/>
      <c r="B45" s="9"/>
      <c r="C45" s="10" t="s">
        <v>27</v>
      </c>
      <c r="D45" s="30"/>
      <c r="E45" s="10" t="s">
        <v>17</v>
      </c>
      <c r="F45" s="19">
        <v>1</v>
      </c>
      <c r="G45" s="20">
        <v>1</v>
      </c>
      <c r="H45" s="20">
        <v>0</v>
      </c>
      <c r="I45" s="20">
        <v>0</v>
      </c>
      <c r="J45" s="16">
        <f>OR(F45&lt;&gt;0,G45&lt;&gt;0,H45&lt;&gt;0,I45&lt;&gt;0)*(F45 + (F45 = 0))*(G45 + (G45 = 0))*(H45 + (H45 = 0))*(I45 + (I45 = 0))</f>
        <v>1</v>
      </c>
      <c r="K45" s="9"/>
      <c r="L45" s="9"/>
      <c r="M45" s="9"/>
    </row>
    <row r="46" spans="1:13">
      <c r="A46" s="9"/>
      <c r="B46" s="9"/>
      <c r="C46" s="10" t="s">
        <v>27</v>
      </c>
      <c r="D46" s="30"/>
      <c r="E46" s="10" t="s">
        <v>17</v>
      </c>
      <c r="F46" s="19">
        <v>1</v>
      </c>
      <c r="G46" s="20">
        <v>1</v>
      </c>
      <c r="H46" s="20">
        <v>0</v>
      </c>
      <c r="I46" s="20">
        <v>0</v>
      </c>
      <c r="J46" s="16">
        <f>OR(F46&lt;&gt;0,G46&lt;&gt;0,H46&lt;&gt;0,I46&lt;&gt;0)*(F46 + (F46 = 0))*(G46 + (G46 = 0))*(H46 + (H46 = 0))*(I46 + (I46 = 0))</f>
        <v>1</v>
      </c>
      <c r="K46" s="9"/>
      <c r="L46" s="9"/>
      <c r="M46" s="9"/>
    </row>
    <row r="47" spans="1:13">
      <c r="A47" s="9"/>
      <c r="B47" s="9"/>
      <c r="C47" s="10" t="s">
        <v>27</v>
      </c>
      <c r="D47" s="30"/>
      <c r="E47" s="10" t="s">
        <v>17</v>
      </c>
      <c r="F47" s="19">
        <v>1</v>
      </c>
      <c r="G47" s="20">
        <v>1</v>
      </c>
      <c r="H47" s="20">
        <v>0</v>
      </c>
      <c r="I47" s="20">
        <v>0</v>
      </c>
      <c r="J47" s="16">
        <f>OR(F47&lt;&gt;0,G47&lt;&gt;0,H47&lt;&gt;0,I47&lt;&gt;0)*(F47 + (F47 = 0))*(G47 + (G47 = 0))*(H47 + (H47 = 0))*(I47 + (I47 = 0))</f>
        <v>1</v>
      </c>
      <c r="K47" s="9"/>
      <c r="L47" s="9"/>
      <c r="M47" s="9"/>
    </row>
    <row r="48" spans="1:13">
      <c r="A48" s="9"/>
      <c r="B48" s="9"/>
      <c r="C48" s="10" t="s">
        <v>27</v>
      </c>
      <c r="D48" s="30"/>
      <c r="E48" s="10" t="s">
        <v>17</v>
      </c>
      <c r="F48" s="19">
        <v>1</v>
      </c>
      <c r="G48" s="20">
        <v>1</v>
      </c>
      <c r="H48" s="20">
        <v>0</v>
      </c>
      <c r="I48" s="20">
        <v>0</v>
      </c>
      <c r="J48" s="16">
        <f>OR(F48&lt;&gt;0,G48&lt;&gt;0,H48&lt;&gt;0,I48&lt;&gt;0)*(F48 + (F48 = 0))*(G48 + (G48 = 0))*(H48 + (H48 = 0))*(I48 + (I48 = 0))</f>
        <v>1</v>
      </c>
      <c r="K48" s="9"/>
      <c r="L48" s="9"/>
      <c r="M48" s="9"/>
    </row>
    <row r="49" spans="1:13">
      <c r="A49" s="9"/>
      <c r="B49" s="9"/>
      <c r="C49" s="10" t="s">
        <v>27</v>
      </c>
      <c r="D49" s="30"/>
      <c r="E49" s="10" t="s">
        <v>17</v>
      </c>
      <c r="F49" s="19">
        <v>1</v>
      </c>
      <c r="G49" s="20">
        <v>1</v>
      </c>
      <c r="H49" s="20">
        <v>0</v>
      </c>
      <c r="I49" s="20">
        <v>0</v>
      </c>
      <c r="J49" s="16">
        <f>OR(F49&lt;&gt;0,G49&lt;&gt;0,H49&lt;&gt;0,I49&lt;&gt;0)*(F49 + (F49 = 0))*(G49 + (G49 = 0))*(H49 + (H49 = 0))*(I49 + (I49 = 0))</f>
        <v>1</v>
      </c>
      <c r="K49" s="9"/>
      <c r="L49" s="9"/>
      <c r="M49" s="9"/>
    </row>
    <row r="50" spans="1:13">
      <c r="A50" s="9"/>
      <c r="B50" s="9"/>
      <c r="C50" s="10" t="s">
        <v>27</v>
      </c>
      <c r="D50" s="30"/>
      <c r="E50" s="10" t="s">
        <v>17</v>
      </c>
      <c r="F50" s="19">
        <v>1</v>
      </c>
      <c r="G50" s="20">
        <v>1</v>
      </c>
      <c r="H50" s="20">
        <v>0</v>
      </c>
      <c r="I50" s="20">
        <v>0</v>
      </c>
      <c r="J50" s="16">
        <f>OR(F50&lt;&gt;0,G50&lt;&gt;0,H50&lt;&gt;0,I50&lt;&gt;0)*(F50 + (F50 = 0))*(G50 + (G50 = 0))*(H50 + (H50 = 0))*(I50 + (I50 = 0))</f>
        <v>1</v>
      </c>
      <c r="K50" s="9"/>
      <c r="L50" s="9"/>
      <c r="M50" s="9"/>
    </row>
    <row r="51" spans="1:13">
      <c r="A51" s="9"/>
      <c r="B51" s="9"/>
      <c r="C51" s="10" t="s">
        <v>27</v>
      </c>
      <c r="D51" s="30"/>
      <c r="E51" s="10" t="s">
        <v>17</v>
      </c>
      <c r="F51" s="19">
        <v>1</v>
      </c>
      <c r="G51" s="20">
        <v>1</v>
      </c>
      <c r="H51" s="20">
        <v>0</v>
      </c>
      <c r="I51" s="20">
        <v>0</v>
      </c>
      <c r="J51" s="16">
        <f>OR(F51&lt;&gt;0,G51&lt;&gt;0,H51&lt;&gt;0,I51&lt;&gt;0)*(F51 + (F51 = 0))*(G51 + (G51 = 0))*(H51 + (H51 = 0))*(I51 + (I51 = 0))</f>
        <v>1</v>
      </c>
      <c r="K51" s="9"/>
      <c r="L51" s="9"/>
      <c r="M51" s="9"/>
    </row>
    <row r="52" spans="1:13">
      <c r="A52" s="9"/>
      <c r="B52" s="9"/>
      <c r="C52" s="10" t="s">
        <v>27</v>
      </c>
      <c r="D52" s="30"/>
      <c r="E52" s="10" t="s">
        <v>17</v>
      </c>
      <c r="F52" s="19">
        <v>1</v>
      </c>
      <c r="G52" s="20">
        <v>1</v>
      </c>
      <c r="H52" s="20">
        <v>0</v>
      </c>
      <c r="I52" s="20">
        <v>0</v>
      </c>
      <c r="J52" s="16">
        <f>OR(F52&lt;&gt;0,G52&lt;&gt;0,H52&lt;&gt;0,I52&lt;&gt;0)*(F52 + (F52 = 0))*(G52 + (G52 = 0))*(H52 + (H52 = 0))*(I52 + (I52 = 0))</f>
        <v>1</v>
      </c>
      <c r="K52" s="9"/>
      <c r="L52" s="9"/>
      <c r="M52" s="9"/>
    </row>
    <row r="53" spans="1:13">
      <c r="A53" s="9"/>
      <c r="B53" s="9"/>
      <c r="C53" s="9"/>
      <c r="D53" s="30"/>
      <c r="E53" s="9"/>
      <c r="F53" s="9"/>
      <c r="G53" s="9"/>
      <c r="H53" s="9"/>
      <c r="I53" s="9"/>
      <c r="J53" s="21" t="s">
        <v>61</v>
      </c>
      <c r="K53" s="22">
        <f>SUM(J45:J52)</f>
        <v>8</v>
      </c>
      <c r="L53" s="23">
        <v>0</v>
      </c>
      <c r="M53" s="24">
        <f>ROUND(K53*L53,2)</f>
        <v>0</v>
      </c>
    </row>
    <row r="54" spans="1:13" ht="0.95" customHeight="1">
      <c r="A54" s="25"/>
      <c r="B54" s="25"/>
      <c r="C54" s="25"/>
      <c r="D54" s="31"/>
      <c r="E54" s="25"/>
      <c r="F54" s="25"/>
      <c r="G54" s="25"/>
      <c r="H54" s="25"/>
      <c r="I54" s="25"/>
      <c r="J54" s="25"/>
      <c r="K54" s="25"/>
      <c r="L54" s="25"/>
      <c r="M54" s="25"/>
    </row>
    <row r="55" spans="1:13">
      <c r="A55" s="15" t="s">
        <v>62</v>
      </c>
      <c r="B55" s="10" t="s">
        <v>23</v>
      </c>
      <c r="C55" s="10" t="s">
        <v>4</v>
      </c>
      <c r="D55" s="18" t="s">
        <v>63</v>
      </c>
      <c r="E55" s="9"/>
      <c r="F55" s="9"/>
      <c r="G55" s="9"/>
      <c r="H55" s="9"/>
      <c r="I55" s="9"/>
      <c r="J55" s="9"/>
      <c r="K55" s="20">
        <v>1</v>
      </c>
      <c r="L55" s="23">
        <v>0</v>
      </c>
      <c r="M55" s="17">
        <f>ROUND(K55*L55,2)</f>
        <v>0</v>
      </c>
    </row>
    <row r="56" spans="1:13">
      <c r="A56" s="9"/>
      <c r="B56" s="9"/>
      <c r="C56" s="9"/>
      <c r="D56" s="18" t="s">
        <v>64</v>
      </c>
      <c r="E56" s="9"/>
      <c r="F56" s="9"/>
      <c r="G56" s="9"/>
      <c r="H56" s="9"/>
      <c r="I56" s="9"/>
      <c r="J56" s="9"/>
      <c r="K56" s="9"/>
      <c r="L56" s="9"/>
      <c r="M56" s="9"/>
    </row>
    <row r="57" spans="1:13">
      <c r="A57" s="15" t="s">
        <v>65</v>
      </c>
      <c r="B57" s="10" t="s">
        <v>23</v>
      </c>
      <c r="C57" s="10" t="s">
        <v>66</v>
      </c>
      <c r="D57" s="18" t="s">
        <v>67</v>
      </c>
      <c r="E57" s="9"/>
      <c r="F57" s="9"/>
      <c r="G57" s="9"/>
      <c r="H57" s="9"/>
      <c r="I57" s="9"/>
      <c r="J57" s="9"/>
      <c r="K57" s="20">
        <v>6.36</v>
      </c>
      <c r="L57" s="23">
        <v>0</v>
      </c>
      <c r="M57" s="17">
        <f>ROUND(K57*L57,2)</f>
        <v>0</v>
      </c>
    </row>
    <row r="58" spans="1:13">
      <c r="A58" s="9"/>
      <c r="B58" s="9"/>
      <c r="C58" s="9"/>
      <c r="D58" s="18" t="s">
        <v>68</v>
      </c>
      <c r="E58" s="9"/>
      <c r="F58" s="9"/>
      <c r="G58" s="9"/>
      <c r="H58" s="9"/>
      <c r="I58" s="9"/>
      <c r="J58" s="9"/>
      <c r="K58" s="9"/>
      <c r="L58" s="9"/>
      <c r="M58" s="9"/>
    </row>
    <row r="59" spans="1:13" ht="22.5">
      <c r="A59" s="15" t="s">
        <v>69</v>
      </c>
      <c r="B59" s="10" t="s">
        <v>23</v>
      </c>
      <c r="C59" s="10" t="s">
        <v>4</v>
      </c>
      <c r="D59" s="18" t="s">
        <v>70</v>
      </c>
      <c r="E59" s="9"/>
      <c r="F59" s="9"/>
      <c r="G59" s="9"/>
      <c r="H59" s="9"/>
      <c r="I59" s="9"/>
      <c r="J59" s="9"/>
      <c r="K59" s="20">
        <v>2</v>
      </c>
      <c r="L59" s="23">
        <v>0</v>
      </c>
      <c r="M59" s="17">
        <f>ROUND(K59*L59,2)</f>
        <v>0</v>
      </c>
    </row>
    <row r="60" spans="1:13">
      <c r="A60" s="9"/>
      <c r="B60" s="9"/>
      <c r="C60" s="9"/>
      <c r="D60" s="18" t="s">
        <v>71</v>
      </c>
      <c r="E60" s="9"/>
      <c r="F60" s="9"/>
      <c r="G60" s="9"/>
      <c r="H60" s="9"/>
      <c r="I60" s="9"/>
      <c r="J60" s="9"/>
      <c r="K60" s="9"/>
      <c r="L60" s="9"/>
      <c r="M60" s="9"/>
    </row>
    <row r="61" spans="1:13" ht="22.5">
      <c r="A61" s="15" t="s">
        <v>72</v>
      </c>
      <c r="B61" s="10" t="s">
        <v>23</v>
      </c>
      <c r="C61" s="10" t="s">
        <v>66</v>
      </c>
      <c r="D61" s="18" t="s">
        <v>73</v>
      </c>
      <c r="E61" s="9"/>
      <c r="F61" s="9"/>
      <c r="G61" s="9"/>
      <c r="H61" s="9"/>
      <c r="I61" s="9"/>
      <c r="J61" s="9"/>
      <c r="K61" s="20">
        <v>56.16</v>
      </c>
      <c r="L61" s="23">
        <v>0</v>
      </c>
      <c r="M61" s="17">
        <f>ROUND(K61*L61,2)</f>
        <v>0</v>
      </c>
    </row>
    <row r="62" spans="1:13">
      <c r="A62" s="9"/>
      <c r="B62" s="9"/>
      <c r="C62" s="9"/>
      <c r="D62" s="18" t="s">
        <v>74</v>
      </c>
      <c r="E62" s="9"/>
      <c r="F62" s="9"/>
      <c r="G62" s="9"/>
      <c r="H62" s="9"/>
      <c r="I62" s="9"/>
      <c r="J62" s="9"/>
      <c r="K62" s="9"/>
      <c r="L62" s="9"/>
      <c r="M62" s="9"/>
    </row>
    <row r="63" spans="1:13" ht="22.5">
      <c r="A63" s="15" t="s">
        <v>75</v>
      </c>
      <c r="B63" s="10" t="s">
        <v>23</v>
      </c>
      <c r="C63" s="10" t="s">
        <v>66</v>
      </c>
      <c r="D63" s="18" t="s">
        <v>76</v>
      </c>
      <c r="E63" s="9"/>
      <c r="F63" s="9"/>
      <c r="G63" s="9"/>
      <c r="H63" s="9"/>
      <c r="I63" s="9"/>
      <c r="J63" s="9"/>
      <c r="K63" s="20">
        <v>62.22</v>
      </c>
      <c r="L63" s="23">
        <v>0</v>
      </c>
      <c r="M63" s="17">
        <f>ROUND(K63*L63,2)</f>
        <v>0</v>
      </c>
    </row>
    <row r="64" spans="1:13">
      <c r="A64" s="9"/>
      <c r="B64" s="9"/>
      <c r="C64" s="9"/>
      <c r="D64" s="18" t="s">
        <v>77</v>
      </c>
      <c r="E64" s="9"/>
      <c r="F64" s="9"/>
      <c r="G64" s="9"/>
      <c r="H64" s="9"/>
      <c r="I64" s="9"/>
      <c r="J64" s="9"/>
      <c r="K64" s="9"/>
      <c r="L64" s="9"/>
      <c r="M64" s="9"/>
    </row>
    <row r="65" spans="1:13">
      <c r="A65" s="15" t="s">
        <v>78</v>
      </c>
      <c r="B65" s="10" t="s">
        <v>23</v>
      </c>
      <c r="C65" s="10" t="s">
        <v>4</v>
      </c>
      <c r="D65" s="18" t="s">
        <v>79</v>
      </c>
      <c r="E65" s="9"/>
      <c r="F65" s="9"/>
      <c r="G65" s="9"/>
      <c r="H65" s="9"/>
      <c r="I65" s="9"/>
      <c r="J65" s="9"/>
      <c r="K65" s="20">
        <v>2</v>
      </c>
      <c r="L65" s="23">
        <v>0</v>
      </c>
      <c r="M65" s="17">
        <f>ROUND(K65*L65,2)</f>
        <v>0</v>
      </c>
    </row>
    <row r="66" spans="1:13">
      <c r="A66" s="9"/>
      <c r="B66" s="9"/>
      <c r="C66" s="9"/>
      <c r="D66" s="18" t="s">
        <v>80</v>
      </c>
      <c r="E66" s="9"/>
      <c r="F66" s="9"/>
      <c r="G66" s="9"/>
      <c r="H66" s="9"/>
      <c r="I66" s="9"/>
      <c r="J66" s="9"/>
      <c r="K66" s="9"/>
      <c r="L66" s="9"/>
      <c r="M66" s="9"/>
    </row>
    <row r="67" spans="1:13">
      <c r="A67" s="15" t="s">
        <v>81</v>
      </c>
      <c r="B67" s="10" t="s">
        <v>23</v>
      </c>
      <c r="C67" s="10" t="s">
        <v>66</v>
      </c>
      <c r="D67" s="18" t="s">
        <v>82</v>
      </c>
      <c r="E67" s="9"/>
      <c r="F67" s="9"/>
      <c r="G67" s="9"/>
      <c r="H67" s="9"/>
      <c r="I67" s="9"/>
      <c r="J67" s="9"/>
      <c r="K67" s="20">
        <v>5.15</v>
      </c>
      <c r="L67" s="23">
        <v>0</v>
      </c>
      <c r="M67" s="17">
        <f>ROUND(K67*L67,2)</f>
        <v>0</v>
      </c>
    </row>
    <row r="68" spans="1:13">
      <c r="A68" s="9"/>
      <c r="B68" s="9"/>
      <c r="C68" s="9"/>
      <c r="D68" s="18" t="s">
        <v>83</v>
      </c>
      <c r="E68" s="9"/>
      <c r="F68" s="9"/>
      <c r="G68" s="9"/>
      <c r="H68" s="9"/>
      <c r="I68" s="9"/>
      <c r="J68" s="9"/>
      <c r="K68" s="9"/>
      <c r="L68" s="9"/>
      <c r="M68" s="9"/>
    </row>
    <row r="69" spans="1:13" ht="22.5">
      <c r="A69" s="15" t="s">
        <v>84</v>
      </c>
      <c r="B69" s="10" t="s">
        <v>23</v>
      </c>
      <c r="C69" s="10" t="s">
        <v>4</v>
      </c>
      <c r="D69" s="18" t="s">
        <v>85</v>
      </c>
      <c r="E69" s="9"/>
      <c r="F69" s="9"/>
      <c r="G69" s="9"/>
      <c r="H69" s="9"/>
      <c r="I69" s="9"/>
      <c r="J69" s="9"/>
      <c r="K69" s="20">
        <v>2</v>
      </c>
      <c r="L69" s="23">
        <v>0</v>
      </c>
      <c r="M69" s="17">
        <f>ROUND(K69*L69,2)</f>
        <v>0</v>
      </c>
    </row>
    <row r="70" spans="1:13">
      <c r="A70" s="9"/>
      <c r="B70" s="9"/>
      <c r="C70" s="9"/>
      <c r="D70" s="18" t="s">
        <v>86</v>
      </c>
      <c r="E70" s="9"/>
      <c r="F70" s="9"/>
      <c r="G70" s="9"/>
      <c r="H70" s="9"/>
      <c r="I70" s="9"/>
      <c r="J70" s="9"/>
      <c r="K70" s="9"/>
      <c r="L70" s="9"/>
      <c r="M70" s="9"/>
    </row>
    <row r="71" spans="1:13">
      <c r="A71" s="15" t="s">
        <v>87</v>
      </c>
      <c r="B71" s="10" t="s">
        <v>23</v>
      </c>
      <c r="C71" s="10" t="s">
        <v>4</v>
      </c>
      <c r="D71" s="18" t="s">
        <v>88</v>
      </c>
      <c r="E71" s="9"/>
      <c r="F71" s="9"/>
      <c r="G71" s="9"/>
      <c r="H71" s="9"/>
      <c r="I71" s="9"/>
      <c r="J71" s="9"/>
      <c r="K71" s="20">
        <v>2</v>
      </c>
      <c r="L71" s="23">
        <v>0</v>
      </c>
      <c r="M71" s="17">
        <f>ROUND(K71*L71,2)</f>
        <v>0</v>
      </c>
    </row>
    <row r="72" spans="1:13">
      <c r="A72" s="9"/>
      <c r="B72" s="9"/>
      <c r="C72" s="9"/>
      <c r="D72" s="18" t="s">
        <v>89</v>
      </c>
      <c r="E72" s="9"/>
      <c r="F72" s="9"/>
      <c r="G72" s="9"/>
      <c r="H72" s="9"/>
      <c r="I72" s="9"/>
      <c r="J72" s="9"/>
      <c r="K72" s="9"/>
      <c r="L72" s="9"/>
      <c r="M72" s="9"/>
    </row>
    <row r="73" spans="1:13">
      <c r="A73" s="9"/>
      <c r="B73" s="9"/>
      <c r="C73" s="9"/>
      <c r="D73" s="30"/>
      <c r="E73" s="9"/>
      <c r="F73" s="9"/>
      <c r="G73" s="9"/>
      <c r="H73" s="9"/>
      <c r="I73" s="9"/>
      <c r="J73" s="21" t="s">
        <v>90</v>
      </c>
      <c r="K73" s="20">
        <v>1</v>
      </c>
      <c r="L73" s="24">
        <f>M43+M55+M57+M59+M61+M63+M65+M67+M69+M71</f>
        <v>0</v>
      </c>
      <c r="M73" s="24">
        <f>ROUND(K73*L73,2)</f>
        <v>0</v>
      </c>
    </row>
    <row r="74" spans="1:13" ht="0.95" customHeight="1">
      <c r="A74" s="25"/>
      <c r="B74" s="25"/>
      <c r="C74" s="25"/>
      <c r="D74" s="31"/>
      <c r="E74" s="25"/>
      <c r="F74" s="25"/>
      <c r="G74" s="25"/>
      <c r="H74" s="25"/>
      <c r="I74" s="25"/>
      <c r="J74" s="25"/>
      <c r="K74" s="25"/>
      <c r="L74" s="25"/>
      <c r="M74" s="25"/>
    </row>
    <row r="75" spans="1:13">
      <c r="A75" s="11" t="s">
        <v>91</v>
      </c>
      <c r="B75" s="11" t="s">
        <v>16</v>
      </c>
      <c r="C75" s="11" t="s">
        <v>17</v>
      </c>
      <c r="D75" s="29" t="s">
        <v>92</v>
      </c>
      <c r="E75" s="12"/>
      <c r="F75" s="12"/>
      <c r="G75" s="12"/>
      <c r="H75" s="12"/>
      <c r="I75" s="12"/>
      <c r="J75" s="12"/>
      <c r="K75" s="13">
        <f>K109</f>
        <v>1</v>
      </c>
      <c r="L75" s="14">
        <f>L109</f>
        <v>0</v>
      </c>
      <c r="M75" s="14">
        <f>M109</f>
        <v>0</v>
      </c>
    </row>
    <row r="76" spans="1:13" ht="22.5">
      <c r="A76" s="15" t="s">
        <v>93</v>
      </c>
      <c r="B76" s="10" t="s">
        <v>23</v>
      </c>
      <c r="C76" s="10" t="s">
        <v>94</v>
      </c>
      <c r="D76" s="18" t="s">
        <v>95</v>
      </c>
      <c r="E76" s="9"/>
      <c r="F76" s="9"/>
      <c r="G76" s="9"/>
      <c r="H76" s="9"/>
      <c r="I76" s="9"/>
      <c r="J76" s="9"/>
      <c r="K76" s="16">
        <f>K79</f>
        <v>61.05</v>
      </c>
      <c r="L76" s="17">
        <f>L79</f>
        <v>0</v>
      </c>
      <c r="M76" s="17">
        <f>M79</f>
        <v>0</v>
      </c>
    </row>
    <row r="77" spans="1:13">
      <c r="A77" s="9"/>
      <c r="B77" s="9"/>
      <c r="C77" s="9"/>
      <c r="D77" s="18" t="s">
        <v>96</v>
      </c>
      <c r="E77" s="9"/>
      <c r="F77" s="9"/>
      <c r="G77" s="9"/>
      <c r="H77" s="9"/>
      <c r="I77" s="9"/>
      <c r="J77" s="9"/>
      <c r="K77" s="9"/>
      <c r="L77" s="9"/>
      <c r="M77" s="9"/>
    </row>
    <row r="78" spans="1:13">
      <c r="A78" s="9"/>
      <c r="B78" s="9"/>
      <c r="C78" s="10" t="s">
        <v>27</v>
      </c>
      <c r="D78" s="30"/>
      <c r="E78" s="10" t="s">
        <v>97</v>
      </c>
      <c r="F78" s="19">
        <v>1</v>
      </c>
      <c r="G78" s="20">
        <v>61.05</v>
      </c>
      <c r="H78" s="20">
        <v>0</v>
      </c>
      <c r="I78" s="20">
        <v>0</v>
      </c>
      <c r="J78" s="16">
        <f>OR(F78&lt;&gt;0,G78&lt;&gt;0,H78&lt;&gt;0,I78&lt;&gt;0)*(F78 + (F78 = 0))*(G78 + (G78 = 0))*(H78 + (H78 = 0))*(I78 + (I78 = 0))</f>
        <v>61.05</v>
      </c>
      <c r="K78" s="9"/>
      <c r="L78" s="9"/>
      <c r="M78" s="9"/>
    </row>
    <row r="79" spans="1:13">
      <c r="A79" s="9"/>
      <c r="B79" s="9"/>
      <c r="C79" s="9"/>
      <c r="D79" s="30"/>
      <c r="E79" s="9"/>
      <c r="F79" s="9"/>
      <c r="G79" s="9"/>
      <c r="H79" s="9"/>
      <c r="I79" s="9"/>
      <c r="J79" s="21" t="s">
        <v>98</v>
      </c>
      <c r="K79" s="22">
        <f>J78</f>
        <v>61.05</v>
      </c>
      <c r="L79" s="23">
        <v>0</v>
      </c>
      <c r="M79" s="24">
        <f>ROUND(K79*L79,2)</f>
        <v>0</v>
      </c>
    </row>
    <row r="80" spans="1:13" ht="0.95" customHeight="1">
      <c r="A80" s="25"/>
      <c r="B80" s="25"/>
      <c r="C80" s="25"/>
      <c r="D80" s="31"/>
      <c r="E80" s="25"/>
      <c r="F80" s="25"/>
      <c r="G80" s="25"/>
      <c r="H80" s="25"/>
      <c r="I80" s="25"/>
      <c r="J80" s="25"/>
      <c r="K80" s="25"/>
      <c r="L80" s="25"/>
      <c r="M80" s="25"/>
    </row>
    <row r="81" spans="1:13" ht="45">
      <c r="A81" s="15" t="s">
        <v>99</v>
      </c>
      <c r="B81" s="10" t="s">
        <v>23</v>
      </c>
      <c r="C81" s="10" t="s">
        <v>94</v>
      </c>
      <c r="D81" s="18" t="s">
        <v>100</v>
      </c>
      <c r="E81" s="9"/>
      <c r="F81" s="9"/>
      <c r="G81" s="9"/>
      <c r="H81" s="9"/>
      <c r="I81" s="9"/>
      <c r="J81" s="9"/>
      <c r="K81" s="16">
        <f>K89</f>
        <v>182.32</v>
      </c>
      <c r="L81" s="17">
        <f>L89</f>
        <v>0</v>
      </c>
      <c r="M81" s="17">
        <f>M89</f>
        <v>0</v>
      </c>
    </row>
    <row r="82" spans="1:13">
      <c r="A82" s="9"/>
      <c r="B82" s="9"/>
      <c r="C82" s="9"/>
      <c r="D82" s="18" t="s">
        <v>101</v>
      </c>
      <c r="E82" s="9"/>
      <c r="F82" s="9"/>
      <c r="G82" s="9"/>
      <c r="H82" s="9"/>
      <c r="I82" s="9"/>
      <c r="J82" s="9"/>
      <c r="K82" s="9"/>
      <c r="L82" s="9"/>
      <c r="M82" s="9"/>
    </row>
    <row r="83" spans="1:13">
      <c r="A83" s="9"/>
      <c r="B83" s="9"/>
      <c r="C83" s="10" t="s">
        <v>27</v>
      </c>
      <c r="D83" s="30"/>
      <c r="E83" s="10" t="s">
        <v>102</v>
      </c>
      <c r="F83" s="19">
        <v>1</v>
      </c>
      <c r="G83" s="20">
        <v>37.700000000000003</v>
      </c>
      <c r="H83" s="20">
        <v>0</v>
      </c>
      <c r="I83" s="20">
        <v>0</v>
      </c>
      <c r="J83" s="16">
        <f>OR(F83&lt;&gt;0,G83&lt;&gt;0,H83&lt;&gt;0,I83&lt;&gt;0)*(F83 + (F83 = 0))*(G83 + (G83 = 0))*(H83 + (H83 = 0))*(I83 + (I83 = 0))</f>
        <v>37.700000000000003</v>
      </c>
      <c r="K83" s="9"/>
      <c r="L83" s="9"/>
      <c r="M83" s="9"/>
    </row>
    <row r="84" spans="1:13">
      <c r="A84" s="9"/>
      <c r="B84" s="9"/>
      <c r="C84" s="10" t="s">
        <v>27</v>
      </c>
      <c r="D84" s="30"/>
      <c r="E84" s="10" t="s">
        <v>17</v>
      </c>
      <c r="F84" s="19">
        <v>1</v>
      </c>
      <c r="G84" s="20">
        <v>14.6</v>
      </c>
      <c r="H84" s="20">
        <v>0</v>
      </c>
      <c r="I84" s="20">
        <v>0</v>
      </c>
      <c r="J84" s="16">
        <f>OR(F84&lt;&gt;0,G84&lt;&gt;0,H84&lt;&gt;0,I84&lt;&gt;0)*(F84 + (F84 = 0))*(G84 + (G84 = 0))*(H84 + (H84 = 0))*(I84 + (I84 = 0))</f>
        <v>14.6</v>
      </c>
      <c r="K84" s="9"/>
      <c r="L84" s="9"/>
      <c r="M84" s="9"/>
    </row>
    <row r="85" spans="1:13">
      <c r="A85" s="9"/>
      <c r="B85" s="9"/>
      <c r="C85" s="10" t="s">
        <v>27</v>
      </c>
      <c r="D85" s="30"/>
      <c r="E85" s="10" t="s">
        <v>17</v>
      </c>
      <c r="F85" s="19">
        <v>1</v>
      </c>
      <c r="G85" s="20">
        <v>34.58</v>
      </c>
      <c r="H85" s="20">
        <v>0</v>
      </c>
      <c r="I85" s="20">
        <v>0</v>
      </c>
      <c r="J85" s="16">
        <f>OR(F85&lt;&gt;0,G85&lt;&gt;0,H85&lt;&gt;0,I85&lt;&gt;0)*(F85 + (F85 = 0))*(G85 + (G85 = 0))*(H85 + (H85 = 0))*(I85 + (I85 = 0))</f>
        <v>34.58</v>
      </c>
      <c r="K85" s="9"/>
      <c r="L85" s="9"/>
      <c r="M85" s="9"/>
    </row>
    <row r="86" spans="1:13">
      <c r="A86" s="9"/>
      <c r="B86" s="9"/>
      <c r="C86" s="10" t="s">
        <v>27</v>
      </c>
      <c r="D86" s="30"/>
      <c r="E86" s="10" t="s">
        <v>17</v>
      </c>
      <c r="F86" s="19">
        <v>1</v>
      </c>
      <c r="G86" s="20">
        <v>55.31</v>
      </c>
      <c r="H86" s="20">
        <v>0</v>
      </c>
      <c r="I86" s="20">
        <v>0</v>
      </c>
      <c r="J86" s="16">
        <f>OR(F86&lt;&gt;0,G86&lt;&gt;0,H86&lt;&gt;0,I86&lt;&gt;0)*(F86 + (F86 = 0))*(G86 + (G86 = 0))*(H86 + (H86 = 0))*(I86 + (I86 = 0))</f>
        <v>55.31</v>
      </c>
      <c r="K86" s="9"/>
      <c r="L86" s="9"/>
      <c r="M86" s="9"/>
    </row>
    <row r="87" spans="1:13">
      <c r="A87" s="9"/>
      <c r="B87" s="9"/>
      <c r="C87" s="10" t="s">
        <v>27</v>
      </c>
      <c r="D87" s="30"/>
      <c r="E87" s="10" t="s">
        <v>17</v>
      </c>
      <c r="F87" s="19">
        <v>1</v>
      </c>
      <c r="G87" s="20">
        <v>34.909999999999997</v>
      </c>
      <c r="H87" s="20">
        <v>0</v>
      </c>
      <c r="I87" s="20">
        <v>0</v>
      </c>
      <c r="J87" s="16">
        <f>OR(F87&lt;&gt;0,G87&lt;&gt;0,H87&lt;&gt;0,I87&lt;&gt;0)*(F87 + (F87 = 0))*(G87 + (G87 = 0))*(H87 + (H87 = 0))*(I87 + (I87 = 0))</f>
        <v>34.909999999999997</v>
      </c>
      <c r="K87" s="9"/>
      <c r="L87" s="9"/>
      <c r="M87" s="9"/>
    </row>
    <row r="88" spans="1:13">
      <c r="A88" s="9"/>
      <c r="B88" s="9"/>
      <c r="C88" s="10" t="s">
        <v>27</v>
      </c>
      <c r="D88" s="30"/>
      <c r="E88" s="10" t="s">
        <v>17</v>
      </c>
      <c r="F88" s="19">
        <v>1</v>
      </c>
      <c r="G88" s="20">
        <v>5.22</v>
      </c>
      <c r="H88" s="20">
        <v>0</v>
      </c>
      <c r="I88" s="20">
        <v>0</v>
      </c>
      <c r="J88" s="16">
        <f>OR(F88&lt;&gt;0,G88&lt;&gt;0,H88&lt;&gt;0,I88&lt;&gt;0)*(F88 + (F88 = 0))*(G88 + (G88 = 0))*(H88 + (H88 = 0))*(I88 + (I88 = 0))</f>
        <v>5.22</v>
      </c>
      <c r="K88" s="9"/>
      <c r="L88" s="9"/>
      <c r="M88" s="9"/>
    </row>
    <row r="89" spans="1:13">
      <c r="A89" s="9"/>
      <c r="B89" s="9"/>
      <c r="C89" s="9"/>
      <c r="D89" s="30"/>
      <c r="E89" s="9"/>
      <c r="F89" s="9"/>
      <c r="G89" s="9"/>
      <c r="H89" s="9"/>
      <c r="I89" s="9"/>
      <c r="J89" s="21" t="s">
        <v>103</v>
      </c>
      <c r="K89" s="22">
        <f>SUM(J83:J88)</f>
        <v>182.32</v>
      </c>
      <c r="L89" s="23">
        <v>0</v>
      </c>
      <c r="M89" s="24">
        <f>ROUND(K89*L89,2)</f>
        <v>0</v>
      </c>
    </row>
    <row r="90" spans="1:13" ht="0.95" customHeight="1">
      <c r="A90" s="25"/>
      <c r="B90" s="25"/>
      <c r="C90" s="25"/>
      <c r="D90" s="31"/>
      <c r="E90" s="25"/>
      <c r="F90" s="25"/>
      <c r="G90" s="25"/>
      <c r="H90" s="25"/>
      <c r="I90" s="25"/>
      <c r="J90" s="25"/>
      <c r="K90" s="25"/>
      <c r="L90" s="25"/>
      <c r="M90" s="25"/>
    </row>
    <row r="91" spans="1:13" ht="33.75">
      <c r="A91" s="15" t="s">
        <v>104</v>
      </c>
      <c r="B91" s="10" t="s">
        <v>23</v>
      </c>
      <c r="C91" s="10" t="s">
        <v>94</v>
      </c>
      <c r="D91" s="18" t="s">
        <v>105</v>
      </c>
      <c r="E91" s="9"/>
      <c r="F91" s="9"/>
      <c r="G91" s="9"/>
      <c r="H91" s="9"/>
      <c r="I91" s="9"/>
      <c r="J91" s="9"/>
      <c r="K91" s="16">
        <f>K99</f>
        <v>182.32</v>
      </c>
      <c r="L91" s="17">
        <f>L99</f>
        <v>0</v>
      </c>
      <c r="M91" s="17">
        <f>M99</f>
        <v>0</v>
      </c>
    </row>
    <row r="92" spans="1:13">
      <c r="A92" s="9"/>
      <c r="B92" s="9"/>
      <c r="C92" s="9"/>
      <c r="D92" s="18" t="s">
        <v>106</v>
      </c>
      <c r="E92" s="9"/>
      <c r="F92" s="9"/>
      <c r="G92" s="9"/>
      <c r="H92" s="9"/>
      <c r="I92" s="9"/>
      <c r="J92" s="9"/>
      <c r="K92" s="9"/>
      <c r="L92" s="9"/>
      <c r="M92" s="9"/>
    </row>
    <row r="93" spans="1:13">
      <c r="A93" s="9"/>
      <c r="B93" s="9"/>
      <c r="C93" s="10" t="s">
        <v>27</v>
      </c>
      <c r="D93" s="30"/>
      <c r="E93" s="10" t="s">
        <v>102</v>
      </c>
      <c r="F93" s="19">
        <v>1</v>
      </c>
      <c r="G93" s="20">
        <v>37.700000000000003</v>
      </c>
      <c r="H93" s="20">
        <v>0</v>
      </c>
      <c r="I93" s="20">
        <v>0</v>
      </c>
      <c r="J93" s="16">
        <f>OR(F93&lt;&gt;0,G93&lt;&gt;0,H93&lt;&gt;0,I93&lt;&gt;0)*(F93 + (F93 = 0))*(G93 + (G93 = 0))*(H93 + (H93 = 0))*(I93 + (I93 = 0))</f>
        <v>37.700000000000003</v>
      </c>
      <c r="K93" s="9"/>
      <c r="L93" s="9"/>
      <c r="M93" s="9"/>
    </row>
    <row r="94" spans="1:13">
      <c r="A94" s="9"/>
      <c r="B94" s="9"/>
      <c r="C94" s="10" t="s">
        <v>27</v>
      </c>
      <c r="D94" s="30"/>
      <c r="E94" s="10" t="s">
        <v>17</v>
      </c>
      <c r="F94" s="19">
        <v>1</v>
      </c>
      <c r="G94" s="20">
        <v>14.6</v>
      </c>
      <c r="H94" s="20">
        <v>0</v>
      </c>
      <c r="I94" s="20">
        <v>0</v>
      </c>
      <c r="J94" s="16">
        <f>OR(F94&lt;&gt;0,G94&lt;&gt;0,H94&lt;&gt;0,I94&lt;&gt;0)*(F94 + (F94 = 0))*(G94 + (G94 = 0))*(H94 + (H94 = 0))*(I94 + (I94 = 0))</f>
        <v>14.6</v>
      </c>
      <c r="K94" s="9"/>
      <c r="L94" s="9"/>
      <c r="M94" s="9"/>
    </row>
    <row r="95" spans="1:13">
      <c r="A95" s="9"/>
      <c r="B95" s="9"/>
      <c r="C95" s="10" t="s">
        <v>27</v>
      </c>
      <c r="D95" s="30"/>
      <c r="E95" s="10" t="s">
        <v>17</v>
      </c>
      <c r="F95" s="19">
        <v>1</v>
      </c>
      <c r="G95" s="20">
        <v>34.58</v>
      </c>
      <c r="H95" s="20">
        <v>0</v>
      </c>
      <c r="I95" s="20">
        <v>0</v>
      </c>
      <c r="J95" s="16">
        <f>OR(F95&lt;&gt;0,G95&lt;&gt;0,H95&lt;&gt;0,I95&lt;&gt;0)*(F95 + (F95 = 0))*(G95 + (G95 = 0))*(H95 + (H95 = 0))*(I95 + (I95 = 0))</f>
        <v>34.58</v>
      </c>
      <c r="K95" s="9"/>
      <c r="L95" s="9"/>
      <c r="M95" s="9"/>
    </row>
    <row r="96" spans="1:13">
      <c r="A96" s="9"/>
      <c r="B96" s="9"/>
      <c r="C96" s="10" t="s">
        <v>27</v>
      </c>
      <c r="D96" s="30"/>
      <c r="E96" s="10" t="s">
        <v>17</v>
      </c>
      <c r="F96" s="19">
        <v>1</v>
      </c>
      <c r="G96" s="20">
        <v>55.31</v>
      </c>
      <c r="H96" s="20">
        <v>0</v>
      </c>
      <c r="I96" s="20">
        <v>0</v>
      </c>
      <c r="J96" s="16">
        <f>OR(F96&lt;&gt;0,G96&lt;&gt;0,H96&lt;&gt;0,I96&lt;&gt;0)*(F96 + (F96 = 0))*(G96 + (G96 = 0))*(H96 + (H96 = 0))*(I96 + (I96 = 0))</f>
        <v>55.31</v>
      </c>
      <c r="K96" s="9"/>
      <c r="L96" s="9"/>
      <c r="M96" s="9"/>
    </row>
    <row r="97" spans="1:13">
      <c r="A97" s="9"/>
      <c r="B97" s="9"/>
      <c r="C97" s="10" t="s">
        <v>27</v>
      </c>
      <c r="D97" s="30"/>
      <c r="E97" s="10" t="s">
        <v>17</v>
      </c>
      <c r="F97" s="19">
        <v>1</v>
      </c>
      <c r="G97" s="20">
        <v>34.909999999999997</v>
      </c>
      <c r="H97" s="20">
        <v>0</v>
      </c>
      <c r="I97" s="20">
        <v>0</v>
      </c>
      <c r="J97" s="16">
        <f>OR(F97&lt;&gt;0,G97&lt;&gt;0,H97&lt;&gt;0,I97&lt;&gt;0)*(F97 + (F97 = 0))*(G97 + (G97 = 0))*(H97 + (H97 = 0))*(I97 + (I97 = 0))</f>
        <v>34.909999999999997</v>
      </c>
      <c r="K97" s="9"/>
      <c r="L97" s="9"/>
      <c r="M97" s="9"/>
    </row>
    <row r="98" spans="1:13">
      <c r="A98" s="9"/>
      <c r="B98" s="9"/>
      <c r="C98" s="10" t="s">
        <v>27</v>
      </c>
      <c r="D98" s="30"/>
      <c r="E98" s="10" t="s">
        <v>17</v>
      </c>
      <c r="F98" s="19">
        <v>1</v>
      </c>
      <c r="G98" s="20">
        <v>5.22</v>
      </c>
      <c r="H98" s="20">
        <v>0</v>
      </c>
      <c r="I98" s="20">
        <v>0</v>
      </c>
      <c r="J98" s="16">
        <f>OR(F98&lt;&gt;0,G98&lt;&gt;0,H98&lt;&gt;0,I98&lt;&gt;0)*(F98 + (F98 = 0))*(G98 + (G98 = 0))*(H98 + (H98 = 0))*(I98 + (I98 = 0))</f>
        <v>5.22</v>
      </c>
      <c r="K98" s="9"/>
      <c r="L98" s="9"/>
      <c r="M98" s="9"/>
    </row>
    <row r="99" spans="1:13">
      <c r="A99" s="9"/>
      <c r="B99" s="9"/>
      <c r="C99" s="9"/>
      <c r="D99" s="30"/>
      <c r="E99" s="9"/>
      <c r="F99" s="9"/>
      <c r="G99" s="9"/>
      <c r="H99" s="9"/>
      <c r="I99" s="9"/>
      <c r="J99" s="21" t="s">
        <v>107</v>
      </c>
      <c r="K99" s="22">
        <f>SUM(J93:J98)</f>
        <v>182.32</v>
      </c>
      <c r="L99" s="23">
        <v>0</v>
      </c>
      <c r="M99" s="24">
        <f>ROUND(K99*L99,2)</f>
        <v>0</v>
      </c>
    </row>
    <row r="100" spans="1:13" ht="0.95" customHeight="1">
      <c r="A100" s="25"/>
      <c r="B100" s="25"/>
      <c r="C100" s="25"/>
      <c r="D100" s="31"/>
      <c r="E100" s="25"/>
      <c r="F100" s="25"/>
      <c r="G100" s="25"/>
      <c r="H100" s="25"/>
      <c r="I100" s="25"/>
      <c r="J100" s="25"/>
      <c r="K100" s="25"/>
      <c r="L100" s="25"/>
      <c r="M100" s="25"/>
    </row>
    <row r="101" spans="1:13" ht="33.75">
      <c r="A101" s="15" t="s">
        <v>108</v>
      </c>
      <c r="B101" s="10" t="s">
        <v>23</v>
      </c>
      <c r="C101" s="10" t="s">
        <v>24</v>
      </c>
      <c r="D101" s="18" t="s">
        <v>109</v>
      </c>
      <c r="E101" s="9"/>
      <c r="F101" s="9"/>
      <c r="G101" s="9"/>
      <c r="H101" s="9"/>
      <c r="I101" s="9"/>
      <c r="J101" s="9"/>
      <c r="K101" s="16">
        <f>K107</f>
        <v>0.76500000000000001</v>
      </c>
      <c r="L101" s="17">
        <f>L107</f>
        <v>0</v>
      </c>
      <c r="M101" s="17">
        <f>M107</f>
        <v>0</v>
      </c>
    </row>
    <row r="102" spans="1:13">
      <c r="A102" s="9"/>
      <c r="B102" s="9"/>
      <c r="C102" s="9"/>
      <c r="D102" s="18" t="s">
        <v>110</v>
      </c>
      <c r="E102" s="9"/>
      <c r="F102" s="9"/>
      <c r="G102" s="9"/>
      <c r="H102" s="9"/>
      <c r="I102" s="9"/>
      <c r="J102" s="9"/>
      <c r="K102" s="9"/>
      <c r="L102" s="9"/>
      <c r="M102" s="9"/>
    </row>
    <row r="103" spans="1:13">
      <c r="A103" s="9"/>
      <c r="B103" s="9"/>
      <c r="C103" s="10" t="s">
        <v>27</v>
      </c>
      <c r="D103" s="30"/>
      <c r="E103" s="10" t="s">
        <v>111</v>
      </c>
      <c r="F103" s="19"/>
      <c r="G103" s="20"/>
      <c r="H103" s="20"/>
      <c r="I103" s="20"/>
      <c r="J103" s="16">
        <f>OR(F103&lt;&gt;0,G103&lt;&gt;0,H103&lt;&gt;0,I103&lt;&gt;0)*(F103 + (F103 = 0))*(G103 + (G103 = 0))*(H103 + (H103 = 0))*(I103 + (I103 = 0))</f>
        <v>0</v>
      </c>
      <c r="K103" s="9"/>
      <c r="L103" s="9"/>
      <c r="M103" s="9"/>
    </row>
    <row r="104" spans="1:13">
      <c r="A104" s="9"/>
      <c r="B104" s="9"/>
      <c r="C104" s="10" t="s">
        <v>27</v>
      </c>
      <c r="D104" s="30"/>
      <c r="E104" s="10" t="s">
        <v>17</v>
      </c>
      <c r="F104" s="19">
        <v>1</v>
      </c>
      <c r="G104" s="20">
        <v>1.77</v>
      </c>
      <c r="H104" s="20">
        <v>0.25</v>
      </c>
      <c r="I104" s="20">
        <v>0.3</v>
      </c>
      <c r="J104" s="16">
        <f>OR(F104&lt;&gt;0,G104&lt;&gt;0,H104&lt;&gt;0,I104&lt;&gt;0)*(F104 + (F104 = 0))*(G104 + (G104 = 0))*(H104 + (H104 = 0))*(I104 + (I104 = 0))</f>
        <v>0.13300000000000001</v>
      </c>
      <c r="K104" s="9"/>
      <c r="L104" s="9"/>
      <c r="M104" s="9"/>
    </row>
    <row r="105" spans="1:13">
      <c r="A105" s="9"/>
      <c r="B105" s="9"/>
      <c r="C105" s="10" t="s">
        <v>27</v>
      </c>
      <c r="D105" s="30"/>
      <c r="E105" s="10" t="s">
        <v>17</v>
      </c>
      <c r="F105" s="19">
        <v>1</v>
      </c>
      <c r="G105" s="20">
        <v>7.7</v>
      </c>
      <c r="H105" s="20">
        <v>0.25</v>
      </c>
      <c r="I105" s="20">
        <v>0.3</v>
      </c>
      <c r="J105" s="16">
        <f>OR(F105&lt;&gt;0,G105&lt;&gt;0,H105&lt;&gt;0,I105&lt;&gt;0)*(F105 + (F105 = 0))*(G105 + (G105 = 0))*(H105 + (H105 = 0))*(I105 + (I105 = 0))</f>
        <v>0.57799999999999996</v>
      </c>
      <c r="K105" s="9"/>
      <c r="L105" s="9"/>
      <c r="M105" s="9"/>
    </row>
    <row r="106" spans="1:13">
      <c r="A106" s="9"/>
      <c r="B106" s="9"/>
      <c r="C106" s="10" t="s">
        <v>27</v>
      </c>
      <c r="D106" s="30"/>
      <c r="E106" s="10" t="s">
        <v>17</v>
      </c>
      <c r="F106" s="19">
        <v>1</v>
      </c>
      <c r="G106" s="20">
        <v>1.5</v>
      </c>
      <c r="H106" s="20">
        <v>0.12</v>
      </c>
      <c r="I106" s="20">
        <v>0.3</v>
      </c>
      <c r="J106" s="16">
        <f>OR(F106&lt;&gt;0,G106&lt;&gt;0,H106&lt;&gt;0,I106&lt;&gt;0)*(F106 + (F106 = 0))*(G106 + (G106 = 0))*(H106 + (H106 = 0))*(I106 + (I106 = 0))</f>
        <v>5.3999999999999999E-2</v>
      </c>
      <c r="K106" s="9"/>
      <c r="L106" s="9"/>
      <c r="M106" s="9"/>
    </row>
    <row r="107" spans="1:13">
      <c r="A107" s="9"/>
      <c r="B107" s="9"/>
      <c r="C107" s="9"/>
      <c r="D107" s="30"/>
      <c r="E107" s="9"/>
      <c r="F107" s="9"/>
      <c r="G107" s="9"/>
      <c r="H107" s="9"/>
      <c r="I107" s="9"/>
      <c r="J107" s="21" t="s">
        <v>112</v>
      </c>
      <c r="K107" s="22">
        <f>SUM(J103:J106)</f>
        <v>0.76500000000000001</v>
      </c>
      <c r="L107" s="23">
        <v>0</v>
      </c>
      <c r="M107" s="24">
        <f>ROUND(K107*L107,2)</f>
        <v>0</v>
      </c>
    </row>
    <row r="108" spans="1:13" ht="0.95" customHeight="1">
      <c r="A108" s="25"/>
      <c r="B108" s="25"/>
      <c r="C108" s="25"/>
      <c r="D108" s="31"/>
      <c r="E108" s="25"/>
      <c r="F108" s="25"/>
      <c r="G108" s="25"/>
      <c r="H108" s="25"/>
      <c r="I108" s="25"/>
      <c r="J108" s="25"/>
      <c r="K108" s="25"/>
      <c r="L108" s="25"/>
      <c r="M108" s="25"/>
    </row>
    <row r="109" spans="1:13">
      <c r="A109" s="9"/>
      <c r="B109" s="9"/>
      <c r="C109" s="9"/>
      <c r="D109" s="30"/>
      <c r="E109" s="9"/>
      <c r="F109" s="9"/>
      <c r="G109" s="9"/>
      <c r="H109" s="9"/>
      <c r="I109" s="9"/>
      <c r="J109" s="21" t="s">
        <v>113</v>
      </c>
      <c r="K109" s="20">
        <v>1</v>
      </c>
      <c r="L109" s="24">
        <f>M76+M81+M91+M101</f>
        <v>0</v>
      </c>
      <c r="M109" s="24">
        <f>ROUND(K109*L109,2)</f>
        <v>0</v>
      </c>
    </row>
    <row r="110" spans="1:13" ht="0.95" customHeight="1">
      <c r="A110" s="25"/>
      <c r="B110" s="25"/>
      <c r="C110" s="25"/>
      <c r="D110" s="31"/>
      <c r="E110" s="25"/>
      <c r="F110" s="25"/>
      <c r="G110" s="25"/>
      <c r="H110" s="25"/>
      <c r="I110" s="25"/>
      <c r="J110" s="25"/>
      <c r="K110" s="25"/>
      <c r="L110" s="25"/>
      <c r="M110" s="25"/>
    </row>
    <row r="111" spans="1:13">
      <c r="A111" s="11" t="s">
        <v>114</v>
      </c>
      <c r="B111" s="11" t="s">
        <v>16</v>
      </c>
      <c r="C111" s="11" t="s">
        <v>17</v>
      </c>
      <c r="D111" s="29" t="s">
        <v>115</v>
      </c>
      <c r="E111" s="12"/>
      <c r="F111" s="12"/>
      <c r="G111" s="12"/>
      <c r="H111" s="12"/>
      <c r="I111" s="12"/>
      <c r="J111" s="12"/>
      <c r="K111" s="13">
        <f>K117</f>
        <v>1</v>
      </c>
      <c r="L111" s="14">
        <f>L117</f>
        <v>0</v>
      </c>
      <c r="M111" s="14">
        <f>M117</f>
        <v>0</v>
      </c>
    </row>
    <row r="112" spans="1:13" ht="22.5">
      <c r="A112" s="15" t="s">
        <v>116</v>
      </c>
      <c r="B112" s="10" t="s">
        <v>23</v>
      </c>
      <c r="C112" s="10" t="s">
        <v>117</v>
      </c>
      <c r="D112" s="18" t="s">
        <v>118</v>
      </c>
      <c r="E112" s="9"/>
      <c r="F112" s="9"/>
      <c r="G112" s="9"/>
      <c r="H112" s="9"/>
      <c r="I112" s="9"/>
      <c r="J112" s="9"/>
      <c r="K112" s="16">
        <f>K115</f>
        <v>0.11</v>
      </c>
      <c r="L112" s="17">
        <f>L115</f>
        <v>0</v>
      </c>
      <c r="M112" s="17">
        <f>M115</f>
        <v>0</v>
      </c>
    </row>
    <row r="113" spans="1:13" ht="45">
      <c r="A113" s="9"/>
      <c r="B113" s="9"/>
      <c r="C113" s="9"/>
      <c r="D113" s="18" t="s">
        <v>119</v>
      </c>
      <c r="E113" s="9"/>
      <c r="F113" s="9"/>
      <c r="G113" s="9"/>
      <c r="H113" s="9"/>
      <c r="I113" s="9"/>
      <c r="J113" s="9"/>
      <c r="K113" s="9"/>
      <c r="L113" s="9"/>
      <c r="M113" s="9"/>
    </row>
    <row r="114" spans="1:13">
      <c r="A114" s="9"/>
      <c r="B114" s="9"/>
      <c r="C114" s="10" t="s">
        <v>27</v>
      </c>
      <c r="D114" s="30"/>
      <c r="E114" s="10" t="s">
        <v>120</v>
      </c>
      <c r="F114" s="19">
        <v>1</v>
      </c>
      <c r="G114" s="23">
        <v>3</v>
      </c>
      <c r="H114" s="23">
        <v>0.25</v>
      </c>
      <c r="I114" s="23">
        <v>0.15</v>
      </c>
      <c r="J114" s="17">
        <f>OR(F114&lt;&gt;0,G114&lt;&gt;0,H114&lt;&gt;0,I114&lt;&gt;0)*(F114 + (F114 = 0))*(G114 + (G114 = 0))*(H114 + (H114 = 0))*(I114 + (I114 = 0))</f>
        <v>0.11</v>
      </c>
      <c r="K114" s="9"/>
      <c r="L114" s="9"/>
      <c r="M114" s="9"/>
    </row>
    <row r="115" spans="1:13">
      <c r="A115" s="9"/>
      <c r="B115" s="9"/>
      <c r="C115" s="9"/>
      <c r="D115" s="30"/>
      <c r="E115" s="9"/>
      <c r="F115" s="9"/>
      <c r="G115" s="9"/>
      <c r="H115" s="9"/>
      <c r="I115" s="9"/>
      <c r="J115" s="21" t="s">
        <v>121</v>
      </c>
      <c r="K115" s="22">
        <f>J114</f>
        <v>0.11</v>
      </c>
      <c r="L115" s="23">
        <v>0</v>
      </c>
      <c r="M115" s="24">
        <f>ROUND(K115*L115,2)</f>
        <v>0</v>
      </c>
    </row>
    <row r="116" spans="1:13" ht="0.95" customHeight="1">
      <c r="A116" s="25"/>
      <c r="B116" s="25"/>
      <c r="C116" s="25"/>
      <c r="D116" s="31"/>
      <c r="E116" s="25"/>
      <c r="F116" s="25"/>
      <c r="G116" s="25"/>
      <c r="H116" s="25"/>
      <c r="I116" s="25"/>
      <c r="J116" s="25"/>
      <c r="K116" s="25"/>
      <c r="L116" s="25"/>
      <c r="M116" s="25"/>
    </row>
    <row r="117" spans="1:13">
      <c r="A117" s="9"/>
      <c r="B117" s="9"/>
      <c r="C117" s="9"/>
      <c r="D117" s="30"/>
      <c r="E117" s="9"/>
      <c r="F117" s="9"/>
      <c r="G117" s="9"/>
      <c r="H117" s="9"/>
      <c r="I117" s="9"/>
      <c r="J117" s="21" t="s">
        <v>122</v>
      </c>
      <c r="K117" s="20">
        <v>1</v>
      </c>
      <c r="L117" s="24">
        <f>M112</f>
        <v>0</v>
      </c>
      <c r="M117" s="24">
        <f>ROUND(K117*L117,2)</f>
        <v>0</v>
      </c>
    </row>
    <row r="118" spans="1:13" ht="0.95" customHeight="1">
      <c r="A118" s="25"/>
      <c r="B118" s="25"/>
      <c r="C118" s="25"/>
      <c r="D118" s="31"/>
      <c r="E118" s="25"/>
      <c r="F118" s="25"/>
      <c r="G118" s="25"/>
      <c r="H118" s="25"/>
      <c r="I118" s="25"/>
      <c r="J118" s="25"/>
      <c r="K118" s="25"/>
      <c r="L118" s="25"/>
      <c r="M118" s="25"/>
    </row>
    <row r="119" spans="1:13">
      <c r="A119" s="9"/>
      <c r="B119" s="9"/>
      <c r="C119" s="9"/>
      <c r="D119" s="30"/>
      <c r="E119" s="9"/>
      <c r="F119" s="9"/>
      <c r="G119" s="9"/>
      <c r="H119" s="9"/>
      <c r="I119" s="9"/>
      <c r="J119" s="21" t="s">
        <v>123</v>
      </c>
      <c r="K119" s="26">
        <v>1</v>
      </c>
      <c r="L119" s="24">
        <f>M6+M42+M75+M111</f>
        <v>0</v>
      </c>
      <c r="M119" s="24">
        <f>ROUND(K119*L119,2)</f>
        <v>0</v>
      </c>
    </row>
    <row r="120" spans="1:13" ht="0.95" customHeight="1">
      <c r="A120" s="25"/>
      <c r="B120" s="25"/>
      <c r="C120" s="25"/>
      <c r="D120" s="31"/>
      <c r="E120" s="25"/>
      <c r="F120" s="25"/>
      <c r="G120" s="25"/>
      <c r="H120" s="25"/>
      <c r="I120" s="25"/>
      <c r="J120" s="25"/>
      <c r="K120" s="25"/>
      <c r="L120" s="25"/>
      <c r="M120" s="25"/>
    </row>
    <row r="121" spans="1:13">
      <c r="A121" s="5" t="s">
        <v>124</v>
      </c>
      <c r="B121" s="5" t="s">
        <v>16</v>
      </c>
      <c r="C121" s="5" t="s">
        <v>17</v>
      </c>
      <c r="D121" s="28" t="s">
        <v>125</v>
      </c>
      <c r="E121" s="6"/>
      <c r="F121" s="6"/>
      <c r="G121" s="6"/>
      <c r="H121" s="6"/>
      <c r="I121" s="6"/>
      <c r="J121" s="6"/>
      <c r="K121" s="7">
        <f>K131</f>
        <v>1</v>
      </c>
      <c r="L121" s="8">
        <f>L131</f>
        <v>0</v>
      </c>
      <c r="M121" s="8">
        <f>M131</f>
        <v>0</v>
      </c>
    </row>
    <row r="122" spans="1:13">
      <c r="A122" s="11" t="s">
        <v>126</v>
      </c>
      <c r="B122" s="11" t="s">
        <v>16</v>
      </c>
      <c r="C122" s="11" t="s">
        <v>17</v>
      </c>
      <c r="D122" s="29" t="s">
        <v>127</v>
      </c>
      <c r="E122" s="12"/>
      <c r="F122" s="12"/>
      <c r="G122" s="12"/>
      <c r="H122" s="12"/>
      <c r="I122" s="12"/>
      <c r="J122" s="12"/>
      <c r="K122" s="13">
        <f>K129</f>
        <v>1</v>
      </c>
      <c r="L122" s="14">
        <f>L129</f>
        <v>0</v>
      </c>
      <c r="M122" s="14">
        <f>M129</f>
        <v>0</v>
      </c>
    </row>
    <row r="123" spans="1:13" ht="33.75">
      <c r="A123" s="15" t="s">
        <v>128</v>
      </c>
      <c r="B123" s="10" t="s">
        <v>23</v>
      </c>
      <c r="C123" s="10" t="s">
        <v>94</v>
      </c>
      <c r="D123" s="18" t="s">
        <v>129</v>
      </c>
      <c r="E123" s="9"/>
      <c r="F123" s="9"/>
      <c r="G123" s="9"/>
      <c r="H123" s="9"/>
      <c r="I123" s="9"/>
      <c r="J123" s="9"/>
      <c r="K123" s="16">
        <f>K127</f>
        <v>34.049999999999997</v>
      </c>
      <c r="L123" s="17">
        <f>L127</f>
        <v>0</v>
      </c>
      <c r="M123" s="17">
        <f>M127</f>
        <v>0</v>
      </c>
    </row>
    <row r="124" spans="1:13">
      <c r="A124" s="9"/>
      <c r="B124" s="9"/>
      <c r="C124" s="9"/>
      <c r="D124" s="18" t="s">
        <v>130</v>
      </c>
      <c r="E124" s="9"/>
      <c r="F124" s="9"/>
      <c r="G124" s="9"/>
      <c r="H124" s="9"/>
      <c r="I124" s="9"/>
      <c r="J124" s="9"/>
      <c r="K124" s="9"/>
      <c r="L124" s="9"/>
      <c r="M124" s="9"/>
    </row>
    <row r="125" spans="1:13">
      <c r="A125" s="9"/>
      <c r="B125" s="9"/>
      <c r="C125" s="10" t="s">
        <v>27</v>
      </c>
      <c r="D125" s="30"/>
      <c r="E125" s="10" t="s">
        <v>131</v>
      </c>
      <c r="F125" s="19"/>
      <c r="G125" s="20"/>
      <c r="H125" s="20"/>
      <c r="I125" s="20"/>
      <c r="J125" s="16">
        <f>OR(F125&lt;&gt;0,G125&lt;&gt;0,H125&lt;&gt;0,I125&lt;&gt;0)*(F125 + (F125 = 0))*(G125 + (G125 = 0))*(H125 + (H125 = 0))*(I125 + (I125 = 0))</f>
        <v>0</v>
      </c>
      <c r="K125" s="9"/>
      <c r="L125" s="9"/>
      <c r="M125" s="9"/>
    </row>
    <row r="126" spans="1:13">
      <c r="A126" s="9"/>
      <c r="B126" s="9"/>
      <c r="C126" s="10" t="s">
        <v>27</v>
      </c>
      <c r="D126" s="30"/>
      <c r="E126" s="10" t="s">
        <v>132</v>
      </c>
      <c r="F126" s="19">
        <v>1</v>
      </c>
      <c r="G126" s="20">
        <v>34.049999999999997</v>
      </c>
      <c r="H126" s="20">
        <v>1</v>
      </c>
      <c r="I126" s="20">
        <v>0</v>
      </c>
      <c r="J126" s="16">
        <f>OR(F126&lt;&gt;0,G126&lt;&gt;0,H126&lt;&gt;0,I126&lt;&gt;0)*(F126 + (F126 = 0))*(G126 + (G126 = 0))*(H126 + (H126 = 0))*(I126 + (I126 = 0))</f>
        <v>34.049999999999997</v>
      </c>
      <c r="K126" s="9"/>
      <c r="L126" s="9"/>
      <c r="M126" s="9"/>
    </row>
    <row r="127" spans="1:13">
      <c r="A127" s="9"/>
      <c r="B127" s="9"/>
      <c r="C127" s="9"/>
      <c r="D127" s="30"/>
      <c r="E127" s="9"/>
      <c r="F127" s="9"/>
      <c r="G127" s="9"/>
      <c r="H127" s="9"/>
      <c r="I127" s="9"/>
      <c r="J127" s="21" t="s">
        <v>133</v>
      </c>
      <c r="K127" s="22">
        <f>SUM(J125:J126)</f>
        <v>34.049999999999997</v>
      </c>
      <c r="L127" s="23">
        <v>0</v>
      </c>
      <c r="M127" s="24">
        <f>ROUND(K127*L127,2)</f>
        <v>0</v>
      </c>
    </row>
    <row r="128" spans="1:13" ht="0.95" customHeight="1">
      <c r="A128" s="25"/>
      <c r="B128" s="25"/>
      <c r="C128" s="25"/>
      <c r="D128" s="31"/>
      <c r="E128" s="25"/>
      <c r="F128" s="25"/>
      <c r="G128" s="25"/>
      <c r="H128" s="25"/>
      <c r="I128" s="25"/>
      <c r="J128" s="25"/>
      <c r="K128" s="25"/>
      <c r="L128" s="25"/>
      <c r="M128" s="25"/>
    </row>
    <row r="129" spans="1:13">
      <c r="A129" s="9"/>
      <c r="B129" s="9"/>
      <c r="C129" s="9"/>
      <c r="D129" s="30"/>
      <c r="E129" s="9"/>
      <c r="F129" s="9"/>
      <c r="G129" s="9"/>
      <c r="H129" s="9"/>
      <c r="I129" s="9"/>
      <c r="J129" s="21" t="s">
        <v>134</v>
      </c>
      <c r="K129" s="20">
        <v>1</v>
      </c>
      <c r="L129" s="24">
        <f>M123</f>
        <v>0</v>
      </c>
      <c r="M129" s="24">
        <f>ROUND(K129*L129,2)</f>
        <v>0</v>
      </c>
    </row>
    <row r="130" spans="1:13" ht="0.95" customHeight="1">
      <c r="A130" s="25"/>
      <c r="B130" s="25"/>
      <c r="C130" s="25"/>
      <c r="D130" s="31"/>
      <c r="E130" s="25"/>
      <c r="F130" s="25"/>
      <c r="G130" s="25"/>
      <c r="H130" s="25"/>
      <c r="I130" s="25"/>
      <c r="J130" s="25"/>
      <c r="K130" s="25"/>
      <c r="L130" s="25"/>
      <c r="M130" s="25"/>
    </row>
    <row r="131" spans="1:13">
      <c r="A131" s="9"/>
      <c r="B131" s="9"/>
      <c r="C131" s="9"/>
      <c r="D131" s="30"/>
      <c r="E131" s="9"/>
      <c r="F131" s="9"/>
      <c r="G131" s="9"/>
      <c r="H131" s="9"/>
      <c r="I131" s="9"/>
      <c r="J131" s="21" t="s">
        <v>135</v>
      </c>
      <c r="K131" s="26">
        <v>1</v>
      </c>
      <c r="L131" s="24">
        <f>M122</f>
        <v>0</v>
      </c>
      <c r="M131" s="24">
        <f>ROUND(K131*L131,2)</f>
        <v>0</v>
      </c>
    </row>
    <row r="132" spans="1:13" ht="0.95" customHeight="1">
      <c r="A132" s="25"/>
      <c r="B132" s="25"/>
      <c r="C132" s="25"/>
      <c r="D132" s="31"/>
      <c r="E132" s="25"/>
      <c r="F132" s="25"/>
      <c r="G132" s="25"/>
      <c r="H132" s="25"/>
      <c r="I132" s="25"/>
      <c r="J132" s="25"/>
      <c r="K132" s="25"/>
      <c r="L132" s="25"/>
      <c r="M132" s="25"/>
    </row>
    <row r="133" spans="1:13">
      <c r="A133" s="5" t="s">
        <v>136</v>
      </c>
      <c r="B133" s="5" t="s">
        <v>16</v>
      </c>
      <c r="C133" s="5" t="s">
        <v>17</v>
      </c>
      <c r="D133" s="28" t="s">
        <v>137</v>
      </c>
      <c r="E133" s="6"/>
      <c r="F133" s="6"/>
      <c r="G133" s="6"/>
      <c r="H133" s="6"/>
      <c r="I133" s="6"/>
      <c r="J133" s="6"/>
      <c r="K133" s="7">
        <f>K232</f>
        <v>1</v>
      </c>
      <c r="L133" s="8">
        <f>L232</f>
        <v>0</v>
      </c>
      <c r="M133" s="8">
        <f>M232</f>
        <v>0</v>
      </c>
    </row>
    <row r="134" spans="1:13">
      <c r="A134" s="11" t="s">
        <v>138</v>
      </c>
      <c r="B134" s="11" t="s">
        <v>16</v>
      </c>
      <c r="C134" s="11" t="s">
        <v>17</v>
      </c>
      <c r="D134" s="29" t="s">
        <v>139</v>
      </c>
      <c r="E134" s="12"/>
      <c r="F134" s="12"/>
      <c r="G134" s="12"/>
      <c r="H134" s="12"/>
      <c r="I134" s="12"/>
      <c r="J134" s="12"/>
      <c r="K134" s="13">
        <f>K179</f>
        <v>1</v>
      </c>
      <c r="L134" s="14">
        <f>L179</f>
        <v>0</v>
      </c>
      <c r="M134" s="14">
        <f>M179</f>
        <v>0</v>
      </c>
    </row>
    <row r="135" spans="1:13" ht="45">
      <c r="A135" s="15" t="s">
        <v>140</v>
      </c>
      <c r="B135" s="10" t="s">
        <v>23</v>
      </c>
      <c r="C135" s="10" t="s">
        <v>141</v>
      </c>
      <c r="D135" s="18" t="s">
        <v>142</v>
      </c>
      <c r="E135" s="9"/>
      <c r="F135" s="9"/>
      <c r="G135" s="9"/>
      <c r="H135" s="9"/>
      <c r="I135" s="9"/>
      <c r="J135" s="9"/>
      <c r="K135" s="16">
        <f>K143</f>
        <v>2457.98</v>
      </c>
      <c r="L135" s="17">
        <f>L143</f>
        <v>0</v>
      </c>
      <c r="M135" s="17">
        <f>M143</f>
        <v>0</v>
      </c>
    </row>
    <row r="136" spans="1:13">
      <c r="A136" s="9"/>
      <c r="B136" s="9"/>
      <c r="C136" s="9"/>
      <c r="D136" s="18" t="s">
        <v>143</v>
      </c>
      <c r="E136" s="9"/>
      <c r="F136" s="9"/>
      <c r="G136" s="9"/>
      <c r="H136" s="9"/>
      <c r="I136" s="9"/>
      <c r="J136" s="9"/>
      <c r="K136" s="9"/>
      <c r="L136" s="9"/>
      <c r="M136" s="9"/>
    </row>
    <row r="137" spans="1:13">
      <c r="A137" s="9"/>
      <c r="B137" s="9"/>
      <c r="C137" s="10" t="s">
        <v>27</v>
      </c>
      <c r="D137" s="30"/>
      <c r="E137" s="10" t="s">
        <v>144</v>
      </c>
      <c r="F137" s="19">
        <v>7</v>
      </c>
      <c r="G137" s="20">
        <v>5.75</v>
      </c>
      <c r="H137" s="20">
        <v>18.8</v>
      </c>
      <c r="I137" s="20">
        <v>0</v>
      </c>
      <c r="J137" s="16">
        <f>OR(F137&lt;&gt;0,G137&lt;&gt;0,H137&lt;&gt;0,I137&lt;&gt;0)*(F137 + (F137 = 0))*(G137 + (G137 = 0))*(H137 + (H137 = 0))*(I137 + (I137 = 0))</f>
        <v>756.7</v>
      </c>
      <c r="K137" s="9"/>
      <c r="L137" s="9"/>
      <c r="M137" s="9"/>
    </row>
    <row r="138" spans="1:13">
      <c r="A138" s="9"/>
      <c r="B138" s="9"/>
      <c r="C138" s="10" t="s">
        <v>27</v>
      </c>
      <c r="D138" s="30"/>
      <c r="E138" s="10" t="s">
        <v>17</v>
      </c>
      <c r="F138" s="19">
        <v>3</v>
      </c>
      <c r="G138" s="20">
        <v>2.1</v>
      </c>
      <c r="H138" s="20">
        <v>18.8</v>
      </c>
      <c r="I138" s="20">
        <v>0</v>
      </c>
      <c r="J138" s="16">
        <f>OR(F138&lt;&gt;0,G138&lt;&gt;0,H138&lt;&gt;0,I138&lt;&gt;0)*(F138 + (F138 = 0))*(G138 + (G138 = 0))*(H138 + (H138 = 0))*(I138 + (I138 = 0))</f>
        <v>118.44</v>
      </c>
      <c r="K138" s="9"/>
      <c r="L138" s="9"/>
      <c r="M138" s="9"/>
    </row>
    <row r="139" spans="1:13">
      <c r="A139" s="9"/>
      <c r="B139" s="9"/>
      <c r="C139" s="10" t="s">
        <v>27</v>
      </c>
      <c r="D139" s="30"/>
      <c r="E139" s="10" t="s">
        <v>17</v>
      </c>
      <c r="F139" s="19">
        <v>11</v>
      </c>
      <c r="G139" s="20">
        <v>6.5</v>
      </c>
      <c r="H139" s="20">
        <v>18.8</v>
      </c>
      <c r="I139" s="20">
        <v>0</v>
      </c>
      <c r="J139" s="16">
        <f>OR(F139&lt;&gt;0,G139&lt;&gt;0,H139&lt;&gt;0,I139&lt;&gt;0)*(F139 + (F139 = 0))*(G139 + (G139 = 0))*(H139 + (H139 = 0))*(I139 + (I139 = 0))</f>
        <v>1344.2</v>
      </c>
      <c r="K139" s="9"/>
      <c r="L139" s="9"/>
      <c r="M139" s="9"/>
    </row>
    <row r="140" spans="1:13">
      <c r="A140" s="9"/>
      <c r="B140" s="9"/>
      <c r="C140" s="10" t="s">
        <v>27</v>
      </c>
      <c r="D140" s="30"/>
      <c r="E140" s="10" t="s">
        <v>17</v>
      </c>
      <c r="F140" s="19">
        <v>2</v>
      </c>
      <c r="G140" s="20">
        <v>3.1</v>
      </c>
      <c r="H140" s="20">
        <v>18.8</v>
      </c>
      <c r="I140" s="20">
        <v>0</v>
      </c>
      <c r="J140" s="16">
        <f>OR(F140&lt;&gt;0,G140&lt;&gt;0,H140&lt;&gt;0,I140&lt;&gt;0)*(F140 + (F140 = 0))*(G140 + (G140 = 0))*(H140 + (H140 = 0))*(I140 + (I140 = 0))</f>
        <v>116.56</v>
      </c>
      <c r="K140" s="9"/>
      <c r="L140" s="9"/>
      <c r="M140" s="9"/>
    </row>
    <row r="141" spans="1:13">
      <c r="A141" s="9"/>
      <c r="B141" s="9"/>
      <c r="C141" s="10" t="s">
        <v>27</v>
      </c>
      <c r="D141" s="30"/>
      <c r="E141" s="10" t="s">
        <v>145</v>
      </c>
      <c r="F141" s="19">
        <v>1</v>
      </c>
      <c r="G141" s="20">
        <v>4.25</v>
      </c>
      <c r="H141" s="20">
        <v>22.4</v>
      </c>
      <c r="I141" s="20">
        <v>0</v>
      </c>
      <c r="J141" s="16">
        <f>OR(F141&lt;&gt;0,G141&lt;&gt;0,H141&lt;&gt;0,I141&lt;&gt;0)*(F141 + (F141 = 0))*(G141 + (G141 = 0))*(H141 + (H141 = 0))*(I141 + (I141 = 0))</f>
        <v>95.2</v>
      </c>
      <c r="K141" s="9"/>
      <c r="L141" s="9"/>
      <c r="M141" s="9"/>
    </row>
    <row r="142" spans="1:13">
      <c r="A142" s="9"/>
      <c r="B142" s="9"/>
      <c r="C142" s="10" t="s">
        <v>27</v>
      </c>
      <c r="D142" s="30"/>
      <c r="E142" s="10" t="s">
        <v>17</v>
      </c>
      <c r="F142" s="19">
        <v>1</v>
      </c>
      <c r="G142" s="20">
        <v>1.2</v>
      </c>
      <c r="H142" s="20">
        <v>22.4</v>
      </c>
      <c r="I142" s="20">
        <v>0</v>
      </c>
      <c r="J142" s="16">
        <f>OR(F142&lt;&gt;0,G142&lt;&gt;0,H142&lt;&gt;0,I142&lt;&gt;0)*(F142 + (F142 = 0))*(G142 + (G142 = 0))*(H142 + (H142 = 0))*(I142 + (I142 = 0))</f>
        <v>26.88</v>
      </c>
      <c r="K142" s="9"/>
      <c r="L142" s="9"/>
      <c r="M142" s="9"/>
    </row>
    <row r="143" spans="1:13">
      <c r="A143" s="9"/>
      <c r="B143" s="9"/>
      <c r="C143" s="9"/>
      <c r="D143" s="30"/>
      <c r="E143" s="9"/>
      <c r="F143" s="9"/>
      <c r="G143" s="9"/>
      <c r="H143" s="9"/>
      <c r="I143" s="9"/>
      <c r="J143" s="21" t="s">
        <v>146</v>
      </c>
      <c r="K143" s="22">
        <f>SUM(J137:J142)</f>
        <v>2457.98</v>
      </c>
      <c r="L143" s="23">
        <v>0</v>
      </c>
      <c r="M143" s="24">
        <f>ROUND(K143*L143,2)</f>
        <v>0</v>
      </c>
    </row>
    <row r="144" spans="1:13" ht="0.95" customHeight="1">
      <c r="A144" s="25"/>
      <c r="B144" s="25"/>
      <c r="C144" s="25"/>
      <c r="D144" s="31"/>
      <c r="E144" s="25"/>
      <c r="F144" s="25"/>
      <c r="G144" s="25"/>
      <c r="H144" s="25"/>
      <c r="I144" s="25"/>
      <c r="J144" s="25"/>
      <c r="K144" s="25"/>
      <c r="L144" s="25"/>
      <c r="M144" s="25"/>
    </row>
    <row r="145" spans="1:13" ht="45">
      <c r="A145" s="15" t="s">
        <v>147</v>
      </c>
      <c r="B145" s="10" t="s">
        <v>23</v>
      </c>
      <c r="C145" s="10" t="s">
        <v>141</v>
      </c>
      <c r="D145" s="18" t="s">
        <v>148</v>
      </c>
      <c r="E145" s="9"/>
      <c r="F145" s="9"/>
      <c r="G145" s="9"/>
      <c r="H145" s="9"/>
      <c r="I145" s="9"/>
      <c r="J145" s="9"/>
      <c r="K145" s="16">
        <f>K150</f>
        <v>156.06</v>
      </c>
      <c r="L145" s="17">
        <f>L150</f>
        <v>0</v>
      </c>
      <c r="M145" s="17">
        <f>M150</f>
        <v>0</v>
      </c>
    </row>
    <row r="146" spans="1:13">
      <c r="A146" s="9"/>
      <c r="B146" s="9"/>
      <c r="C146" s="9"/>
      <c r="D146" s="18" t="s">
        <v>149</v>
      </c>
      <c r="E146" s="9"/>
      <c r="F146" s="9"/>
      <c r="G146" s="9"/>
      <c r="H146" s="9"/>
      <c r="I146" s="9"/>
      <c r="J146" s="9"/>
      <c r="K146" s="9"/>
      <c r="L146" s="9"/>
      <c r="M146" s="9"/>
    </row>
    <row r="147" spans="1:13">
      <c r="A147" s="9"/>
      <c r="B147" s="9"/>
      <c r="C147" s="10" t="s">
        <v>27</v>
      </c>
      <c r="D147" s="30"/>
      <c r="E147" s="10" t="s">
        <v>150</v>
      </c>
      <c r="F147" s="19">
        <v>1</v>
      </c>
      <c r="G147" s="20">
        <v>0</v>
      </c>
      <c r="H147" s="20">
        <v>20.399999999999999</v>
      </c>
      <c r="I147" s="20">
        <v>2.2000000000000002</v>
      </c>
      <c r="J147" s="16">
        <f>OR(F147&lt;&gt;0,G147&lt;&gt;0,H147&lt;&gt;0,I147&lt;&gt;0)*(F147 + (F147 = 0))*(G147 + (G147 = 0))*(H147 + (H147 = 0))*(I147 + (I147 = 0))</f>
        <v>44.88</v>
      </c>
      <c r="K147" s="9"/>
      <c r="L147" s="9"/>
      <c r="M147" s="9"/>
    </row>
    <row r="148" spans="1:13">
      <c r="A148" s="9"/>
      <c r="B148" s="9"/>
      <c r="C148" s="10" t="s">
        <v>27</v>
      </c>
      <c r="D148" s="30"/>
      <c r="E148" s="10" t="s">
        <v>17</v>
      </c>
      <c r="F148" s="19">
        <v>1</v>
      </c>
      <c r="G148" s="20">
        <v>0</v>
      </c>
      <c r="H148" s="20">
        <v>20.399999999999999</v>
      </c>
      <c r="I148" s="20">
        <v>2.9</v>
      </c>
      <c r="J148" s="16">
        <f>OR(F148&lt;&gt;0,G148&lt;&gt;0,H148&lt;&gt;0,I148&lt;&gt;0)*(F148 + (F148 = 0))*(G148 + (G148 = 0))*(H148 + (H148 = 0))*(I148 + (I148 = 0))</f>
        <v>59.16</v>
      </c>
      <c r="K148" s="9"/>
      <c r="L148" s="9"/>
      <c r="M148" s="9"/>
    </row>
    <row r="149" spans="1:13">
      <c r="A149" s="9"/>
      <c r="B149" s="9"/>
      <c r="C149" s="10" t="s">
        <v>27</v>
      </c>
      <c r="D149" s="30"/>
      <c r="E149" s="10" t="s">
        <v>17</v>
      </c>
      <c r="F149" s="19">
        <v>1</v>
      </c>
      <c r="G149" s="20">
        <v>0</v>
      </c>
      <c r="H149" s="20">
        <v>20.399999999999999</v>
      </c>
      <c r="I149" s="20">
        <v>2.5499999999999998</v>
      </c>
      <c r="J149" s="16">
        <f>OR(F149&lt;&gt;0,G149&lt;&gt;0,H149&lt;&gt;0,I149&lt;&gt;0)*(F149 + (F149 = 0))*(G149 + (G149 = 0))*(H149 + (H149 = 0))*(I149 + (I149 = 0))</f>
        <v>52.02</v>
      </c>
      <c r="K149" s="9"/>
      <c r="L149" s="9"/>
      <c r="M149" s="9"/>
    </row>
    <row r="150" spans="1:13">
      <c r="A150" s="9"/>
      <c r="B150" s="9"/>
      <c r="C150" s="9"/>
      <c r="D150" s="30"/>
      <c r="E150" s="9"/>
      <c r="F150" s="9"/>
      <c r="G150" s="9"/>
      <c r="H150" s="9"/>
      <c r="I150" s="9"/>
      <c r="J150" s="21" t="s">
        <v>151</v>
      </c>
      <c r="K150" s="22">
        <f>SUM(J147:J149)</f>
        <v>156.06</v>
      </c>
      <c r="L150" s="23">
        <v>0</v>
      </c>
      <c r="M150" s="24">
        <f>ROUND(K150*L150,2)</f>
        <v>0</v>
      </c>
    </row>
    <row r="151" spans="1:13" ht="0.95" customHeight="1">
      <c r="A151" s="25"/>
      <c r="B151" s="25"/>
      <c r="C151" s="25"/>
      <c r="D151" s="31"/>
      <c r="E151" s="25"/>
      <c r="F151" s="25"/>
      <c r="G151" s="25"/>
      <c r="H151" s="25"/>
      <c r="I151" s="25"/>
      <c r="J151" s="25"/>
      <c r="K151" s="25"/>
      <c r="L151" s="25"/>
      <c r="M151" s="25"/>
    </row>
    <row r="152" spans="1:13" ht="45">
      <c r="A152" s="15" t="s">
        <v>152</v>
      </c>
      <c r="B152" s="10" t="s">
        <v>23</v>
      </c>
      <c r="C152" s="10" t="s">
        <v>141</v>
      </c>
      <c r="D152" s="18" t="s">
        <v>153</v>
      </c>
      <c r="E152" s="9"/>
      <c r="F152" s="9"/>
      <c r="G152" s="9"/>
      <c r="H152" s="9"/>
      <c r="I152" s="9"/>
      <c r="J152" s="9"/>
      <c r="K152" s="16">
        <f>K155</f>
        <v>63.28</v>
      </c>
      <c r="L152" s="17">
        <f>L155</f>
        <v>0</v>
      </c>
      <c r="M152" s="17">
        <f>M155</f>
        <v>0</v>
      </c>
    </row>
    <row r="153" spans="1:13">
      <c r="A153" s="9"/>
      <c r="B153" s="9"/>
      <c r="C153" s="9"/>
      <c r="D153" s="18" t="s">
        <v>154</v>
      </c>
      <c r="E153" s="9"/>
      <c r="F153" s="9"/>
      <c r="G153" s="9"/>
      <c r="H153" s="9"/>
      <c r="I153" s="9"/>
      <c r="J153" s="9"/>
      <c r="K153" s="9"/>
      <c r="L153" s="9"/>
      <c r="M153" s="9"/>
    </row>
    <row r="154" spans="1:13">
      <c r="A154" s="9"/>
      <c r="B154" s="9"/>
      <c r="C154" s="10" t="s">
        <v>27</v>
      </c>
      <c r="D154" s="30"/>
      <c r="E154" s="10" t="s">
        <v>155</v>
      </c>
      <c r="F154" s="19">
        <v>2</v>
      </c>
      <c r="G154" s="20">
        <v>0</v>
      </c>
      <c r="H154" s="20">
        <v>11.3</v>
      </c>
      <c r="I154" s="20">
        <v>2.8</v>
      </c>
      <c r="J154" s="16">
        <f>OR(F154&lt;&gt;0,G154&lt;&gt;0,H154&lt;&gt;0,I154&lt;&gt;0)*(F154 + (F154 = 0))*(G154 + (G154 = 0))*(H154 + (H154 = 0))*(I154 + (I154 = 0))</f>
        <v>63.28</v>
      </c>
      <c r="K154" s="9"/>
      <c r="L154" s="9"/>
      <c r="M154" s="9"/>
    </row>
    <row r="155" spans="1:13">
      <c r="A155" s="9"/>
      <c r="B155" s="9"/>
      <c r="C155" s="9"/>
      <c r="D155" s="30"/>
      <c r="E155" s="9"/>
      <c r="F155" s="9"/>
      <c r="G155" s="9"/>
      <c r="H155" s="9"/>
      <c r="I155" s="9"/>
      <c r="J155" s="21" t="s">
        <v>156</v>
      </c>
      <c r="K155" s="22">
        <f>J154</f>
        <v>63.28</v>
      </c>
      <c r="L155" s="23">
        <v>0</v>
      </c>
      <c r="M155" s="24">
        <f>ROUND(K155*L155,2)</f>
        <v>0</v>
      </c>
    </row>
    <row r="156" spans="1:13" ht="0.95" customHeight="1">
      <c r="A156" s="25"/>
      <c r="B156" s="25"/>
      <c r="C156" s="25"/>
      <c r="D156" s="31"/>
      <c r="E156" s="25"/>
      <c r="F156" s="25"/>
      <c r="G156" s="25"/>
      <c r="H156" s="25"/>
      <c r="I156" s="25"/>
      <c r="J156" s="25"/>
      <c r="K156" s="25"/>
      <c r="L156" s="25"/>
      <c r="M156" s="25"/>
    </row>
    <row r="157" spans="1:13" ht="33.75">
      <c r="A157" s="15" t="s">
        <v>157</v>
      </c>
      <c r="B157" s="10" t="s">
        <v>23</v>
      </c>
      <c r="C157" s="10" t="s">
        <v>4</v>
      </c>
      <c r="D157" s="18" t="s">
        <v>158</v>
      </c>
      <c r="E157" s="9"/>
      <c r="F157" s="9"/>
      <c r="G157" s="9"/>
      <c r="H157" s="9"/>
      <c r="I157" s="9"/>
      <c r="J157" s="9"/>
      <c r="K157" s="16">
        <f>K161</f>
        <v>5</v>
      </c>
      <c r="L157" s="17">
        <f>L161</f>
        <v>0</v>
      </c>
      <c r="M157" s="17">
        <f>M161</f>
        <v>0</v>
      </c>
    </row>
    <row r="158" spans="1:13">
      <c r="A158" s="9"/>
      <c r="B158" s="9"/>
      <c r="C158" s="9"/>
      <c r="D158" s="18" t="s">
        <v>159</v>
      </c>
      <c r="E158" s="9"/>
      <c r="F158" s="9"/>
      <c r="G158" s="9"/>
      <c r="H158" s="9"/>
      <c r="I158" s="9"/>
      <c r="J158" s="9"/>
      <c r="K158" s="9"/>
      <c r="L158" s="9"/>
      <c r="M158" s="9"/>
    </row>
    <row r="159" spans="1:13">
      <c r="A159" s="9"/>
      <c r="B159" s="9"/>
      <c r="C159" s="10" t="s">
        <v>27</v>
      </c>
      <c r="D159" s="30"/>
      <c r="E159" s="10" t="s">
        <v>160</v>
      </c>
      <c r="F159" s="19">
        <v>3</v>
      </c>
      <c r="G159" s="20">
        <v>0</v>
      </c>
      <c r="H159" s="20">
        <v>0</v>
      </c>
      <c r="I159" s="20">
        <v>0</v>
      </c>
      <c r="J159" s="16">
        <f>OR(F159&lt;&gt;0,G159&lt;&gt;0,H159&lt;&gt;0,I159&lt;&gt;0)*(F159 + (F159 = 0))*(G159 + (G159 = 0))*(H159 + (H159 = 0))*(I159 + (I159 = 0))</f>
        <v>3</v>
      </c>
      <c r="K159" s="9"/>
      <c r="L159" s="9"/>
      <c r="M159" s="9"/>
    </row>
    <row r="160" spans="1:13">
      <c r="A160" s="9"/>
      <c r="B160" s="9"/>
      <c r="C160" s="10" t="s">
        <v>27</v>
      </c>
      <c r="D160" s="30"/>
      <c r="E160" s="10" t="s">
        <v>155</v>
      </c>
      <c r="F160" s="19">
        <v>2</v>
      </c>
      <c r="G160" s="20">
        <v>0</v>
      </c>
      <c r="H160" s="20">
        <v>0</v>
      </c>
      <c r="I160" s="20">
        <v>0</v>
      </c>
      <c r="J160" s="16">
        <f>OR(F160&lt;&gt;0,G160&lt;&gt;0,H160&lt;&gt;0,I160&lt;&gt;0)*(F160 + (F160 = 0))*(G160 + (G160 = 0))*(H160 + (H160 = 0))*(I160 + (I160 = 0))</f>
        <v>2</v>
      </c>
      <c r="K160" s="9"/>
      <c r="L160" s="9"/>
      <c r="M160" s="9"/>
    </row>
    <row r="161" spans="1:13">
      <c r="A161" s="9"/>
      <c r="B161" s="9"/>
      <c r="C161" s="9"/>
      <c r="D161" s="30"/>
      <c r="E161" s="9"/>
      <c r="F161" s="9"/>
      <c r="G161" s="9"/>
      <c r="H161" s="9"/>
      <c r="I161" s="9"/>
      <c r="J161" s="21" t="s">
        <v>161</v>
      </c>
      <c r="K161" s="22">
        <f>SUM(J159:J160)</f>
        <v>5</v>
      </c>
      <c r="L161" s="23">
        <v>0</v>
      </c>
      <c r="M161" s="24">
        <f>ROUND(K161*L161,2)</f>
        <v>0</v>
      </c>
    </row>
    <row r="162" spans="1:13" ht="0.95" customHeight="1">
      <c r="A162" s="25"/>
      <c r="B162" s="25"/>
      <c r="C162" s="25"/>
      <c r="D162" s="31"/>
      <c r="E162" s="25"/>
      <c r="F162" s="25"/>
      <c r="G162" s="25"/>
      <c r="H162" s="25"/>
      <c r="I162" s="25"/>
      <c r="J162" s="25"/>
      <c r="K162" s="25"/>
      <c r="L162" s="25"/>
      <c r="M162" s="25"/>
    </row>
    <row r="163" spans="1:13" ht="33.75">
      <c r="A163" s="15" t="s">
        <v>162</v>
      </c>
      <c r="B163" s="10" t="s">
        <v>23</v>
      </c>
      <c r="C163" s="10" t="s">
        <v>4</v>
      </c>
      <c r="D163" s="18" t="s">
        <v>163</v>
      </c>
      <c r="E163" s="9"/>
      <c r="F163" s="9"/>
      <c r="G163" s="9"/>
      <c r="H163" s="9"/>
      <c r="I163" s="9"/>
      <c r="J163" s="9"/>
      <c r="K163" s="16">
        <f>K166</f>
        <v>1</v>
      </c>
      <c r="L163" s="17">
        <f>L166</f>
        <v>0</v>
      </c>
      <c r="M163" s="17">
        <f>M166</f>
        <v>0</v>
      </c>
    </row>
    <row r="164" spans="1:13">
      <c r="A164" s="9"/>
      <c r="B164" s="9"/>
      <c r="C164" s="9"/>
      <c r="D164" s="18" t="s">
        <v>164</v>
      </c>
      <c r="E164" s="9"/>
      <c r="F164" s="9"/>
      <c r="G164" s="9"/>
      <c r="H164" s="9"/>
      <c r="I164" s="9"/>
      <c r="J164" s="9"/>
      <c r="K164" s="9"/>
      <c r="L164" s="9"/>
      <c r="M164" s="9"/>
    </row>
    <row r="165" spans="1:13">
      <c r="A165" s="9"/>
      <c r="B165" s="9"/>
      <c r="C165" s="10" t="s">
        <v>27</v>
      </c>
      <c r="D165" s="30"/>
      <c r="E165" s="10" t="s">
        <v>145</v>
      </c>
      <c r="F165" s="19">
        <v>1</v>
      </c>
      <c r="G165" s="20">
        <v>0</v>
      </c>
      <c r="H165" s="20">
        <v>0</v>
      </c>
      <c r="I165" s="20">
        <v>0</v>
      </c>
      <c r="J165" s="16">
        <f>OR(F165&lt;&gt;0,G165&lt;&gt;0,H165&lt;&gt;0,I165&lt;&gt;0)*(F165 + (F165 = 0))*(G165 + (G165 = 0))*(H165 + (H165 = 0))*(I165 + (I165 = 0))</f>
        <v>1</v>
      </c>
      <c r="K165" s="9"/>
      <c r="L165" s="9"/>
      <c r="M165" s="9"/>
    </row>
    <row r="166" spans="1:13">
      <c r="A166" s="9"/>
      <c r="B166" s="9"/>
      <c r="C166" s="9"/>
      <c r="D166" s="30"/>
      <c r="E166" s="9"/>
      <c r="F166" s="9"/>
      <c r="G166" s="9"/>
      <c r="H166" s="9"/>
      <c r="I166" s="9"/>
      <c r="J166" s="21" t="s">
        <v>165</v>
      </c>
      <c r="K166" s="22">
        <f>J165</f>
        <v>1</v>
      </c>
      <c r="L166" s="23">
        <v>0</v>
      </c>
      <c r="M166" s="24">
        <f>ROUND(K166*L166,2)</f>
        <v>0</v>
      </c>
    </row>
    <row r="167" spans="1:13" ht="0.95" customHeight="1">
      <c r="A167" s="25"/>
      <c r="B167" s="25"/>
      <c r="C167" s="25"/>
      <c r="D167" s="31"/>
      <c r="E167" s="25"/>
      <c r="F167" s="25"/>
      <c r="G167" s="25"/>
      <c r="H167" s="25"/>
      <c r="I167" s="25"/>
      <c r="J167" s="25"/>
      <c r="K167" s="25"/>
      <c r="L167" s="25"/>
      <c r="M167" s="25"/>
    </row>
    <row r="168" spans="1:13" ht="33.75">
      <c r="A168" s="15" t="s">
        <v>166</v>
      </c>
      <c r="B168" s="10" t="s">
        <v>23</v>
      </c>
      <c r="C168" s="10" t="s">
        <v>4</v>
      </c>
      <c r="D168" s="18" t="s">
        <v>163</v>
      </c>
      <c r="E168" s="9"/>
      <c r="F168" s="9"/>
      <c r="G168" s="9"/>
      <c r="H168" s="9"/>
      <c r="I168" s="9"/>
      <c r="J168" s="9"/>
      <c r="K168" s="16">
        <f>K171</f>
        <v>29</v>
      </c>
      <c r="L168" s="17">
        <f>L171</f>
        <v>0</v>
      </c>
      <c r="M168" s="17">
        <f>M171</f>
        <v>0</v>
      </c>
    </row>
    <row r="169" spans="1:13">
      <c r="A169" s="9"/>
      <c r="B169" s="9"/>
      <c r="C169" s="9"/>
      <c r="D169" s="18" t="s">
        <v>167</v>
      </c>
      <c r="E169" s="9"/>
      <c r="F169" s="9"/>
      <c r="G169" s="9"/>
      <c r="H169" s="9"/>
      <c r="I169" s="9"/>
      <c r="J169" s="9"/>
      <c r="K169" s="9"/>
      <c r="L169" s="9"/>
      <c r="M169" s="9"/>
    </row>
    <row r="170" spans="1:13">
      <c r="A170" s="9"/>
      <c r="B170" s="9"/>
      <c r="C170" s="10" t="s">
        <v>27</v>
      </c>
      <c r="D170" s="30"/>
      <c r="E170" s="10" t="s">
        <v>144</v>
      </c>
      <c r="F170" s="19">
        <v>29</v>
      </c>
      <c r="G170" s="20">
        <v>0</v>
      </c>
      <c r="H170" s="20">
        <v>0</v>
      </c>
      <c r="I170" s="20">
        <v>0</v>
      </c>
      <c r="J170" s="16">
        <f>OR(F170&lt;&gt;0,G170&lt;&gt;0,H170&lt;&gt;0,I170&lt;&gt;0)*(F170 + (F170 = 0))*(G170 + (G170 = 0))*(H170 + (H170 = 0))*(I170 + (I170 = 0))</f>
        <v>29</v>
      </c>
      <c r="K170" s="9"/>
      <c r="L170" s="9"/>
      <c r="M170" s="9"/>
    </row>
    <row r="171" spans="1:13">
      <c r="A171" s="9"/>
      <c r="B171" s="9"/>
      <c r="C171" s="9"/>
      <c r="D171" s="30"/>
      <c r="E171" s="9"/>
      <c r="F171" s="9"/>
      <c r="G171" s="9"/>
      <c r="H171" s="9"/>
      <c r="I171" s="9"/>
      <c r="J171" s="21" t="s">
        <v>168</v>
      </c>
      <c r="K171" s="22">
        <f>J170</f>
        <v>29</v>
      </c>
      <c r="L171" s="23">
        <v>0</v>
      </c>
      <c r="M171" s="24">
        <f>ROUND(K171*L171,2)</f>
        <v>0</v>
      </c>
    </row>
    <row r="172" spans="1:13" ht="0.95" customHeight="1">
      <c r="A172" s="25"/>
      <c r="B172" s="25"/>
      <c r="C172" s="25"/>
      <c r="D172" s="31"/>
      <c r="E172" s="25"/>
      <c r="F172" s="25"/>
      <c r="G172" s="25"/>
      <c r="H172" s="25"/>
      <c r="I172" s="25"/>
      <c r="J172" s="25"/>
      <c r="K172" s="25"/>
      <c r="L172" s="25"/>
      <c r="M172" s="25"/>
    </row>
    <row r="173" spans="1:13" ht="22.5">
      <c r="A173" s="15" t="s">
        <v>169</v>
      </c>
      <c r="B173" s="10" t="s">
        <v>23</v>
      </c>
      <c r="C173" s="10" t="s">
        <v>141</v>
      </c>
      <c r="D173" s="18" t="s">
        <v>170</v>
      </c>
      <c r="E173" s="9"/>
      <c r="F173" s="9"/>
      <c r="G173" s="9"/>
      <c r="H173" s="9"/>
      <c r="I173" s="9"/>
      <c r="J173" s="9"/>
      <c r="K173" s="16">
        <f>K177</f>
        <v>137.22</v>
      </c>
      <c r="L173" s="17">
        <f>L177</f>
        <v>0</v>
      </c>
      <c r="M173" s="17">
        <f>M177</f>
        <v>0</v>
      </c>
    </row>
    <row r="174" spans="1:13">
      <c r="A174" s="9"/>
      <c r="B174" s="9"/>
      <c r="C174" s="9"/>
      <c r="D174" s="18" t="s">
        <v>171</v>
      </c>
      <c r="E174" s="9"/>
      <c r="F174" s="9"/>
      <c r="G174" s="9"/>
      <c r="H174" s="9"/>
      <c r="I174" s="9"/>
      <c r="J174" s="9"/>
      <c r="K174" s="9"/>
      <c r="L174" s="9"/>
      <c r="M174" s="9"/>
    </row>
    <row r="175" spans="1:13">
      <c r="A175" s="9"/>
      <c r="B175" s="9"/>
      <c r="C175" s="10" t="s">
        <v>27</v>
      </c>
      <c r="D175" s="30"/>
      <c r="E175" s="10" t="s">
        <v>17</v>
      </c>
      <c r="F175" s="19">
        <v>4</v>
      </c>
      <c r="G175" s="23">
        <v>1.55</v>
      </c>
      <c r="H175" s="23">
        <v>13.4</v>
      </c>
      <c r="I175" s="23">
        <v>0</v>
      </c>
      <c r="J175" s="17">
        <f>OR(F175&lt;&gt;0,G175&lt;&gt;0,H175&lt;&gt;0,I175&lt;&gt;0)*(F175 + (F175 = 0))*(G175 + (G175 = 0))*(H175 + (H175 = 0))*(I175 + (I175 = 0))</f>
        <v>83.08</v>
      </c>
      <c r="K175" s="9"/>
      <c r="L175" s="9"/>
      <c r="M175" s="9"/>
    </row>
    <row r="176" spans="1:13">
      <c r="A176" s="9"/>
      <c r="B176" s="9"/>
      <c r="C176" s="10" t="s">
        <v>27</v>
      </c>
      <c r="D176" s="30"/>
      <c r="E176" s="10" t="s">
        <v>17</v>
      </c>
      <c r="F176" s="19">
        <v>4</v>
      </c>
      <c r="G176" s="23">
        <v>1.01</v>
      </c>
      <c r="H176" s="23">
        <v>13.4</v>
      </c>
      <c r="I176" s="23">
        <v>0</v>
      </c>
      <c r="J176" s="17">
        <f>OR(F176&lt;&gt;0,G176&lt;&gt;0,H176&lt;&gt;0,I176&lt;&gt;0)*(F176 + (F176 = 0))*(G176 + (G176 = 0))*(H176 + (H176 = 0))*(I176 + (I176 = 0))</f>
        <v>54.14</v>
      </c>
      <c r="K176" s="9"/>
      <c r="L176" s="9"/>
      <c r="M176" s="9"/>
    </row>
    <row r="177" spans="1:13">
      <c r="A177" s="9"/>
      <c r="B177" s="9"/>
      <c r="C177" s="9"/>
      <c r="D177" s="30"/>
      <c r="E177" s="9"/>
      <c r="F177" s="9"/>
      <c r="G177" s="9"/>
      <c r="H177" s="9"/>
      <c r="I177" s="9"/>
      <c r="J177" s="21" t="s">
        <v>172</v>
      </c>
      <c r="K177" s="22">
        <f>SUM(J175:J176)</f>
        <v>137.22</v>
      </c>
      <c r="L177" s="23">
        <v>0</v>
      </c>
      <c r="M177" s="24">
        <f>ROUND(K177*L177,2)</f>
        <v>0</v>
      </c>
    </row>
    <row r="178" spans="1:13" ht="0.95" customHeight="1">
      <c r="A178" s="25"/>
      <c r="B178" s="25"/>
      <c r="C178" s="25"/>
      <c r="D178" s="31"/>
      <c r="E178" s="25"/>
      <c r="F178" s="25"/>
      <c r="G178" s="25"/>
      <c r="H178" s="25"/>
      <c r="I178" s="25"/>
      <c r="J178" s="25"/>
      <c r="K178" s="25"/>
      <c r="L178" s="25"/>
      <c r="M178" s="25"/>
    </row>
    <row r="179" spans="1:13">
      <c r="A179" s="9"/>
      <c r="B179" s="9"/>
      <c r="C179" s="9"/>
      <c r="D179" s="30"/>
      <c r="E179" s="9"/>
      <c r="F179" s="9"/>
      <c r="G179" s="9"/>
      <c r="H179" s="9"/>
      <c r="I179" s="9"/>
      <c r="J179" s="21" t="s">
        <v>173</v>
      </c>
      <c r="K179" s="20">
        <v>1</v>
      </c>
      <c r="L179" s="24">
        <f>M135+M145+M152+M157+M163+M168+M173</f>
        <v>0</v>
      </c>
      <c r="M179" s="24">
        <f>ROUND(K179*L179,2)</f>
        <v>0</v>
      </c>
    </row>
    <row r="180" spans="1:13" ht="0.95" customHeight="1">
      <c r="A180" s="25"/>
      <c r="B180" s="25"/>
      <c r="C180" s="25"/>
      <c r="D180" s="31"/>
      <c r="E180" s="25"/>
      <c r="F180" s="25"/>
      <c r="G180" s="25"/>
      <c r="H180" s="25"/>
      <c r="I180" s="25"/>
      <c r="J180" s="25"/>
      <c r="K180" s="25"/>
      <c r="L180" s="25"/>
      <c r="M180" s="25"/>
    </row>
    <row r="181" spans="1:13">
      <c r="A181" s="11" t="s">
        <v>174</v>
      </c>
      <c r="B181" s="11" t="s">
        <v>16</v>
      </c>
      <c r="C181" s="11" t="s">
        <v>17</v>
      </c>
      <c r="D181" s="29" t="s">
        <v>175</v>
      </c>
      <c r="E181" s="12"/>
      <c r="F181" s="12"/>
      <c r="G181" s="12"/>
      <c r="H181" s="12"/>
      <c r="I181" s="12"/>
      <c r="J181" s="12"/>
      <c r="K181" s="13">
        <f>K205</f>
        <v>1</v>
      </c>
      <c r="L181" s="14">
        <f>L205</f>
        <v>0</v>
      </c>
      <c r="M181" s="14">
        <f>M205</f>
        <v>0</v>
      </c>
    </row>
    <row r="182" spans="1:13" ht="22.5">
      <c r="A182" s="15" t="s">
        <v>176</v>
      </c>
      <c r="B182" s="10" t="s">
        <v>23</v>
      </c>
      <c r="C182" s="10" t="s">
        <v>94</v>
      </c>
      <c r="D182" s="18" t="s">
        <v>177</v>
      </c>
      <c r="E182" s="9"/>
      <c r="F182" s="9"/>
      <c r="G182" s="9"/>
      <c r="H182" s="9"/>
      <c r="I182" s="9"/>
      <c r="J182" s="9"/>
      <c r="K182" s="16">
        <f>K185</f>
        <v>0</v>
      </c>
      <c r="L182" s="17">
        <f>L185</f>
        <v>0</v>
      </c>
      <c r="M182" s="17">
        <f>M185</f>
        <v>0</v>
      </c>
    </row>
    <row r="183" spans="1:13">
      <c r="A183" s="9"/>
      <c r="B183" s="9"/>
      <c r="C183" s="9"/>
      <c r="D183" s="18" t="s">
        <v>178</v>
      </c>
      <c r="E183" s="9"/>
      <c r="F183" s="9"/>
      <c r="G183" s="9"/>
      <c r="H183" s="9"/>
      <c r="I183" s="9"/>
      <c r="J183" s="9"/>
      <c r="K183" s="9"/>
      <c r="L183" s="9"/>
      <c r="M183" s="9"/>
    </row>
    <row r="184" spans="1:13">
      <c r="A184" s="9"/>
      <c r="B184" s="9"/>
      <c r="C184" s="10" t="s">
        <v>27</v>
      </c>
      <c r="D184" s="30"/>
      <c r="E184" s="10" t="s">
        <v>179</v>
      </c>
      <c r="F184" s="19"/>
      <c r="G184" s="20"/>
      <c r="H184" s="20"/>
      <c r="I184" s="20"/>
      <c r="J184" s="16">
        <f>OR(F184&lt;&gt;0,G184&lt;&gt;0,H184&lt;&gt;0,I184&lt;&gt;0)*(F184 + (F184 = 0))*(G184 + (G184 = 0))*(H184 + (H184 = 0))*(I184 + (I184 = 0))</f>
        <v>0</v>
      </c>
      <c r="K184" s="9"/>
      <c r="L184" s="9"/>
      <c r="M184" s="9"/>
    </row>
    <row r="185" spans="1:13">
      <c r="A185" s="9"/>
      <c r="B185" s="9"/>
      <c r="C185" s="9"/>
      <c r="D185" s="30"/>
      <c r="E185" s="9"/>
      <c r="F185" s="9"/>
      <c r="G185" s="9"/>
      <c r="H185" s="9"/>
      <c r="I185" s="9"/>
      <c r="J185" s="21" t="s">
        <v>180</v>
      </c>
      <c r="K185" s="22">
        <f>J184</f>
        <v>0</v>
      </c>
      <c r="L185" s="23">
        <v>0</v>
      </c>
      <c r="M185" s="24">
        <f>ROUND(K185*L185,2)</f>
        <v>0</v>
      </c>
    </row>
    <row r="186" spans="1:13" ht="0.95" customHeight="1">
      <c r="A186" s="25"/>
      <c r="B186" s="25"/>
      <c r="C186" s="25"/>
      <c r="D186" s="31"/>
      <c r="E186" s="25"/>
      <c r="F186" s="25"/>
      <c r="G186" s="25"/>
      <c r="H186" s="25"/>
      <c r="I186" s="25"/>
      <c r="J186" s="25"/>
      <c r="K186" s="25"/>
      <c r="L186" s="25"/>
      <c r="M186" s="25"/>
    </row>
    <row r="187" spans="1:13" ht="33.75">
      <c r="A187" s="15" t="s">
        <v>181</v>
      </c>
      <c r="B187" s="10" t="s">
        <v>23</v>
      </c>
      <c r="C187" s="10" t="s">
        <v>24</v>
      </c>
      <c r="D187" s="18" t="s">
        <v>182</v>
      </c>
      <c r="E187" s="9"/>
      <c r="F187" s="9"/>
      <c r="G187" s="9"/>
      <c r="H187" s="9"/>
      <c r="I187" s="9"/>
      <c r="J187" s="9"/>
      <c r="K187" s="16">
        <f>K191</f>
        <v>0.69499999999999995</v>
      </c>
      <c r="L187" s="17">
        <f>L191</f>
        <v>0</v>
      </c>
      <c r="M187" s="17">
        <f>M191</f>
        <v>0</v>
      </c>
    </row>
    <row r="188" spans="1:13">
      <c r="A188" s="9"/>
      <c r="B188" s="9"/>
      <c r="C188" s="9"/>
      <c r="D188" s="18" t="s">
        <v>183</v>
      </c>
      <c r="E188" s="9"/>
      <c r="F188" s="9"/>
      <c r="G188" s="9"/>
      <c r="H188" s="9"/>
      <c r="I188" s="9"/>
      <c r="J188" s="9"/>
      <c r="K188" s="9"/>
      <c r="L188" s="9"/>
      <c r="M188" s="9"/>
    </row>
    <row r="189" spans="1:13">
      <c r="A189" s="9"/>
      <c r="B189" s="9"/>
      <c r="C189" s="10" t="s">
        <v>27</v>
      </c>
      <c r="D189" s="30"/>
      <c r="E189" s="10" t="s">
        <v>184</v>
      </c>
      <c r="F189" s="19">
        <v>8</v>
      </c>
      <c r="G189" s="20">
        <v>0.8</v>
      </c>
      <c r="H189" s="20">
        <v>0.55000000000000004</v>
      </c>
      <c r="I189" s="20">
        <v>0.28499999999999998</v>
      </c>
      <c r="J189" s="16">
        <f>OR(F189&lt;&gt;0,G189&lt;&gt;0,H189&lt;&gt;0,I189&lt;&gt;0)*(F189 + (F189 = 0))*(G189 + (G189 = 0))*(H189 + (H189 = 0))*(I189 + (I189 = 0))</f>
        <v>1.0029999999999999</v>
      </c>
      <c r="K189" s="9"/>
      <c r="L189" s="9"/>
      <c r="M189" s="9"/>
    </row>
    <row r="190" spans="1:13">
      <c r="A190" s="9"/>
      <c r="B190" s="9"/>
      <c r="C190" s="10" t="s">
        <v>27</v>
      </c>
      <c r="D190" s="30"/>
      <c r="E190" s="10" t="s">
        <v>185</v>
      </c>
      <c r="F190" s="19">
        <v>-8</v>
      </c>
      <c r="G190" s="20">
        <v>0.8</v>
      </c>
      <c r="H190" s="20">
        <v>0.27500000000000002</v>
      </c>
      <c r="I190" s="20">
        <v>0.17499999999999999</v>
      </c>
      <c r="J190" s="16">
        <f>OR(F190&lt;&gt;0,G190&lt;&gt;0,H190&lt;&gt;0,I190&lt;&gt;0)*(F190 + (F190 = 0))*(G190 + (G190 = 0))*(H190 + (H190 = 0))*(I190 + (I190 = 0))</f>
        <v>-0.308</v>
      </c>
      <c r="K190" s="9"/>
      <c r="L190" s="9"/>
      <c r="M190" s="9"/>
    </row>
    <row r="191" spans="1:13">
      <c r="A191" s="9"/>
      <c r="B191" s="9"/>
      <c r="C191" s="9"/>
      <c r="D191" s="30"/>
      <c r="E191" s="9"/>
      <c r="F191" s="9"/>
      <c r="G191" s="9"/>
      <c r="H191" s="9"/>
      <c r="I191" s="9"/>
      <c r="J191" s="21" t="s">
        <v>186</v>
      </c>
      <c r="K191" s="22">
        <f>SUM(J189:J190)</f>
        <v>0.69499999999999995</v>
      </c>
      <c r="L191" s="23">
        <v>0</v>
      </c>
      <c r="M191" s="24">
        <f>ROUND(K191*L191,2)</f>
        <v>0</v>
      </c>
    </row>
    <row r="192" spans="1:13" ht="0.95" customHeight="1">
      <c r="A192" s="25"/>
      <c r="B192" s="25"/>
      <c r="C192" s="25"/>
      <c r="D192" s="31"/>
      <c r="E192" s="25"/>
      <c r="F192" s="25"/>
      <c r="G192" s="25"/>
      <c r="H192" s="25"/>
      <c r="I192" s="25"/>
      <c r="J192" s="25"/>
      <c r="K192" s="25"/>
      <c r="L192" s="25"/>
      <c r="M192" s="25"/>
    </row>
    <row r="193" spans="1:13">
      <c r="A193" s="15" t="s">
        <v>187</v>
      </c>
      <c r="B193" s="10" t="s">
        <v>23</v>
      </c>
      <c r="C193" s="10" t="s">
        <v>188</v>
      </c>
      <c r="D193" s="18" t="s">
        <v>189</v>
      </c>
      <c r="E193" s="9"/>
      <c r="F193" s="9"/>
      <c r="G193" s="9"/>
      <c r="H193" s="9"/>
      <c r="I193" s="9"/>
      <c r="J193" s="9"/>
      <c r="K193" s="16">
        <f>K198</f>
        <v>3.61</v>
      </c>
      <c r="L193" s="17">
        <f>L198</f>
        <v>0</v>
      </c>
      <c r="M193" s="17">
        <f>M198</f>
        <v>0</v>
      </c>
    </row>
    <row r="194" spans="1:13" ht="56.25">
      <c r="A194" s="9"/>
      <c r="B194" s="9"/>
      <c r="C194" s="9"/>
      <c r="D194" s="18" t="s">
        <v>190</v>
      </c>
      <c r="E194" s="9"/>
      <c r="F194" s="9"/>
      <c r="G194" s="9"/>
      <c r="H194" s="9"/>
      <c r="I194" s="9"/>
      <c r="J194" s="9"/>
      <c r="K194" s="9"/>
      <c r="L194" s="9"/>
      <c r="M194" s="9"/>
    </row>
    <row r="195" spans="1:13">
      <c r="A195" s="9"/>
      <c r="B195" s="9"/>
      <c r="C195" s="10" t="s">
        <v>27</v>
      </c>
      <c r="D195" s="30"/>
      <c r="E195" s="10" t="s">
        <v>191</v>
      </c>
      <c r="F195" s="19">
        <v>4</v>
      </c>
      <c r="G195" s="23">
        <v>0.3</v>
      </c>
      <c r="H195" s="23">
        <v>0</v>
      </c>
      <c r="I195" s="23">
        <v>0</v>
      </c>
      <c r="J195" s="17">
        <f>OR(F195&lt;&gt;0,G195&lt;&gt;0,H195&lt;&gt;0,I195&lt;&gt;0)*(F195 + (F195 = 0))*(G195 + (G195 = 0))*(H195 + (H195 = 0))*(I195 + (I195 = 0))</f>
        <v>1.2</v>
      </c>
      <c r="K195" s="9"/>
      <c r="L195" s="9"/>
      <c r="M195" s="9"/>
    </row>
    <row r="196" spans="1:13">
      <c r="A196" s="9"/>
      <c r="B196" s="9"/>
      <c r="C196" s="10" t="s">
        <v>27</v>
      </c>
      <c r="D196" s="30"/>
      <c r="E196" s="10" t="s">
        <v>192</v>
      </c>
      <c r="F196" s="19">
        <v>2</v>
      </c>
      <c r="G196" s="23">
        <v>0.55000000000000004</v>
      </c>
      <c r="H196" s="23">
        <v>0</v>
      </c>
      <c r="I196" s="23">
        <v>0</v>
      </c>
      <c r="J196" s="17">
        <f>OR(F196&lt;&gt;0,G196&lt;&gt;0,H196&lt;&gt;0,I196&lt;&gt;0)*(F196 + (F196 = 0))*(G196 + (G196 = 0))*(H196 + (H196 = 0))*(I196 + (I196 = 0))</f>
        <v>1.1000000000000001</v>
      </c>
      <c r="K196" s="9"/>
      <c r="L196" s="9"/>
      <c r="M196" s="9"/>
    </row>
    <row r="197" spans="1:13">
      <c r="A197" s="9"/>
      <c r="B197" s="9"/>
      <c r="C197" s="10" t="s">
        <v>27</v>
      </c>
      <c r="D197" s="30"/>
      <c r="E197" s="10" t="s">
        <v>193</v>
      </c>
      <c r="F197" s="19">
        <v>1</v>
      </c>
      <c r="G197" s="23">
        <v>1.31</v>
      </c>
      <c r="H197" s="23">
        <v>0</v>
      </c>
      <c r="I197" s="23">
        <v>0</v>
      </c>
      <c r="J197" s="17">
        <f>OR(F197&lt;&gt;0,G197&lt;&gt;0,H197&lt;&gt;0,I197&lt;&gt;0)*(F197 + (F197 = 0))*(G197 + (G197 = 0))*(H197 + (H197 = 0))*(I197 + (I197 = 0))</f>
        <v>1.31</v>
      </c>
      <c r="K197" s="9"/>
      <c r="L197" s="9"/>
      <c r="M197" s="9"/>
    </row>
    <row r="198" spans="1:13">
      <c r="A198" s="9"/>
      <c r="B198" s="9"/>
      <c r="C198" s="9"/>
      <c r="D198" s="30"/>
      <c r="E198" s="9"/>
      <c r="F198" s="9"/>
      <c r="G198" s="9"/>
      <c r="H198" s="9"/>
      <c r="I198" s="9"/>
      <c r="J198" s="21" t="s">
        <v>194</v>
      </c>
      <c r="K198" s="22">
        <f>SUM(J195:J197)</f>
        <v>3.61</v>
      </c>
      <c r="L198" s="23">
        <v>0</v>
      </c>
      <c r="M198" s="24">
        <f>ROUND(K198*L198,2)</f>
        <v>0</v>
      </c>
    </row>
    <row r="199" spans="1:13" ht="0.95" customHeight="1">
      <c r="A199" s="25"/>
      <c r="B199" s="25"/>
      <c r="C199" s="25"/>
      <c r="D199" s="31"/>
      <c r="E199" s="25"/>
      <c r="F199" s="25"/>
      <c r="G199" s="25"/>
      <c r="H199" s="25"/>
      <c r="I199" s="25"/>
      <c r="J199" s="25"/>
      <c r="K199" s="25"/>
      <c r="L199" s="25"/>
      <c r="M199" s="25"/>
    </row>
    <row r="200" spans="1:13" ht="22.5">
      <c r="A200" s="15" t="s">
        <v>195</v>
      </c>
      <c r="B200" s="10" t="s">
        <v>23</v>
      </c>
      <c r="C200" s="10" t="s">
        <v>94</v>
      </c>
      <c r="D200" s="18" t="s">
        <v>196</v>
      </c>
      <c r="E200" s="9"/>
      <c r="F200" s="9"/>
      <c r="G200" s="9"/>
      <c r="H200" s="9"/>
      <c r="I200" s="9"/>
      <c r="J200" s="9"/>
      <c r="K200" s="16">
        <f>K203</f>
        <v>3.13</v>
      </c>
      <c r="L200" s="17">
        <f>L203</f>
        <v>0</v>
      </c>
      <c r="M200" s="17">
        <f>M203</f>
        <v>0</v>
      </c>
    </row>
    <row r="201" spans="1:13">
      <c r="A201" s="9"/>
      <c r="B201" s="9"/>
      <c r="C201" s="9"/>
      <c r="D201" s="18" t="s">
        <v>197</v>
      </c>
      <c r="E201" s="9"/>
      <c r="F201" s="9"/>
      <c r="G201" s="9"/>
      <c r="H201" s="9"/>
      <c r="I201" s="9"/>
      <c r="J201" s="9"/>
      <c r="K201" s="9"/>
      <c r="L201" s="9"/>
      <c r="M201" s="9"/>
    </row>
    <row r="202" spans="1:13">
      <c r="A202" s="9"/>
      <c r="B202" s="9"/>
      <c r="C202" s="10" t="s">
        <v>27</v>
      </c>
      <c r="D202" s="30"/>
      <c r="E202" s="10" t="s">
        <v>198</v>
      </c>
      <c r="F202" s="19">
        <v>2</v>
      </c>
      <c r="G202" s="23">
        <v>1.01</v>
      </c>
      <c r="H202" s="23">
        <v>1.55</v>
      </c>
      <c r="I202" s="23">
        <v>0</v>
      </c>
      <c r="J202" s="17">
        <f>OR(F202&lt;&gt;0,G202&lt;&gt;0,H202&lt;&gt;0,I202&lt;&gt;0)*(F202 + (F202 = 0))*(G202 + (G202 = 0))*(H202 + (H202 = 0))*(I202 + (I202 = 0))</f>
        <v>3.13</v>
      </c>
      <c r="K202" s="9"/>
      <c r="L202" s="9"/>
      <c r="M202" s="9"/>
    </row>
    <row r="203" spans="1:13">
      <c r="A203" s="9"/>
      <c r="B203" s="9"/>
      <c r="C203" s="9"/>
      <c r="D203" s="30"/>
      <c r="E203" s="9"/>
      <c r="F203" s="9"/>
      <c r="G203" s="9"/>
      <c r="H203" s="9"/>
      <c r="I203" s="9"/>
      <c r="J203" s="21" t="s">
        <v>199</v>
      </c>
      <c r="K203" s="22">
        <f>J202</f>
        <v>3.13</v>
      </c>
      <c r="L203" s="23">
        <v>0</v>
      </c>
      <c r="M203" s="24">
        <f>ROUND(K203*L203,2)</f>
        <v>0</v>
      </c>
    </row>
    <row r="204" spans="1:13" ht="0.95" customHeight="1">
      <c r="A204" s="25"/>
      <c r="B204" s="25"/>
      <c r="C204" s="25"/>
      <c r="D204" s="31"/>
      <c r="E204" s="25"/>
      <c r="F204" s="25"/>
      <c r="G204" s="25"/>
      <c r="H204" s="25"/>
      <c r="I204" s="25"/>
      <c r="J204" s="25"/>
      <c r="K204" s="25"/>
      <c r="L204" s="25"/>
      <c r="M204" s="25"/>
    </row>
    <row r="205" spans="1:13">
      <c r="A205" s="9"/>
      <c r="B205" s="9"/>
      <c r="C205" s="9"/>
      <c r="D205" s="30"/>
      <c r="E205" s="9"/>
      <c r="F205" s="9"/>
      <c r="G205" s="9"/>
      <c r="H205" s="9"/>
      <c r="I205" s="9"/>
      <c r="J205" s="21" t="s">
        <v>200</v>
      </c>
      <c r="K205" s="20">
        <v>1</v>
      </c>
      <c r="L205" s="24">
        <f>M182+M187+M193+M200</f>
        <v>0</v>
      </c>
      <c r="M205" s="24">
        <f>ROUND(K205*L205,2)</f>
        <v>0</v>
      </c>
    </row>
    <row r="206" spans="1:13" ht="0.95" customHeight="1">
      <c r="A206" s="25"/>
      <c r="B206" s="25"/>
      <c r="C206" s="25"/>
      <c r="D206" s="31"/>
      <c r="E206" s="25"/>
      <c r="F206" s="25"/>
      <c r="G206" s="25"/>
      <c r="H206" s="25"/>
      <c r="I206" s="25"/>
      <c r="J206" s="25"/>
      <c r="K206" s="25"/>
      <c r="L206" s="25"/>
      <c r="M206" s="25"/>
    </row>
    <row r="207" spans="1:13">
      <c r="A207" s="11" t="s">
        <v>201</v>
      </c>
      <c r="B207" s="11" t="s">
        <v>16</v>
      </c>
      <c r="C207" s="11" t="s">
        <v>17</v>
      </c>
      <c r="D207" s="29" t="s">
        <v>202</v>
      </c>
      <c r="E207" s="12"/>
      <c r="F207" s="12"/>
      <c r="G207" s="12"/>
      <c r="H207" s="12"/>
      <c r="I207" s="12"/>
      <c r="J207" s="12"/>
      <c r="K207" s="13">
        <f>K230</f>
        <v>1</v>
      </c>
      <c r="L207" s="14">
        <f>L230</f>
        <v>0</v>
      </c>
      <c r="M207" s="14">
        <f>M230</f>
        <v>0</v>
      </c>
    </row>
    <row r="208" spans="1:13">
      <c r="A208" s="15" t="s">
        <v>203</v>
      </c>
      <c r="B208" s="10" t="s">
        <v>23</v>
      </c>
      <c r="C208" s="10" t="s">
        <v>204</v>
      </c>
      <c r="D208" s="18" t="s">
        <v>205</v>
      </c>
      <c r="E208" s="9"/>
      <c r="F208" s="9"/>
      <c r="G208" s="9"/>
      <c r="H208" s="9"/>
      <c r="I208" s="9"/>
      <c r="J208" s="9"/>
      <c r="K208" s="16">
        <f>K220</f>
        <v>4.05</v>
      </c>
      <c r="L208" s="17">
        <f>L220</f>
        <v>0</v>
      </c>
      <c r="M208" s="17">
        <f>M220</f>
        <v>0</v>
      </c>
    </row>
    <row r="209" spans="1:13">
      <c r="A209" s="9"/>
      <c r="B209" s="9"/>
      <c r="C209" s="9"/>
      <c r="D209" s="18" t="s">
        <v>206</v>
      </c>
      <c r="E209" s="9"/>
      <c r="F209" s="9"/>
      <c r="G209" s="9"/>
      <c r="H209" s="9"/>
      <c r="I209" s="9"/>
      <c r="J209" s="9"/>
      <c r="K209" s="9"/>
      <c r="L209" s="9"/>
      <c r="M209" s="9"/>
    </row>
    <row r="210" spans="1:13">
      <c r="A210" s="9"/>
      <c r="B210" s="9"/>
      <c r="C210" s="10" t="s">
        <v>27</v>
      </c>
      <c r="D210" s="30"/>
      <c r="E210" s="10" t="s">
        <v>207</v>
      </c>
      <c r="F210" s="19">
        <v>1</v>
      </c>
      <c r="G210" s="23">
        <v>5.01</v>
      </c>
      <c r="H210" s="23">
        <v>0</v>
      </c>
      <c r="I210" s="23">
        <v>0.3</v>
      </c>
      <c r="J210" s="17">
        <f>OR(F210&lt;&gt;0,G210&lt;&gt;0,H210&lt;&gt;0,I210&lt;&gt;0)*(F210 + (F210 = 0))*(G210 + (G210 = 0))*(H210 + (H210 = 0))*(I210 + (I210 = 0))</f>
        <v>1.5</v>
      </c>
      <c r="K210" s="9"/>
      <c r="L210" s="9"/>
      <c r="M210" s="9"/>
    </row>
    <row r="211" spans="1:13">
      <c r="A211" s="9"/>
      <c r="B211" s="9"/>
      <c r="C211" s="10" t="s">
        <v>27</v>
      </c>
      <c r="D211" s="30"/>
      <c r="E211" s="10" t="s">
        <v>17</v>
      </c>
      <c r="F211" s="19">
        <v>1</v>
      </c>
      <c r="G211" s="23">
        <v>4.22</v>
      </c>
      <c r="H211" s="23">
        <v>0</v>
      </c>
      <c r="I211" s="23">
        <v>0.3</v>
      </c>
      <c r="J211" s="17">
        <f>OR(F211&lt;&gt;0,G211&lt;&gt;0,H211&lt;&gt;0,I211&lt;&gt;0)*(F211 + (F211 = 0))*(G211 + (G211 = 0))*(H211 + (H211 = 0))*(I211 + (I211 = 0))</f>
        <v>1.27</v>
      </c>
      <c r="K211" s="9"/>
      <c r="L211" s="9"/>
      <c r="M211" s="9"/>
    </row>
    <row r="212" spans="1:13">
      <c r="A212" s="9"/>
      <c r="B212" s="9"/>
      <c r="C212" s="10" t="s">
        <v>27</v>
      </c>
      <c r="D212" s="30"/>
      <c r="E212" s="10" t="s">
        <v>17</v>
      </c>
      <c r="F212" s="19">
        <v>1</v>
      </c>
      <c r="G212" s="23">
        <v>2.5299999999999998</v>
      </c>
      <c r="H212" s="23">
        <v>0</v>
      </c>
      <c r="I212" s="23">
        <v>0.08</v>
      </c>
      <c r="J212" s="17">
        <f>OR(F212&lt;&gt;0,G212&lt;&gt;0,H212&lt;&gt;0,I212&lt;&gt;0)*(F212 + (F212 = 0))*(G212 + (G212 = 0))*(H212 + (H212 = 0))*(I212 + (I212 = 0))</f>
        <v>0.2</v>
      </c>
      <c r="K212" s="9"/>
      <c r="L212" s="9"/>
      <c r="M212" s="9"/>
    </row>
    <row r="213" spans="1:13">
      <c r="A213" s="9"/>
      <c r="B213" s="9"/>
      <c r="C213" s="10" t="s">
        <v>27</v>
      </c>
      <c r="D213" s="30"/>
      <c r="E213" s="10" t="s">
        <v>17</v>
      </c>
      <c r="F213" s="19">
        <v>1</v>
      </c>
      <c r="G213" s="23">
        <v>1.4</v>
      </c>
      <c r="H213" s="23">
        <v>0</v>
      </c>
      <c r="I213" s="23">
        <v>0.08</v>
      </c>
      <c r="J213" s="17">
        <f>OR(F213&lt;&gt;0,G213&lt;&gt;0,H213&lt;&gt;0,I213&lt;&gt;0)*(F213 + (F213 = 0))*(G213 + (G213 = 0))*(H213 + (H213 = 0))*(I213 + (I213 = 0))</f>
        <v>0.11</v>
      </c>
      <c r="K213" s="9"/>
      <c r="L213" s="9"/>
      <c r="M213" s="9"/>
    </row>
    <row r="214" spans="1:13">
      <c r="A214" s="9"/>
      <c r="B214" s="9"/>
      <c r="C214" s="10" t="s">
        <v>27</v>
      </c>
      <c r="D214" s="30"/>
      <c r="E214" s="10" t="s">
        <v>17</v>
      </c>
      <c r="F214" s="19">
        <v>1</v>
      </c>
      <c r="G214" s="23">
        <v>1.07</v>
      </c>
      <c r="H214" s="23">
        <v>0</v>
      </c>
      <c r="I214" s="23">
        <v>0.08</v>
      </c>
      <c r="J214" s="17">
        <f>OR(F214&lt;&gt;0,G214&lt;&gt;0,H214&lt;&gt;0,I214&lt;&gt;0)*(F214 + (F214 = 0))*(G214 + (G214 = 0))*(H214 + (H214 = 0))*(I214 + (I214 = 0))</f>
        <v>0.09</v>
      </c>
      <c r="K214" s="9"/>
      <c r="L214" s="9"/>
      <c r="M214" s="9"/>
    </row>
    <row r="215" spans="1:13">
      <c r="A215" s="9"/>
      <c r="B215" s="9"/>
      <c r="C215" s="10" t="s">
        <v>27</v>
      </c>
      <c r="D215" s="30"/>
      <c r="E215" s="10" t="s">
        <v>17</v>
      </c>
      <c r="F215" s="19">
        <v>1</v>
      </c>
      <c r="G215" s="23">
        <v>1.34</v>
      </c>
      <c r="H215" s="23">
        <v>0</v>
      </c>
      <c r="I215" s="23">
        <v>0.08</v>
      </c>
      <c r="J215" s="17">
        <f>OR(F215&lt;&gt;0,G215&lt;&gt;0,H215&lt;&gt;0,I215&lt;&gt;0)*(F215 + (F215 = 0))*(G215 + (G215 = 0))*(H215 + (H215 = 0))*(I215 + (I215 = 0))</f>
        <v>0.11</v>
      </c>
      <c r="K215" s="9"/>
      <c r="L215" s="9"/>
      <c r="M215" s="9"/>
    </row>
    <row r="216" spans="1:13">
      <c r="A216" s="9"/>
      <c r="B216" s="9"/>
      <c r="C216" s="10" t="s">
        <v>27</v>
      </c>
      <c r="D216" s="30"/>
      <c r="E216" s="10" t="s">
        <v>17</v>
      </c>
      <c r="F216" s="19">
        <v>1</v>
      </c>
      <c r="G216" s="23">
        <v>2.4</v>
      </c>
      <c r="H216" s="23">
        <v>0</v>
      </c>
      <c r="I216" s="23">
        <v>0.08</v>
      </c>
      <c r="J216" s="17">
        <f>OR(F216&lt;&gt;0,G216&lt;&gt;0,H216&lt;&gt;0,I216&lt;&gt;0)*(F216 + (F216 = 0))*(G216 + (G216 = 0))*(H216 + (H216 = 0))*(I216 + (I216 = 0))</f>
        <v>0.19</v>
      </c>
      <c r="K216" s="9"/>
      <c r="L216" s="9"/>
      <c r="M216" s="9"/>
    </row>
    <row r="217" spans="1:13">
      <c r="A217" s="9"/>
      <c r="B217" s="9"/>
      <c r="C217" s="10" t="s">
        <v>27</v>
      </c>
      <c r="D217" s="30"/>
      <c r="E217" s="10" t="s">
        <v>17</v>
      </c>
      <c r="F217" s="19">
        <v>1</v>
      </c>
      <c r="G217" s="23">
        <v>4.2</v>
      </c>
      <c r="H217" s="23">
        <v>0</v>
      </c>
      <c r="I217" s="23">
        <v>0.08</v>
      </c>
      <c r="J217" s="17">
        <f>OR(F217&lt;&gt;0,G217&lt;&gt;0,H217&lt;&gt;0,I217&lt;&gt;0)*(F217 + (F217 = 0))*(G217 + (G217 = 0))*(H217 + (H217 = 0))*(I217 + (I217 = 0))</f>
        <v>0.34</v>
      </c>
      <c r="K217" s="9"/>
      <c r="L217" s="9"/>
      <c r="M217" s="9"/>
    </row>
    <row r="218" spans="1:13">
      <c r="A218" s="9"/>
      <c r="B218" s="9"/>
      <c r="C218" s="10" t="s">
        <v>27</v>
      </c>
      <c r="D218" s="30"/>
      <c r="E218" s="10" t="s">
        <v>17</v>
      </c>
      <c r="F218" s="19">
        <v>1</v>
      </c>
      <c r="G218" s="23">
        <v>1.65</v>
      </c>
      <c r="H218" s="23">
        <v>0</v>
      </c>
      <c r="I218" s="23">
        <v>0.08</v>
      </c>
      <c r="J218" s="17">
        <f>OR(F218&lt;&gt;0,G218&lt;&gt;0,H218&lt;&gt;0,I218&lt;&gt;0)*(F218 + (F218 = 0))*(G218 + (G218 = 0))*(H218 + (H218 = 0))*(I218 + (I218 = 0))</f>
        <v>0.13</v>
      </c>
      <c r="K218" s="9"/>
      <c r="L218" s="9"/>
      <c r="M218" s="9"/>
    </row>
    <row r="219" spans="1:13">
      <c r="A219" s="9"/>
      <c r="B219" s="9"/>
      <c r="C219" s="10" t="s">
        <v>27</v>
      </c>
      <c r="D219" s="30"/>
      <c r="E219" s="10" t="s">
        <v>17</v>
      </c>
      <c r="F219" s="19">
        <v>1</v>
      </c>
      <c r="G219" s="23">
        <v>1.34</v>
      </c>
      <c r="H219" s="23">
        <v>0</v>
      </c>
      <c r="I219" s="23">
        <v>0.08</v>
      </c>
      <c r="J219" s="17">
        <f>OR(F219&lt;&gt;0,G219&lt;&gt;0,H219&lt;&gt;0,I219&lt;&gt;0)*(F219 + (F219 = 0))*(G219 + (G219 = 0))*(H219 + (H219 = 0))*(I219 + (I219 = 0))</f>
        <v>0.11</v>
      </c>
      <c r="K219" s="9"/>
      <c r="L219" s="9"/>
      <c r="M219" s="9"/>
    </row>
    <row r="220" spans="1:13">
      <c r="A220" s="9"/>
      <c r="B220" s="9"/>
      <c r="C220" s="9"/>
      <c r="D220" s="30"/>
      <c r="E220" s="9"/>
      <c r="F220" s="9"/>
      <c r="G220" s="9"/>
      <c r="H220" s="9"/>
      <c r="I220" s="9"/>
      <c r="J220" s="21" t="s">
        <v>208</v>
      </c>
      <c r="K220" s="22">
        <f>SUM(J210:J219)</f>
        <v>4.05</v>
      </c>
      <c r="L220" s="23">
        <v>0</v>
      </c>
      <c r="M220" s="24">
        <f>ROUND(K220*L220,2)</f>
        <v>0</v>
      </c>
    </row>
    <row r="221" spans="1:13" ht="0.95" customHeight="1">
      <c r="A221" s="25"/>
      <c r="B221" s="25"/>
      <c r="C221" s="25"/>
      <c r="D221" s="31"/>
      <c r="E221" s="25"/>
      <c r="F221" s="25"/>
      <c r="G221" s="25"/>
      <c r="H221" s="25"/>
      <c r="I221" s="25"/>
      <c r="J221" s="25"/>
      <c r="K221" s="25"/>
      <c r="L221" s="25"/>
      <c r="M221" s="25"/>
    </row>
    <row r="222" spans="1:13">
      <c r="A222" s="15" t="s">
        <v>209</v>
      </c>
      <c r="B222" s="10" t="s">
        <v>23</v>
      </c>
      <c r="C222" s="10" t="s">
        <v>204</v>
      </c>
      <c r="D222" s="18" t="s">
        <v>210</v>
      </c>
      <c r="E222" s="9"/>
      <c r="F222" s="9"/>
      <c r="G222" s="9"/>
      <c r="H222" s="9"/>
      <c r="I222" s="9"/>
      <c r="J222" s="9"/>
      <c r="K222" s="20">
        <v>0</v>
      </c>
      <c r="L222" s="23">
        <v>0</v>
      </c>
      <c r="M222" s="17">
        <f>ROUND(K222*L222,2)</f>
        <v>0</v>
      </c>
    </row>
    <row r="223" spans="1:13">
      <c r="A223" s="9"/>
      <c r="B223" s="9"/>
      <c r="C223" s="9"/>
      <c r="D223" s="18" t="s">
        <v>211</v>
      </c>
      <c r="E223" s="9"/>
      <c r="F223" s="9"/>
      <c r="G223" s="9"/>
      <c r="H223" s="9"/>
      <c r="I223" s="9"/>
      <c r="J223" s="9"/>
      <c r="K223" s="9"/>
      <c r="L223" s="9"/>
      <c r="M223" s="9"/>
    </row>
    <row r="224" spans="1:13" ht="22.5">
      <c r="A224" s="15" t="s">
        <v>212</v>
      </c>
      <c r="B224" s="10" t="s">
        <v>23</v>
      </c>
      <c r="C224" s="10" t="s">
        <v>204</v>
      </c>
      <c r="D224" s="18" t="s">
        <v>213</v>
      </c>
      <c r="E224" s="9"/>
      <c r="F224" s="9"/>
      <c r="G224" s="9"/>
      <c r="H224" s="9"/>
      <c r="I224" s="9"/>
      <c r="J224" s="9"/>
      <c r="K224" s="16">
        <f>K228</f>
        <v>10.119999999999999</v>
      </c>
      <c r="L224" s="17">
        <f>L228</f>
        <v>0</v>
      </c>
      <c r="M224" s="17">
        <f>M228</f>
        <v>0</v>
      </c>
    </row>
    <row r="225" spans="1:13">
      <c r="A225" s="9"/>
      <c r="B225" s="9"/>
      <c r="C225" s="9"/>
      <c r="D225" s="18" t="s">
        <v>214</v>
      </c>
      <c r="E225" s="9"/>
      <c r="F225" s="9"/>
      <c r="G225" s="9"/>
      <c r="H225" s="9"/>
      <c r="I225" s="9"/>
      <c r="J225" s="9"/>
      <c r="K225" s="9"/>
      <c r="L225" s="9"/>
      <c r="M225" s="9"/>
    </row>
    <row r="226" spans="1:13">
      <c r="A226" s="9"/>
      <c r="B226" s="9"/>
      <c r="C226" s="10" t="s">
        <v>27</v>
      </c>
      <c r="D226" s="30"/>
      <c r="E226" s="10" t="s">
        <v>215</v>
      </c>
      <c r="F226" s="19">
        <v>1</v>
      </c>
      <c r="G226" s="23">
        <v>2</v>
      </c>
      <c r="H226" s="23">
        <v>0</v>
      </c>
      <c r="I226" s="23">
        <v>2.2999999999999998</v>
      </c>
      <c r="J226" s="17">
        <f>OR(F226&lt;&gt;0,G226&lt;&gt;0,H226&lt;&gt;0,I226&lt;&gt;0)*(F226 + (F226 = 0))*(G226 + (G226 = 0))*(H226 + (H226 = 0))*(I226 + (I226 = 0))</f>
        <v>4.5999999999999996</v>
      </c>
      <c r="K226" s="9"/>
      <c r="L226" s="9"/>
      <c r="M226" s="9"/>
    </row>
    <row r="227" spans="1:13">
      <c r="A227" s="9"/>
      <c r="B227" s="9"/>
      <c r="C227" s="10" t="s">
        <v>27</v>
      </c>
      <c r="D227" s="30"/>
      <c r="E227" s="10" t="s">
        <v>216</v>
      </c>
      <c r="F227" s="19">
        <v>1</v>
      </c>
      <c r="G227" s="23">
        <v>2.4</v>
      </c>
      <c r="H227" s="23">
        <v>0</v>
      </c>
      <c r="I227" s="23">
        <v>2.2999999999999998</v>
      </c>
      <c r="J227" s="17">
        <f>OR(F227&lt;&gt;0,G227&lt;&gt;0,H227&lt;&gt;0,I227&lt;&gt;0)*(F227 + (F227 = 0))*(G227 + (G227 = 0))*(H227 + (H227 = 0))*(I227 + (I227 = 0))</f>
        <v>5.52</v>
      </c>
      <c r="K227" s="9"/>
      <c r="L227" s="9"/>
      <c r="M227" s="9"/>
    </row>
    <row r="228" spans="1:13">
      <c r="A228" s="9"/>
      <c r="B228" s="9"/>
      <c r="C228" s="9"/>
      <c r="D228" s="30"/>
      <c r="E228" s="9"/>
      <c r="F228" s="9"/>
      <c r="G228" s="9"/>
      <c r="H228" s="9"/>
      <c r="I228" s="9"/>
      <c r="J228" s="21" t="s">
        <v>217</v>
      </c>
      <c r="K228" s="22">
        <f>SUM(J226:J227)</f>
        <v>10.119999999999999</v>
      </c>
      <c r="L228" s="23">
        <v>0</v>
      </c>
      <c r="M228" s="24">
        <f>ROUND(K228*L228,2)</f>
        <v>0</v>
      </c>
    </row>
    <row r="229" spans="1:13" ht="0.95" customHeight="1">
      <c r="A229" s="25"/>
      <c r="B229" s="25"/>
      <c r="C229" s="25"/>
      <c r="D229" s="31"/>
      <c r="E229" s="25"/>
      <c r="F229" s="25"/>
      <c r="G229" s="25"/>
      <c r="H229" s="25"/>
      <c r="I229" s="25"/>
      <c r="J229" s="25"/>
      <c r="K229" s="25"/>
      <c r="L229" s="25"/>
      <c r="M229" s="25"/>
    </row>
    <row r="230" spans="1:13">
      <c r="A230" s="9"/>
      <c r="B230" s="9"/>
      <c r="C230" s="9"/>
      <c r="D230" s="30"/>
      <c r="E230" s="9"/>
      <c r="F230" s="9"/>
      <c r="G230" s="9"/>
      <c r="H230" s="9"/>
      <c r="I230" s="9"/>
      <c r="J230" s="21" t="s">
        <v>218</v>
      </c>
      <c r="K230" s="20">
        <v>1</v>
      </c>
      <c r="L230" s="24">
        <f>M208+M222+M224</f>
        <v>0</v>
      </c>
      <c r="M230" s="24">
        <f>ROUND(K230*L230,2)</f>
        <v>0</v>
      </c>
    </row>
    <row r="231" spans="1:13" ht="0.95" customHeight="1">
      <c r="A231" s="25"/>
      <c r="B231" s="25"/>
      <c r="C231" s="25"/>
      <c r="D231" s="31"/>
      <c r="E231" s="25"/>
      <c r="F231" s="25"/>
      <c r="G231" s="25"/>
      <c r="H231" s="25"/>
      <c r="I231" s="25"/>
      <c r="J231" s="25"/>
      <c r="K231" s="25"/>
      <c r="L231" s="25"/>
      <c r="M231" s="25"/>
    </row>
    <row r="232" spans="1:13">
      <c r="A232" s="9"/>
      <c r="B232" s="9"/>
      <c r="C232" s="9"/>
      <c r="D232" s="30"/>
      <c r="E232" s="9"/>
      <c r="F232" s="9"/>
      <c r="G232" s="9"/>
      <c r="H232" s="9"/>
      <c r="I232" s="9"/>
      <c r="J232" s="21" t="s">
        <v>219</v>
      </c>
      <c r="K232" s="26">
        <v>1</v>
      </c>
      <c r="L232" s="24">
        <f>M134+M181+M207</f>
        <v>0</v>
      </c>
      <c r="M232" s="24">
        <f>ROUND(K232*L232,2)</f>
        <v>0</v>
      </c>
    </row>
    <row r="233" spans="1:13" ht="0.95" customHeight="1">
      <c r="A233" s="25"/>
      <c r="B233" s="25"/>
      <c r="C233" s="25"/>
      <c r="D233" s="31"/>
      <c r="E233" s="25"/>
      <c r="F233" s="25"/>
      <c r="G233" s="25"/>
      <c r="H233" s="25"/>
      <c r="I233" s="25"/>
      <c r="J233" s="25"/>
      <c r="K233" s="25"/>
      <c r="L233" s="25"/>
      <c r="M233" s="25"/>
    </row>
    <row r="234" spans="1:13">
      <c r="A234" s="5" t="s">
        <v>220</v>
      </c>
      <c r="B234" s="5" t="s">
        <v>16</v>
      </c>
      <c r="C234" s="5" t="s">
        <v>17</v>
      </c>
      <c r="D234" s="28" t="s">
        <v>221</v>
      </c>
      <c r="E234" s="6"/>
      <c r="F234" s="6"/>
      <c r="G234" s="6"/>
      <c r="H234" s="6"/>
      <c r="I234" s="6"/>
      <c r="J234" s="6"/>
      <c r="K234" s="7">
        <f>K314</f>
        <v>1</v>
      </c>
      <c r="L234" s="8">
        <f>L314</f>
        <v>0</v>
      </c>
      <c r="M234" s="8">
        <f>M314</f>
        <v>0</v>
      </c>
    </row>
    <row r="235" spans="1:13">
      <c r="A235" s="11" t="s">
        <v>222</v>
      </c>
      <c r="B235" s="11" t="s">
        <v>16</v>
      </c>
      <c r="C235" s="11" t="s">
        <v>17</v>
      </c>
      <c r="D235" s="29" t="s">
        <v>223</v>
      </c>
      <c r="E235" s="12"/>
      <c r="F235" s="12"/>
      <c r="G235" s="12"/>
      <c r="H235" s="12"/>
      <c r="I235" s="12"/>
      <c r="J235" s="12"/>
      <c r="K235" s="13">
        <f>K259</f>
        <v>1</v>
      </c>
      <c r="L235" s="14">
        <f>L259</f>
        <v>0</v>
      </c>
      <c r="M235" s="14">
        <f>M259</f>
        <v>0</v>
      </c>
    </row>
    <row r="236" spans="1:13" ht="33.75">
      <c r="A236" s="15" t="s">
        <v>224</v>
      </c>
      <c r="B236" s="10" t="s">
        <v>23</v>
      </c>
      <c r="C236" s="10" t="s">
        <v>94</v>
      </c>
      <c r="D236" s="18" t="s">
        <v>225</v>
      </c>
      <c r="E236" s="9"/>
      <c r="F236" s="9"/>
      <c r="G236" s="9"/>
      <c r="H236" s="9"/>
      <c r="I236" s="9"/>
      <c r="J236" s="9"/>
      <c r="K236" s="16">
        <f>K242</f>
        <v>25.687999999999999</v>
      </c>
      <c r="L236" s="17">
        <f>L242</f>
        <v>0</v>
      </c>
      <c r="M236" s="17">
        <f>M242</f>
        <v>0</v>
      </c>
    </row>
    <row r="237" spans="1:13">
      <c r="A237" s="9"/>
      <c r="B237" s="9"/>
      <c r="C237" s="9"/>
      <c r="D237" s="18" t="s">
        <v>226</v>
      </c>
      <c r="E237" s="9"/>
      <c r="F237" s="9"/>
      <c r="G237" s="9"/>
      <c r="H237" s="9"/>
      <c r="I237" s="9"/>
      <c r="J237" s="9"/>
      <c r="K237" s="9"/>
      <c r="L237" s="9"/>
      <c r="M237" s="9"/>
    </row>
    <row r="238" spans="1:13">
      <c r="A238" s="9"/>
      <c r="B238" s="9"/>
      <c r="C238" s="10" t="s">
        <v>27</v>
      </c>
      <c r="D238" s="30"/>
      <c r="E238" s="10" t="s">
        <v>227</v>
      </c>
      <c r="F238" s="19">
        <v>1</v>
      </c>
      <c r="G238" s="20">
        <v>2.25</v>
      </c>
      <c r="H238" s="20">
        <v>0</v>
      </c>
      <c r="I238" s="20">
        <v>1.1000000000000001</v>
      </c>
      <c r="J238" s="16">
        <f>OR(F238&lt;&gt;0,G238&lt;&gt;0,H238&lt;&gt;0,I238&lt;&gt;0)*(F238 + (F238 = 0))*(G238 + (G238 = 0))*(H238 + (H238 = 0))*(I238 + (I238 = 0))</f>
        <v>2.4750000000000001</v>
      </c>
      <c r="K238" s="9"/>
      <c r="L238" s="9"/>
      <c r="M238" s="9"/>
    </row>
    <row r="239" spans="1:13">
      <c r="A239" s="9"/>
      <c r="B239" s="9"/>
      <c r="C239" s="10" t="s">
        <v>27</v>
      </c>
      <c r="D239" s="30"/>
      <c r="E239" s="10" t="s">
        <v>17</v>
      </c>
      <c r="F239" s="19">
        <v>1</v>
      </c>
      <c r="G239" s="20">
        <v>2.6</v>
      </c>
      <c r="H239" s="20">
        <v>0</v>
      </c>
      <c r="I239" s="20">
        <v>2.75</v>
      </c>
      <c r="J239" s="16">
        <f>OR(F239&lt;&gt;0,G239&lt;&gt;0,H239&lt;&gt;0,I239&lt;&gt;0)*(F239 + (F239 = 0))*(G239 + (G239 = 0))*(H239 + (H239 = 0))*(I239 + (I239 = 0))</f>
        <v>7.15</v>
      </c>
      <c r="K239" s="9"/>
      <c r="L239" s="9"/>
      <c r="M239" s="9"/>
    </row>
    <row r="240" spans="1:13">
      <c r="A240" s="9"/>
      <c r="B240" s="9"/>
      <c r="C240" s="10" t="s">
        <v>27</v>
      </c>
      <c r="D240" s="30"/>
      <c r="E240" s="10" t="s">
        <v>17</v>
      </c>
      <c r="F240" s="19">
        <v>1</v>
      </c>
      <c r="G240" s="20">
        <v>2.75</v>
      </c>
      <c r="H240" s="20">
        <v>0</v>
      </c>
      <c r="I240" s="20">
        <v>2.75</v>
      </c>
      <c r="J240" s="16">
        <f>OR(F240&lt;&gt;0,G240&lt;&gt;0,H240&lt;&gt;0,I240&lt;&gt;0)*(F240 + (F240 = 0))*(G240 + (G240 = 0))*(H240 + (H240 = 0))*(I240 + (I240 = 0))</f>
        <v>7.5629999999999997</v>
      </c>
      <c r="K240" s="9"/>
      <c r="L240" s="9"/>
      <c r="M240" s="9"/>
    </row>
    <row r="241" spans="1:13">
      <c r="A241" s="9"/>
      <c r="B241" s="9"/>
      <c r="C241" s="10" t="s">
        <v>27</v>
      </c>
      <c r="D241" s="30"/>
      <c r="E241" s="10" t="s">
        <v>228</v>
      </c>
      <c r="F241" s="19">
        <v>2</v>
      </c>
      <c r="G241" s="20">
        <v>1.7</v>
      </c>
      <c r="H241" s="20">
        <v>0</v>
      </c>
      <c r="I241" s="20">
        <v>2.5</v>
      </c>
      <c r="J241" s="16">
        <f>OR(F241&lt;&gt;0,G241&lt;&gt;0,H241&lt;&gt;0,I241&lt;&gt;0)*(F241 + (F241 = 0))*(G241 + (G241 = 0))*(H241 + (H241 = 0))*(I241 + (I241 = 0))</f>
        <v>8.5</v>
      </c>
      <c r="K241" s="9"/>
      <c r="L241" s="9"/>
      <c r="M241" s="9"/>
    </row>
    <row r="242" spans="1:13">
      <c r="A242" s="9"/>
      <c r="B242" s="9"/>
      <c r="C242" s="9"/>
      <c r="D242" s="30"/>
      <c r="E242" s="9"/>
      <c r="F242" s="9"/>
      <c r="G242" s="9"/>
      <c r="H242" s="9"/>
      <c r="I242" s="9"/>
      <c r="J242" s="21" t="s">
        <v>229</v>
      </c>
      <c r="K242" s="22">
        <f>SUM(J238:J241)</f>
        <v>25.687999999999999</v>
      </c>
      <c r="L242" s="23">
        <v>0</v>
      </c>
      <c r="M242" s="24">
        <f>ROUND(K242*L242,2)</f>
        <v>0</v>
      </c>
    </row>
    <row r="243" spans="1:13" ht="0.95" customHeight="1">
      <c r="A243" s="25"/>
      <c r="B243" s="25"/>
      <c r="C243" s="25"/>
      <c r="D243" s="31"/>
      <c r="E243" s="25"/>
      <c r="F243" s="25"/>
      <c r="G243" s="25"/>
      <c r="H243" s="25"/>
      <c r="I243" s="25"/>
      <c r="J243" s="25"/>
      <c r="K243" s="25"/>
      <c r="L243" s="25"/>
      <c r="M243" s="25"/>
    </row>
    <row r="244" spans="1:13" ht="33.75">
      <c r="A244" s="15" t="s">
        <v>230</v>
      </c>
      <c r="B244" s="10" t="s">
        <v>23</v>
      </c>
      <c r="C244" s="10" t="s">
        <v>94</v>
      </c>
      <c r="D244" s="18" t="s">
        <v>231</v>
      </c>
      <c r="E244" s="9"/>
      <c r="F244" s="9"/>
      <c r="G244" s="9"/>
      <c r="H244" s="9"/>
      <c r="I244" s="9"/>
      <c r="J244" s="9"/>
      <c r="K244" s="16">
        <f>K247</f>
        <v>13.15</v>
      </c>
      <c r="L244" s="17">
        <f>L247</f>
        <v>0</v>
      </c>
      <c r="M244" s="17">
        <f>M247</f>
        <v>0</v>
      </c>
    </row>
    <row r="245" spans="1:13">
      <c r="A245" s="9"/>
      <c r="B245" s="9"/>
      <c r="C245" s="9"/>
      <c r="D245" s="18" t="s">
        <v>232</v>
      </c>
      <c r="E245" s="9"/>
      <c r="F245" s="9"/>
      <c r="G245" s="9"/>
      <c r="H245" s="9"/>
      <c r="I245" s="9"/>
      <c r="J245" s="9"/>
      <c r="K245" s="9"/>
      <c r="L245" s="9"/>
      <c r="M245" s="9"/>
    </row>
    <row r="246" spans="1:13">
      <c r="A246" s="9"/>
      <c r="B246" s="9"/>
      <c r="C246" s="10" t="s">
        <v>27</v>
      </c>
      <c r="D246" s="30"/>
      <c r="E246" s="10" t="s">
        <v>228</v>
      </c>
      <c r="F246" s="19">
        <v>1</v>
      </c>
      <c r="G246" s="20">
        <v>13.15</v>
      </c>
      <c r="H246" s="20">
        <v>0</v>
      </c>
      <c r="I246" s="20">
        <v>0</v>
      </c>
      <c r="J246" s="16">
        <f>OR(F246&lt;&gt;0,G246&lt;&gt;0,H246&lt;&gt;0,I246&lt;&gt;0)*(F246 + (F246 = 0))*(G246 + (G246 = 0))*(H246 + (H246 = 0))*(I246 + (I246 = 0))</f>
        <v>13.15</v>
      </c>
      <c r="K246" s="9"/>
      <c r="L246" s="9"/>
      <c r="M246" s="9"/>
    </row>
    <row r="247" spans="1:13">
      <c r="A247" s="9"/>
      <c r="B247" s="9"/>
      <c r="C247" s="9"/>
      <c r="D247" s="30"/>
      <c r="E247" s="9"/>
      <c r="F247" s="9"/>
      <c r="G247" s="9"/>
      <c r="H247" s="9"/>
      <c r="I247" s="9"/>
      <c r="J247" s="21" t="s">
        <v>233</v>
      </c>
      <c r="K247" s="22">
        <f>J246</f>
        <v>13.15</v>
      </c>
      <c r="L247" s="23">
        <v>0</v>
      </c>
      <c r="M247" s="24">
        <f>ROUND(K247*L247,2)</f>
        <v>0</v>
      </c>
    </row>
    <row r="248" spans="1:13" ht="0.95" customHeight="1">
      <c r="A248" s="25"/>
      <c r="B248" s="25"/>
      <c r="C248" s="25"/>
      <c r="D248" s="31"/>
      <c r="E248" s="25"/>
      <c r="F248" s="25"/>
      <c r="G248" s="25"/>
      <c r="H248" s="25"/>
      <c r="I248" s="25"/>
      <c r="J248" s="25"/>
      <c r="K248" s="25"/>
      <c r="L248" s="25"/>
      <c r="M248" s="25"/>
    </row>
    <row r="249" spans="1:13" ht="33.75">
      <c r="A249" s="15" t="s">
        <v>234</v>
      </c>
      <c r="B249" s="10" t="s">
        <v>23</v>
      </c>
      <c r="C249" s="10" t="s">
        <v>94</v>
      </c>
      <c r="D249" s="18" t="s">
        <v>235</v>
      </c>
      <c r="E249" s="9"/>
      <c r="F249" s="9"/>
      <c r="G249" s="9"/>
      <c r="H249" s="9"/>
      <c r="I249" s="9"/>
      <c r="J249" s="9"/>
      <c r="K249" s="16">
        <f>K252</f>
        <v>38.9</v>
      </c>
      <c r="L249" s="17">
        <f>L252</f>
        <v>0</v>
      </c>
      <c r="M249" s="17">
        <f>M252</f>
        <v>0</v>
      </c>
    </row>
    <row r="250" spans="1:13">
      <c r="A250" s="9"/>
      <c r="B250" s="9"/>
      <c r="C250" s="9"/>
      <c r="D250" s="18" t="s">
        <v>236</v>
      </c>
      <c r="E250" s="9"/>
      <c r="F250" s="9"/>
      <c r="G250" s="9"/>
      <c r="H250" s="9"/>
      <c r="I250" s="9"/>
      <c r="J250" s="9"/>
      <c r="K250" s="9"/>
      <c r="L250" s="9"/>
      <c r="M250" s="9"/>
    </row>
    <row r="251" spans="1:13">
      <c r="A251" s="9"/>
      <c r="B251" s="9"/>
      <c r="C251" s="10" t="s">
        <v>27</v>
      </c>
      <c r="D251" s="30"/>
      <c r="E251" s="10" t="s">
        <v>17</v>
      </c>
      <c r="F251" s="19">
        <v>1</v>
      </c>
      <c r="G251" s="20">
        <v>38.9</v>
      </c>
      <c r="H251" s="20">
        <v>0</v>
      </c>
      <c r="I251" s="20">
        <v>0</v>
      </c>
      <c r="J251" s="16">
        <f>OR(F251&lt;&gt;0,G251&lt;&gt;0,H251&lt;&gt;0,I251&lt;&gt;0)*(F251 + (F251 = 0))*(G251 + (G251 = 0))*(H251 + (H251 = 0))*(I251 + (I251 = 0))</f>
        <v>38.9</v>
      </c>
      <c r="K251" s="9"/>
      <c r="L251" s="9"/>
      <c r="M251" s="9"/>
    </row>
    <row r="252" spans="1:13">
      <c r="A252" s="9"/>
      <c r="B252" s="9"/>
      <c r="C252" s="9"/>
      <c r="D252" s="30"/>
      <c r="E252" s="9"/>
      <c r="F252" s="9"/>
      <c r="G252" s="9"/>
      <c r="H252" s="9"/>
      <c r="I252" s="9"/>
      <c r="J252" s="21" t="s">
        <v>237</v>
      </c>
      <c r="K252" s="22">
        <f>J251</f>
        <v>38.9</v>
      </c>
      <c r="L252" s="23">
        <v>0</v>
      </c>
      <c r="M252" s="24">
        <f>ROUND(K252*L252,2)</f>
        <v>0</v>
      </c>
    </row>
    <row r="253" spans="1:13" ht="0.95" customHeight="1">
      <c r="A253" s="25"/>
      <c r="B253" s="25"/>
      <c r="C253" s="25"/>
      <c r="D253" s="31"/>
      <c r="E253" s="25"/>
      <c r="F253" s="25"/>
      <c r="G253" s="25"/>
      <c r="H253" s="25"/>
      <c r="I253" s="25"/>
      <c r="J253" s="25"/>
      <c r="K253" s="25"/>
      <c r="L253" s="25"/>
      <c r="M253" s="25"/>
    </row>
    <row r="254" spans="1:13" ht="22.5">
      <c r="A254" s="15" t="s">
        <v>238</v>
      </c>
      <c r="B254" s="10" t="s">
        <v>23</v>
      </c>
      <c r="C254" s="10" t="s">
        <v>204</v>
      </c>
      <c r="D254" s="18" t="s">
        <v>239</v>
      </c>
      <c r="E254" s="9"/>
      <c r="F254" s="9"/>
      <c r="G254" s="9"/>
      <c r="H254" s="9"/>
      <c r="I254" s="9"/>
      <c r="J254" s="9"/>
      <c r="K254" s="16">
        <f>K257</f>
        <v>12.54</v>
      </c>
      <c r="L254" s="17">
        <f>L257</f>
        <v>0</v>
      </c>
      <c r="M254" s="17">
        <f>M257</f>
        <v>0</v>
      </c>
    </row>
    <row r="255" spans="1:13">
      <c r="A255" s="9"/>
      <c r="B255" s="9"/>
      <c r="C255" s="9"/>
      <c r="D255" s="18" t="s">
        <v>240</v>
      </c>
      <c r="E255" s="9"/>
      <c r="F255" s="9"/>
      <c r="G255" s="9"/>
      <c r="H255" s="9"/>
      <c r="I255" s="9"/>
      <c r="J255" s="9"/>
      <c r="K255" s="9"/>
      <c r="L255" s="9"/>
      <c r="M255" s="9"/>
    </row>
    <row r="256" spans="1:13">
      <c r="A256" s="9"/>
      <c r="B256" s="9"/>
      <c r="C256" s="10" t="s">
        <v>27</v>
      </c>
      <c r="D256" s="30"/>
      <c r="E256" s="10" t="s">
        <v>17</v>
      </c>
      <c r="F256" s="19">
        <v>1</v>
      </c>
      <c r="G256" s="23">
        <v>0</v>
      </c>
      <c r="H256" s="23">
        <v>5.45</v>
      </c>
      <c r="I256" s="23">
        <v>2.2999999999999998</v>
      </c>
      <c r="J256" s="17">
        <f>OR(F256&lt;&gt;0,G256&lt;&gt;0,H256&lt;&gt;0,I256&lt;&gt;0)*(F256 + (F256 = 0))*(G256 + (G256 = 0))*(H256 + (H256 = 0))*(I256 + (I256 = 0))</f>
        <v>12.54</v>
      </c>
      <c r="K256" s="9"/>
      <c r="L256" s="9"/>
      <c r="M256" s="9"/>
    </row>
    <row r="257" spans="1:13">
      <c r="A257" s="9"/>
      <c r="B257" s="9"/>
      <c r="C257" s="9"/>
      <c r="D257" s="30"/>
      <c r="E257" s="9"/>
      <c r="F257" s="9"/>
      <c r="G257" s="9"/>
      <c r="H257" s="9"/>
      <c r="I257" s="9"/>
      <c r="J257" s="21" t="s">
        <v>241</v>
      </c>
      <c r="K257" s="22">
        <f>J256</f>
        <v>12.54</v>
      </c>
      <c r="L257" s="23">
        <v>0</v>
      </c>
      <c r="M257" s="24">
        <f>ROUND(K257*L257,2)</f>
        <v>0</v>
      </c>
    </row>
    <row r="258" spans="1:13" ht="0.95" customHeight="1">
      <c r="A258" s="25"/>
      <c r="B258" s="25"/>
      <c r="C258" s="25"/>
      <c r="D258" s="31"/>
      <c r="E258" s="25"/>
      <c r="F258" s="25"/>
      <c r="G258" s="25"/>
      <c r="H258" s="25"/>
      <c r="I258" s="25"/>
      <c r="J258" s="25"/>
      <c r="K258" s="25"/>
      <c r="L258" s="25"/>
      <c r="M258" s="25"/>
    </row>
    <row r="259" spans="1:13">
      <c r="A259" s="9"/>
      <c r="B259" s="9"/>
      <c r="C259" s="9"/>
      <c r="D259" s="30"/>
      <c r="E259" s="9"/>
      <c r="F259" s="9"/>
      <c r="G259" s="9"/>
      <c r="H259" s="9"/>
      <c r="I259" s="9"/>
      <c r="J259" s="21" t="s">
        <v>242</v>
      </c>
      <c r="K259" s="20">
        <v>1</v>
      </c>
      <c r="L259" s="24">
        <f>M236+M244+M249+M254</f>
        <v>0</v>
      </c>
      <c r="M259" s="24">
        <f>ROUND(K259*L259,2)</f>
        <v>0</v>
      </c>
    </row>
    <row r="260" spans="1:13" ht="0.95" customHeight="1">
      <c r="A260" s="25"/>
      <c r="B260" s="25"/>
      <c r="C260" s="25"/>
      <c r="D260" s="31"/>
      <c r="E260" s="25"/>
      <c r="F260" s="25"/>
      <c r="G260" s="25"/>
      <c r="H260" s="25"/>
      <c r="I260" s="25"/>
      <c r="J260" s="25"/>
      <c r="K260" s="25"/>
      <c r="L260" s="25"/>
      <c r="M260" s="25"/>
    </row>
    <row r="261" spans="1:13">
      <c r="A261" s="11" t="s">
        <v>243</v>
      </c>
      <c r="B261" s="11" t="s">
        <v>16</v>
      </c>
      <c r="C261" s="11" t="s">
        <v>17</v>
      </c>
      <c r="D261" s="29" t="s">
        <v>244</v>
      </c>
      <c r="E261" s="12"/>
      <c r="F261" s="12"/>
      <c r="G261" s="12"/>
      <c r="H261" s="12"/>
      <c r="I261" s="12"/>
      <c r="J261" s="12"/>
      <c r="K261" s="13">
        <f>K284</f>
        <v>1</v>
      </c>
      <c r="L261" s="14">
        <f>L284</f>
        <v>0</v>
      </c>
      <c r="M261" s="14">
        <f>M284</f>
        <v>0</v>
      </c>
    </row>
    <row r="262" spans="1:13" ht="22.5">
      <c r="A262" s="10" t="s">
        <v>245</v>
      </c>
      <c r="B262" s="10" t="s">
        <v>23</v>
      </c>
      <c r="C262" s="10" t="s">
        <v>94</v>
      </c>
      <c r="D262" s="18" t="s">
        <v>246</v>
      </c>
      <c r="E262" s="9"/>
      <c r="F262" s="9"/>
      <c r="G262" s="9"/>
      <c r="H262" s="9"/>
      <c r="I262" s="9"/>
      <c r="J262" s="9"/>
      <c r="K262" s="16">
        <f>K274</f>
        <v>79.349999999999994</v>
      </c>
      <c r="L262" s="17">
        <f>L274</f>
        <v>0</v>
      </c>
      <c r="M262" s="17">
        <f>M274</f>
        <v>0</v>
      </c>
    </row>
    <row r="263" spans="1:13">
      <c r="A263" s="9"/>
      <c r="B263" s="9"/>
      <c r="C263" s="9"/>
      <c r="D263" s="18" t="s">
        <v>247</v>
      </c>
      <c r="E263" s="9"/>
      <c r="F263" s="9"/>
      <c r="G263" s="9"/>
      <c r="H263" s="9"/>
      <c r="I263" s="9"/>
      <c r="J263" s="9"/>
      <c r="K263" s="9"/>
      <c r="L263" s="9"/>
      <c r="M263" s="9"/>
    </row>
    <row r="264" spans="1:13">
      <c r="A264" s="9"/>
      <c r="B264" s="9"/>
      <c r="C264" s="10" t="s">
        <v>27</v>
      </c>
      <c r="D264" s="30"/>
      <c r="E264" s="10" t="s">
        <v>97</v>
      </c>
      <c r="F264" s="19">
        <v>1</v>
      </c>
      <c r="G264" s="23">
        <v>10.7</v>
      </c>
      <c r="H264" s="23">
        <v>0</v>
      </c>
      <c r="I264" s="23">
        <v>2.2999999999999998</v>
      </c>
      <c r="J264" s="17">
        <f>OR(F264&lt;&gt;0,G264&lt;&gt;0,H264&lt;&gt;0,I264&lt;&gt;0)*(F264 + (F264 = 0))*(G264 + (G264 = 0))*(H264 + (H264 = 0))*(I264 + (I264 = 0))</f>
        <v>24.61</v>
      </c>
      <c r="K264" s="9"/>
      <c r="L264" s="9"/>
      <c r="M264" s="9"/>
    </row>
    <row r="265" spans="1:13">
      <c r="A265" s="9"/>
      <c r="B265" s="9"/>
      <c r="C265" s="10" t="s">
        <v>27</v>
      </c>
      <c r="D265" s="30"/>
      <c r="E265" s="10" t="s">
        <v>227</v>
      </c>
      <c r="F265" s="19"/>
      <c r="G265" s="23"/>
      <c r="H265" s="23"/>
      <c r="I265" s="23"/>
      <c r="J265" s="17">
        <f>OR(F265&lt;&gt;0,G265&lt;&gt;0,H265&lt;&gt;0,I265&lt;&gt;0)*(F265 + (F265 = 0))*(G265 + (G265 = 0))*(H265 + (H265 = 0))*(I265 + (I265 = 0))</f>
        <v>0</v>
      </c>
      <c r="K265" s="9"/>
      <c r="L265" s="9"/>
      <c r="M265" s="9"/>
    </row>
    <row r="266" spans="1:13">
      <c r="A266" s="9"/>
      <c r="B266" s="9"/>
      <c r="C266" s="10" t="s">
        <v>27</v>
      </c>
      <c r="D266" s="30"/>
      <c r="E266" s="10" t="s">
        <v>228</v>
      </c>
      <c r="F266" s="19">
        <v>1</v>
      </c>
      <c r="G266" s="23">
        <v>2.2400000000000002</v>
      </c>
      <c r="H266" s="23">
        <v>0</v>
      </c>
      <c r="I266" s="23">
        <v>2.4500000000000002</v>
      </c>
      <c r="J266" s="17">
        <f>OR(F266&lt;&gt;0,G266&lt;&gt;0,H266&lt;&gt;0,I266&lt;&gt;0)*(F266 + (F266 = 0))*(G266 + (G266 = 0))*(H266 + (H266 = 0))*(I266 + (I266 = 0))</f>
        <v>5.49</v>
      </c>
      <c r="K266" s="9"/>
      <c r="L266" s="9"/>
      <c r="M266" s="9"/>
    </row>
    <row r="267" spans="1:13">
      <c r="A267" s="9"/>
      <c r="B267" s="9"/>
      <c r="C267" s="10" t="s">
        <v>27</v>
      </c>
      <c r="D267" s="30"/>
      <c r="E267" s="10" t="s">
        <v>17</v>
      </c>
      <c r="F267" s="19">
        <v>1</v>
      </c>
      <c r="G267" s="23">
        <v>10.9</v>
      </c>
      <c r="H267" s="23">
        <v>0</v>
      </c>
      <c r="I267" s="23">
        <v>0</v>
      </c>
      <c r="J267" s="17">
        <f>OR(F267&lt;&gt;0,G267&lt;&gt;0,H267&lt;&gt;0,I267&lt;&gt;0)*(F267 + (F267 = 0))*(G267 + (G267 = 0))*(H267 + (H267 = 0))*(I267 + (I267 = 0))</f>
        <v>10.9</v>
      </c>
      <c r="K267" s="9"/>
      <c r="L267" s="9"/>
      <c r="M267" s="9"/>
    </row>
    <row r="268" spans="1:13">
      <c r="A268" s="9"/>
      <c r="B268" s="9"/>
      <c r="C268" s="10" t="s">
        <v>27</v>
      </c>
      <c r="D268" s="30"/>
      <c r="E268" s="10" t="s">
        <v>17</v>
      </c>
      <c r="F268" s="19">
        <v>1</v>
      </c>
      <c r="G268" s="23">
        <v>4.75</v>
      </c>
      <c r="H268" s="23">
        <v>0</v>
      </c>
      <c r="I268" s="23">
        <v>0</v>
      </c>
      <c r="J268" s="17">
        <f>OR(F268&lt;&gt;0,G268&lt;&gt;0,H268&lt;&gt;0,I268&lt;&gt;0)*(F268 + (F268 = 0))*(G268 + (G268 = 0))*(H268 + (H268 = 0))*(I268 + (I268 = 0))</f>
        <v>4.75</v>
      </c>
      <c r="K268" s="9"/>
      <c r="L268" s="9"/>
      <c r="M268" s="9"/>
    </row>
    <row r="269" spans="1:13">
      <c r="A269" s="9"/>
      <c r="B269" s="9"/>
      <c r="C269" s="10" t="s">
        <v>27</v>
      </c>
      <c r="D269" s="30"/>
      <c r="E269" s="10" t="s">
        <v>17</v>
      </c>
      <c r="F269" s="19">
        <v>1</v>
      </c>
      <c r="G269" s="23">
        <v>3</v>
      </c>
      <c r="H269" s="23">
        <v>0</v>
      </c>
      <c r="I269" s="23">
        <v>2.4500000000000002</v>
      </c>
      <c r="J269" s="17">
        <f>OR(F269&lt;&gt;0,G269&lt;&gt;0,H269&lt;&gt;0,I269&lt;&gt;0)*(F269 + (F269 = 0))*(G269 + (G269 = 0))*(H269 + (H269 = 0))*(I269 + (I269 = 0))</f>
        <v>7.35</v>
      </c>
      <c r="K269" s="9"/>
      <c r="L269" s="9"/>
      <c r="M269" s="9"/>
    </row>
    <row r="270" spans="1:13">
      <c r="A270" s="9"/>
      <c r="B270" s="9"/>
      <c r="C270" s="10" t="s">
        <v>27</v>
      </c>
      <c r="D270" s="30"/>
      <c r="E270" s="10" t="s">
        <v>17</v>
      </c>
      <c r="F270" s="19">
        <v>1</v>
      </c>
      <c r="G270" s="23">
        <v>10.050000000000001</v>
      </c>
      <c r="H270" s="23">
        <v>0</v>
      </c>
      <c r="I270" s="23">
        <v>0</v>
      </c>
      <c r="J270" s="17">
        <f>OR(F270&lt;&gt;0,G270&lt;&gt;0,H270&lt;&gt;0,I270&lt;&gt;0)*(F270 + (F270 = 0))*(G270 + (G270 = 0))*(H270 + (H270 = 0))*(I270 + (I270 = 0))</f>
        <v>10.050000000000001</v>
      </c>
      <c r="K270" s="9"/>
      <c r="L270" s="9"/>
      <c r="M270" s="9"/>
    </row>
    <row r="271" spans="1:13">
      <c r="A271" s="9"/>
      <c r="B271" s="9"/>
      <c r="C271" s="10" t="s">
        <v>27</v>
      </c>
      <c r="D271" s="30"/>
      <c r="E271" s="10" t="s">
        <v>17</v>
      </c>
      <c r="F271" s="19">
        <v>2</v>
      </c>
      <c r="G271" s="23">
        <v>1.8</v>
      </c>
      <c r="H271" s="23">
        <v>0</v>
      </c>
      <c r="I271" s="23">
        <v>0</v>
      </c>
      <c r="J271" s="17">
        <f>OR(F271&lt;&gt;0,G271&lt;&gt;0,H271&lt;&gt;0,I271&lt;&gt;0)*(F271 + (F271 = 0))*(G271 + (G271 = 0))*(H271 + (H271 = 0))*(I271 + (I271 = 0))</f>
        <v>3.6</v>
      </c>
      <c r="K271" s="9"/>
      <c r="L271" s="9"/>
      <c r="M271" s="9"/>
    </row>
    <row r="272" spans="1:13">
      <c r="A272" s="9"/>
      <c r="B272" s="9"/>
      <c r="C272" s="10" t="s">
        <v>27</v>
      </c>
      <c r="D272" s="30"/>
      <c r="E272" s="10" t="s">
        <v>17</v>
      </c>
      <c r="F272" s="19">
        <v>2</v>
      </c>
      <c r="G272" s="23">
        <v>0.5</v>
      </c>
      <c r="H272" s="23">
        <v>0</v>
      </c>
      <c r="I272" s="23">
        <v>2.6</v>
      </c>
      <c r="J272" s="17">
        <f>OR(F272&lt;&gt;0,G272&lt;&gt;0,H272&lt;&gt;0,I272&lt;&gt;0)*(F272 + (F272 = 0))*(G272 + (G272 = 0))*(H272 + (H272 = 0))*(I272 + (I272 = 0))</f>
        <v>2.6</v>
      </c>
      <c r="K272" s="9"/>
      <c r="L272" s="9"/>
      <c r="M272" s="9"/>
    </row>
    <row r="273" spans="1:13">
      <c r="A273" s="9"/>
      <c r="B273" s="9"/>
      <c r="C273" s="10" t="s">
        <v>27</v>
      </c>
      <c r="D273" s="30"/>
      <c r="E273" s="10" t="s">
        <v>248</v>
      </c>
      <c r="F273" s="19">
        <v>1</v>
      </c>
      <c r="G273" s="23">
        <v>10</v>
      </c>
      <c r="H273" s="23">
        <v>0</v>
      </c>
      <c r="I273" s="23">
        <v>0</v>
      </c>
      <c r="J273" s="17">
        <f>OR(F273&lt;&gt;0,G273&lt;&gt;0,H273&lt;&gt;0,I273&lt;&gt;0)*(F273 + (F273 = 0))*(G273 + (G273 = 0))*(H273 + (H273 = 0))*(I273 + (I273 = 0))</f>
        <v>10</v>
      </c>
      <c r="K273" s="9"/>
      <c r="L273" s="9"/>
      <c r="M273" s="9"/>
    </row>
    <row r="274" spans="1:13">
      <c r="A274" s="9"/>
      <c r="B274" s="9"/>
      <c r="C274" s="9"/>
      <c r="D274" s="30"/>
      <c r="E274" s="9"/>
      <c r="F274" s="9"/>
      <c r="G274" s="9"/>
      <c r="H274" s="9"/>
      <c r="I274" s="9"/>
      <c r="J274" s="21" t="s">
        <v>249</v>
      </c>
      <c r="K274" s="22">
        <f>SUM(J264:J273)</f>
        <v>79.349999999999994</v>
      </c>
      <c r="L274" s="23">
        <v>0</v>
      </c>
      <c r="M274" s="24">
        <f>ROUND(K274*L274,2)</f>
        <v>0</v>
      </c>
    </row>
    <row r="275" spans="1:13" ht="0.95" customHeight="1">
      <c r="A275" s="25"/>
      <c r="B275" s="25"/>
      <c r="C275" s="25"/>
      <c r="D275" s="31"/>
      <c r="E275" s="25"/>
      <c r="F275" s="25"/>
      <c r="G275" s="25"/>
      <c r="H275" s="25"/>
      <c r="I275" s="25"/>
      <c r="J275" s="25"/>
      <c r="K275" s="25"/>
      <c r="L275" s="25"/>
      <c r="M275" s="25"/>
    </row>
    <row r="276" spans="1:13" ht="22.5">
      <c r="A276" s="15" t="s">
        <v>250</v>
      </c>
      <c r="B276" s="10" t="s">
        <v>23</v>
      </c>
      <c r="C276" s="10" t="s">
        <v>94</v>
      </c>
      <c r="D276" s="18" t="s">
        <v>251</v>
      </c>
      <c r="E276" s="9"/>
      <c r="F276" s="9"/>
      <c r="G276" s="9"/>
      <c r="H276" s="9"/>
      <c r="I276" s="9"/>
      <c r="J276" s="9"/>
      <c r="K276" s="16">
        <f>K282</f>
        <v>49.13</v>
      </c>
      <c r="L276" s="17">
        <f>L282</f>
        <v>0</v>
      </c>
      <c r="M276" s="17">
        <f>M282</f>
        <v>0</v>
      </c>
    </row>
    <row r="277" spans="1:13">
      <c r="A277" s="9"/>
      <c r="B277" s="9"/>
      <c r="C277" s="9"/>
      <c r="D277" s="18" t="s">
        <v>252</v>
      </c>
      <c r="E277" s="9"/>
      <c r="F277" s="9"/>
      <c r="G277" s="9"/>
      <c r="H277" s="9"/>
      <c r="I277" s="9"/>
      <c r="J277" s="9"/>
      <c r="K277" s="9"/>
      <c r="L277" s="9"/>
      <c r="M277" s="9"/>
    </row>
    <row r="278" spans="1:13">
      <c r="A278" s="9"/>
      <c r="B278" s="9"/>
      <c r="C278" s="10" t="s">
        <v>27</v>
      </c>
      <c r="D278" s="30"/>
      <c r="E278" s="10" t="s">
        <v>111</v>
      </c>
      <c r="F278" s="19">
        <v>1</v>
      </c>
      <c r="G278" s="23">
        <v>6.56</v>
      </c>
      <c r="H278" s="23">
        <v>0</v>
      </c>
      <c r="I278" s="23">
        <v>2.65</v>
      </c>
      <c r="J278" s="17">
        <f>OR(F278&lt;&gt;0,G278&lt;&gt;0,H278&lt;&gt;0,I278&lt;&gt;0)*(F278 + (F278 = 0))*(G278 + (G278 = 0))*(H278 + (H278 = 0))*(I278 + (I278 = 0))</f>
        <v>17.38</v>
      </c>
      <c r="K278" s="9"/>
      <c r="L278" s="9"/>
      <c r="M278" s="9"/>
    </row>
    <row r="279" spans="1:13">
      <c r="A279" s="9"/>
      <c r="B279" s="9"/>
      <c r="C279" s="10" t="s">
        <v>27</v>
      </c>
      <c r="D279" s="30"/>
      <c r="E279" s="10" t="s">
        <v>253</v>
      </c>
      <c r="F279" s="19">
        <v>2</v>
      </c>
      <c r="G279" s="23">
        <v>7</v>
      </c>
      <c r="H279" s="23">
        <v>0</v>
      </c>
      <c r="I279" s="23">
        <v>0</v>
      </c>
      <c r="J279" s="17">
        <f>OR(F279&lt;&gt;0,G279&lt;&gt;0,H279&lt;&gt;0,I279&lt;&gt;0)*(F279 + (F279 = 0))*(G279 + (G279 = 0))*(H279 + (H279 = 0))*(I279 + (I279 = 0))</f>
        <v>14</v>
      </c>
      <c r="K279" s="9"/>
      <c r="L279" s="9"/>
      <c r="M279" s="9"/>
    </row>
    <row r="280" spans="1:13">
      <c r="A280" s="9"/>
      <c r="B280" s="9"/>
      <c r="C280" s="10" t="s">
        <v>27</v>
      </c>
      <c r="D280" s="30"/>
      <c r="E280" s="10" t="s">
        <v>17</v>
      </c>
      <c r="F280" s="19">
        <v>1</v>
      </c>
      <c r="G280" s="23">
        <v>5.37</v>
      </c>
      <c r="H280" s="23">
        <v>0</v>
      </c>
      <c r="I280" s="23">
        <v>2.42</v>
      </c>
      <c r="J280" s="17">
        <f>OR(F280&lt;&gt;0,G280&lt;&gt;0,H280&lt;&gt;0,I280&lt;&gt;0)*(F280 + (F280 = 0))*(G280 + (G280 = 0))*(H280 + (H280 = 0))*(I280 + (I280 = 0))</f>
        <v>13</v>
      </c>
      <c r="K280" s="9"/>
      <c r="L280" s="9"/>
      <c r="M280" s="9"/>
    </row>
    <row r="281" spans="1:13">
      <c r="A281" s="9"/>
      <c r="B281" s="9"/>
      <c r="C281" s="10" t="s">
        <v>27</v>
      </c>
      <c r="D281" s="30"/>
      <c r="E281" s="10" t="s">
        <v>254</v>
      </c>
      <c r="F281" s="19">
        <v>1</v>
      </c>
      <c r="G281" s="23">
        <v>4.75</v>
      </c>
      <c r="H281" s="23">
        <v>0</v>
      </c>
      <c r="I281" s="23">
        <v>0</v>
      </c>
      <c r="J281" s="17">
        <f>OR(F281&lt;&gt;0,G281&lt;&gt;0,H281&lt;&gt;0,I281&lt;&gt;0)*(F281 + (F281 = 0))*(G281 + (G281 = 0))*(H281 + (H281 = 0))*(I281 + (I281 = 0))</f>
        <v>4.75</v>
      </c>
      <c r="K281" s="9"/>
      <c r="L281" s="9"/>
      <c r="M281" s="9"/>
    </row>
    <row r="282" spans="1:13">
      <c r="A282" s="9"/>
      <c r="B282" s="9"/>
      <c r="C282" s="9"/>
      <c r="D282" s="30"/>
      <c r="E282" s="9"/>
      <c r="F282" s="9"/>
      <c r="G282" s="9"/>
      <c r="H282" s="9"/>
      <c r="I282" s="9"/>
      <c r="J282" s="21" t="s">
        <v>255</v>
      </c>
      <c r="K282" s="22">
        <f>SUM(J278:J281)</f>
        <v>49.13</v>
      </c>
      <c r="L282" s="23">
        <v>0</v>
      </c>
      <c r="M282" s="24">
        <f>ROUND(K282*L282,2)</f>
        <v>0</v>
      </c>
    </row>
    <row r="283" spans="1:13" ht="0.95" customHeight="1">
      <c r="A283" s="25"/>
      <c r="B283" s="25"/>
      <c r="C283" s="25"/>
      <c r="D283" s="31"/>
      <c r="E283" s="25"/>
      <c r="F283" s="25"/>
      <c r="G283" s="25"/>
      <c r="H283" s="25"/>
      <c r="I283" s="25"/>
      <c r="J283" s="25"/>
      <c r="K283" s="25"/>
      <c r="L283" s="25"/>
      <c r="M283" s="25"/>
    </row>
    <row r="284" spans="1:13">
      <c r="A284" s="9"/>
      <c r="B284" s="9"/>
      <c r="C284" s="9"/>
      <c r="D284" s="30"/>
      <c r="E284" s="9"/>
      <c r="F284" s="9"/>
      <c r="G284" s="9"/>
      <c r="H284" s="9"/>
      <c r="I284" s="9"/>
      <c r="J284" s="21" t="s">
        <v>256</v>
      </c>
      <c r="K284" s="20">
        <v>1</v>
      </c>
      <c r="L284" s="24">
        <f>M262+M276</f>
        <v>0</v>
      </c>
      <c r="M284" s="24">
        <f>ROUND(K284*L284,2)</f>
        <v>0</v>
      </c>
    </row>
    <row r="285" spans="1:13" ht="0.95" customHeight="1">
      <c r="A285" s="25"/>
      <c r="B285" s="25"/>
      <c r="C285" s="25"/>
      <c r="D285" s="31"/>
      <c r="E285" s="25"/>
      <c r="F285" s="25"/>
      <c r="G285" s="25"/>
      <c r="H285" s="25"/>
      <c r="I285" s="25"/>
      <c r="J285" s="25"/>
      <c r="K285" s="25"/>
      <c r="L285" s="25"/>
      <c r="M285" s="25"/>
    </row>
    <row r="286" spans="1:13">
      <c r="A286" s="11" t="s">
        <v>257</v>
      </c>
      <c r="B286" s="11" t="s">
        <v>16</v>
      </c>
      <c r="C286" s="11" t="s">
        <v>17</v>
      </c>
      <c r="D286" s="29" t="s">
        <v>258</v>
      </c>
      <c r="E286" s="12"/>
      <c r="F286" s="12"/>
      <c r="G286" s="12"/>
      <c r="H286" s="12"/>
      <c r="I286" s="12"/>
      <c r="J286" s="12"/>
      <c r="K286" s="13">
        <f>K312</f>
        <v>1</v>
      </c>
      <c r="L286" s="14">
        <f>L312</f>
        <v>0</v>
      </c>
      <c r="M286" s="14">
        <f>M312</f>
        <v>0</v>
      </c>
    </row>
    <row r="287" spans="1:13">
      <c r="A287" s="15" t="s">
        <v>259</v>
      </c>
      <c r="B287" s="10" t="s">
        <v>23</v>
      </c>
      <c r="C287" s="10" t="s">
        <v>66</v>
      </c>
      <c r="D287" s="18" t="s">
        <v>260</v>
      </c>
      <c r="E287" s="9"/>
      <c r="F287" s="9"/>
      <c r="G287" s="9"/>
      <c r="H287" s="9"/>
      <c r="I287" s="9"/>
      <c r="J287" s="9"/>
      <c r="K287" s="16">
        <f>K290</f>
        <v>5.25</v>
      </c>
      <c r="L287" s="17">
        <f>L290</f>
        <v>0</v>
      </c>
      <c r="M287" s="17">
        <f>M290</f>
        <v>0</v>
      </c>
    </row>
    <row r="288" spans="1:13">
      <c r="A288" s="9"/>
      <c r="B288" s="9"/>
      <c r="C288" s="9"/>
      <c r="D288" s="18" t="s">
        <v>261</v>
      </c>
      <c r="E288" s="9"/>
      <c r="F288" s="9"/>
      <c r="G288" s="9"/>
      <c r="H288" s="9"/>
      <c r="I288" s="9"/>
      <c r="J288" s="9"/>
      <c r="K288" s="9"/>
      <c r="L288" s="9"/>
      <c r="M288" s="9"/>
    </row>
    <row r="289" spans="1:13">
      <c r="A289" s="9"/>
      <c r="B289" s="9"/>
      <c r="C289" s="10" t="s">
        <v>27</v>
      </c>
      <c r="D289" s="30"/>
      <c r="E289" s="10" t="s">
        <v>17</v>
      </c>
      <c r="F289" s="19">
        <v>1</v>
      </c>
      <c r="G289" s="23">
        <v>5.25</v>
      </c>
      <c r="H289" s="23">
        <v>0</v>
      </c>
      <c r="I289" s="23">
        <v>0</v>
      </c>
      <c r="J289" s="17">
        <f>OR(F289&lt;&gt;0,G289&lt;&gt;0,H289&lt;&gt;0,I289&lt;&gt;0)*(F289 + (F289 = 0))*(G289 + (G289 = 0))*(H289 + (H289 = 0))*(I289 + (I289 = 0))</f>
        <v>5.25</v>
      </c>
      <c r="K289" s="9"/>
      <c r="L289" s="9"/>
      <c r="M289" s="9"/>
    </row>
    <row r="290" spans="1:13">
      <c r="A290" s="9"/>
      <c r="B290" s="9"/>
      <c r="C290" s="9"/>
      <c r="D290" s="30"/>
      <c r="E290" s="9"/>
      <c r="F290" s="9"/>
      <c r="G290" s="9"/>
      <c r="H290" s="9"/>
      <c r="I290" s="9"/>
      <c r="J290" s="21" t="s">
        <v>262</v>
      </c>
      <c r="K290" s="22">
        <f>J289</f>
        <v>5.25</v>
      </c>
      <c r="L290" s="23">
        <v>0</v>
      </c>
      <c r="M290" s="24">
        <f>ROUND(K290*L290,2)</f>
        <v>0</v>
      </c>
    </row>
    <row r="291" spans="1:13" ht="0.95" customHeight="1">
      <c r="A291" s="25"/>
      <c r="B291" s="25"/>
      <c r="C291" s="25"/>
      <c r="D291" s="31"/>
      <c r="E291" s="25"/>
      <c r="F291" s="25"/>
      <c r="G291" s="25"/>
      <c r="H291" s="25"/>
      <c r="I291" s="25"/>
      <c r="J291" s="25"/>
      <c r="K291" s="25"/>
      <c r="L291" s="25"/>
      <c r="M291" s="25"/>
    </row>
    <row r="292" spans="1:13">
      <c r="A292" s="15" t="s">
        <v>263</v>
      </c>
      <c r="B292" s="10" t="s">
        <v>23</v>
      </c>
      <c r="C292" s="10" t="s">
        <v>66</v>
      </c>
      <c r="D292" s="18" t="s">
        <v>264</v>
      </c>
      <c r="E292" s="9"/>
      <c r="F292" s="9"/>
      <c r="G292" s="9"/>
      <c r="H292" s="9"/>
      <c r="I292" s="9"/>
      <c r="J292" s="9"/>
      <c r="K292" s="16">
        <f>K297</f>
        <v>8.4499999999999993</v>
      </c>
      <c r="L292" s="17">
        <f>L297</f>
        <v>0</v>
      </c>
      <c r="M292" s="17">
        <f>M297</f>
        <v>0</v>
      </c>
    </row>
    <row r="293" spans="1:13">
      <c r="A293" s="9"/>
      <c r="B293" s="9"/>
      <c r="C293" s="9"/>
      <c r="D293" s="18" t="s">
        <v>265</v>
      </c>
      <c r="E293" s="9"/>
      <c r="F293" s="9"/>
      <c r="G293" s="9"/>
      <c r="H293" s="9"/>
      <c r="I293" s="9"/>
      <c r="J293" s="9"/>
      <c r="K293" s="9"/>
      <c r="L293" s="9"/>
      <c r="M293" s="9"/>
    </row>
    <row r="294" spans="1:13">
      <c r="A294" s="9"/>
      <c r="B294" s="9"/>
      <c r="C294" s="10" t="s">
        <v>27</v>
      </c>
      <c r="D294" s="30"/>
      <c r="E294" s="10" t="s">
        <v>111</v>
      </c>
      <c r="F294" s="19">
        <v>1</v>
      </c>
      <c r="G294" s="20">
        <v>3.8</v>
      </c>
      <c r="H294" s="20">
        <v>0</v>
      </c>
      <c r="I294" s="20">
        <v>0</v>
      </c>
      <c r="J294" s="16">
        <f>OR(F294&lt;&gt;0,G294&lt;&gt;0,H294&lt;&gt;0,I294&lt;&gt;0)*(F294 + (F294 = 0))*(G294 + (G294 = 0))*(H294 + (H294 = 0))*(I294 + (I294 = 0))</f>
        <v>3.8</v>
      </c>
      <c r="K294" s="9"/>
      <c r="L294" s="9"/>
      <c r="M294" s="9"/>
    </row>
    <row r="295" spans="1:13">
      <c r="A295" s="9"/>
      <c r="B295" s="9"/>
      <c r="C295" s="10" t="s">
        <v>27</v>
      </c>
      <c r="D295" s="30"/>
      <c r="E295" s="10" t="s">
        <v>253</v>
      </c>
      <c r="F295" s="19">
        <v>1</v>
      </c>
      <c r="G295" s="20">
        <v>3.8</v>
      </c>
      <c r="H295" s="20">
        <v>0</v>
      </c>
      <c r="I295" s="20">
        <v>0</v>
      </c>
      <c r="J295" s="16">
        <f>OR(F295&lt;&gt;0,G295&lt;&gt;0,H295&lt;&gt;0,I295&lt;&gt;0)*(F295 + (F295 = 0))*(G295 + (G295 = 0))*(H295 + (H295 = 0))*(I295 + (I295 = 0))</f>
        <v>3.8</v>
      </c>
      <c r="K295" s="9"/>
      <c r="L295" s="9"/>
      <c r="M295" s="9"/>
    </row>
    <row r="296" spans="1:13">
      <c r="A296" s="9"/>
      <c r="B296" s="9"/>
      <c r="C296" s="10" t="s">
        <v>27</v>
      </c>
      <c r="D296" s="30"/>
      <c r="E296" s="10" t="s">
        <v>17</v>
      </c>
      <c r="F296" s="19">
        <v>1</v>
      </c>
      <c r="G296" s="20">
        <v>0.85</v>
      </c>
      <c r="H296" s="20">
        <v>0</v>
      </c>
      <c r="I296" s="20">
        <v>0</v>
      </c>
      <c r="J296" s="16">
        <f>OR(F296&lt;&gt;0,G296&lt;&gt;0,H296&lt;&gt;0,I296&lt;&gt;0)*(F296 + (F296 = 0))*(G296 + (G296 = 0))*(H296 + (H296 = 0))*(I296 + (I296 = 0))</f>
        <v>0.85</v>
      </c>
      <c r="K296" s="9"/>
      <c r="L296" s="9"/>
      <c r="M296" s="9"/>
    </row>
    <row r="297" spans="1:13">
      <c r="A297" s="9"/>
      <c r="B297" s="9"/>
      <c r="C297" s="9"/>
      <c r="D297" s="30"/>
      <c r="E297" s="9"/>
      <c r="F297" s="9"/>
      <c r="G297" s="9"/>
      <c r="H297" s="9"/>
      <c r="I297" s="9"/>
      <c r="J297" s="21" t="s">
        <v>266</v>
      </c>
      <c r="K297" s="22">
        <f>SUM(J294:J296)</f>
        <v>8.4499999999999993</v>
      </c>
      <c r="L297" s="23">
        <v>0</v>
      </c>
      <c r="M297" s="24">
        <f>ROUND(K297*L297,2)</f>
        <v>0</v>
      </c>
    </row>
    <row r="298" spans="1:13" ht="0.95" customHeight="1">
      <c r="A298" s="25"/>
      <c r="B298" s="25"/>
      <c r="C298" s="25"/>
      <c r="D298" s="31"/>
      <c r="E298" s="25"/>
      <c r="F298" s="25"/>
      <c r="G298" s="25"/>
      <c r="H298" s="25"/>
      <c r="I298" s="25"/>
      <c r="J298" s="25"/>
      <c r="K298" s="25"/>
      <c r="L298" s="25"/>
      <c r="M298" s="25"/>
    </row>
    <row r="299" spans="1:13" ht="22.5">
      <c r="A299" s="15" t="s">
        <v>267</v>
      </c>
      <c r="B299" s="10" t="s">
        <v>23</v>
      </c>
      <c r="C299" s="10" t="s">
        <v>66</v>
      </c>
      <c r="D299" s="18" t="s">
        <v>268</v>
      </c>
      <c r="E299" s="9"/>
      <c r="F299" s="9"/>
      <c r="G299" s="9"/>
      <c r="H299" s="9"/>
      <c r="I299" s="9"/>
      <c r="J299" s="9"/>
      <c r="K299" s="16">
        <f>K305</f>
        <v>18</v>
      </c>
      <c r="L299" s="17">
        <f>L305</f>
        <v>0</v>
      </c>
      <c r="M299" s="17">
        <f>M305</f>
        <v>0</v>
      </c>
    </row>
    <row r="300" spans="1:13">
      <c r="A300" s="9"/>
      <c r="B300" s="9"/>
      <c r="C300" s="9"/>
      <c r="D300" s="18" t="s">
        <v>269</v>
      </c>
      <c r="E300" s="9"/>
      <c r="F300" s="9"/>
      <c r="G300" s="9"/>
      <c r="H300" s="9"/>
      <c r="I300" s="9"/>
      <c r="J300" s="9"/>
      <c r="K300" s="9"/>
      <c r="L300" s="9"/>
      <c r="M300" s="9"/>
    </row>
    <row r="301" spans="1:13">
      <c r="A301" s="9"/>
      <c r="B301" s="9"/>
      <c r="C301" s="10" t="s">
        <v>27</v>
      </c>
      <c r="D301" s="30"/>
      <c r="E301" s="10" t="s">
        <v>270</v>
      </c>
      <c r="F301" s="19">
        <v>1</v>
      </c>
      <c r="G301" s="20">
        <v>4.55</v>
      </c>
      <c r="H301" s="20">
        <v>0</v>
      </c>
      <c r="I301" s="20">
        <v>0</v>
      </c>
      <c r="J301" s="16">
        <f>OR(F301&lt;&gt;0,G301&lt;&gt;0,H301&lt;&gt;0,I301&lt;&gt;0)*(F301 + (F301 = 0))*(G301 + (G301 = 0))*(H301 + (H301 = 0))*(I301 + (I301 = 0))</f>
        <v>4.55</v>
      </c>
      <c r="K301" s="9"/>
      <c r="L301" s="9"/>
      <c r="M301" s="9"/>
    </row>
    <row r="302" spans="1:13">
      <c r="A302" s="9"/>
      <c r="B302" s="9"/>
      <c r="C302" s="10" t="s">
        <v>27</v>
      </c>
      <c r="D302" s="30"/>
      <c r="E302" s="10" t="s">
        <v>17</v>
      </c>
      <c r="F302" s="19">
        <v>1</v>
      </c>
      <c r="G302" s="20">
        <v>2.8</v>
      </c>
      <c r="H302" s="20">
        <v>0</v>
      </c>
      <c r="I302" s="20">
        <v>0</v>
      </c>
      <c r="J302" s="16">
        <f>OR(F302&lt;&gt;0,G302&lt;&gt;0,H302&lt;&gt;0,I302&lt;&gt;0)*(F302 + (F302 = 0))*(G302 + (G302 = 0))*(H302 + (H302 = 0))*(I302 + (I302 = 0))</f>
        <v>2.8</v>
      </c>
      <c r="K302" s="9"/>
      <c r="L302" s="9"/>
      <c r="M302" s="9"/>
    </row>
    <row r="303" spans="1:13">
      <c r="A303" s="9"/>
      <c r="B303" s="9"/>
      <c r="C303" s="10" t="s">
        <v>27</v>
      </c>
      <c r="D303" s="30"/>
      <c r="E303" s="10" t="s">
        <v>17</v>
      </c>
      <c r="F303" s="19">
        <v>1</v>
      </c>
      <c r="G303" s="20">
        <v>5.3</v>
      </c>
      <c r="H303" s="20">
        <v>0</v>
      </c>
      <c r="I303" s="20">
        <v>0</v>
      </c>
      <c r="J303" s="16">
        <f>OR(F303&lt;&gt;0,G303&lt;&gt;0,H303&lt;&gt;0,I303&lt;&gt;0)*(F303 + (F303 = 0))*(G303 + (G303 = 0))*(H303 + (H303 = 0))*(I303 + (I303 = 0))</f>
        <v>5.3</v>
      </c>
      <c r="K303" s="9"/>
      <c r="L303" s="9"/>
      <c r="M303" s="9"/>
    </row>
    <row r="304" spans="1:13">
      <c r="A304" s="9"/>
      <c r="B304" s="9"/>
      <c r="C304" s="10" t="s">
        <v>27</v>
      </c>
      <c r="D304" s="30"/>
      <c r="E304" s="10" t="s">
        <v>17</v>
      </c>
      <c r="F304" s="19">
        <v>1</v>
      </c>
      <c r="G304" s="20">
        <v>5.35</v>
      </c>
      <c r="H304" s="20">
        <v>0</v>
      </c>
      <c r="I304" s="20">
        <v>0</v>
      </c>
      <c r="J304" s="16">
        <f>OR(F304&lt;&gt;0,G304&lt;&gt;0,H304&lt;&gt;0,I304&lt;&gt;0)*(F304 + (F304 = 0))*(G304 + (G304 = 0))*(H304 + (H304 = 0))*(I304 + (I304 = 0))</f>
        <v>5.35</v>
      </c>
      <c r="K304" s="9"/>
      <c r="L304" s="9"/>
      <c r="M304" s="9"/>
    </row>
    <row r="305" spans="1:13">
      <c r="A305" s="9"/>
      <c r="B305" s="9"/>
      <c r="C305" s="9"/>
      <c r="D305" s="30"/>
      <c r="E305" s="9"/>
      <c r="F305" s="9"/>
      <c r="G305" s="9"/>
      <c r="H305" s="9"/>
      <c r="I305" s="9"/>
      <c r="J305" s="21" t="s">
        <v>271</v>
      </c>
      <c r="K305" s="22">
        <f>SUM(J301:J304)</f>
        <v>18</v>
      </c>
      <c r="L305" s="23">
        <v>0</v>
      </c>
      <c r="M305" s="24">
        <f>ROUND(K305*L305,2)</f>
        <v>0</v>
      </c>
    </row>
    <row r="306" spans="1:13" ht="0.95" customHeight="1">
      <c r="A306" s="25"/>
      <c r="B306" s="25"/>
      <c r="C306" s="25"/>
      <c r="D306" s="31"/>
      <c r="E306" s="25"/>
      <c r="F306" s="25"/>
      <c r="G306" s="25"/>
      <c r="H306" s="25"/>
      <c r="I306" s="25"/>
      <c r="J306" s="25"/>
      <c r="K306" s="25"/>
      <c r="L306" s="25"/>
      <c r="M306" s="25"/>
    </row>
    <row r="307" spans="1:13">
      <c r="A307" s="15" t="s">
        <v>272</v>
      </c>
      <c r="B307" s="10" t="s">
        <v>23</v>
      </c>
      <c r="C307" s="10" t="s">
        <v>66</v>
      </c>
      <c r="D307" s="18" t="s">
        <v>273</v>
      </c>
      <c r="E307" s="9"/>
      <c r="F307" s="9"/>
      <c r="G307" s="9"/>
      <c r="H307" s="9"/>
      <c r="I307" s="9"/>
      <c r="J307" s="9"/>
      <c r="K307" s="16">
        <f>K310</f>
        <v>5.25</v>
      </c>
      <c r="L307" s="17">
        <f>L310</f>
        <v>0</v>
      </c>
      <c r="M307" s="17">
        <f>M310</f>
        <v>0</v>
      </c>
    </row>
    <row r="308" spans="1:13">
      <c r="A308" s="9"/>
      <c r="B308" s="9"/>
      <c r="C308" s="9"/>
      <c r="D308" s="18" t="s">
        <v>274</v>
      </c>
      <c r="E308" s="9"/>
      <c r="F308" s="9"/>
      <c r="G308" s="9"/>
      <c r="H308" s="9"/>
      <c r="I308" s="9"/>
      <c r="J308" s="9"/>
      <c r="K308" s="9"/>
      <c r="L308" s="9"/>
      <c r="M308" s="9"/>
    </row>
    <row r="309" spans="1:13">
      <c r="A309" s="9"/>
      <c r="B309" s="9"/>
      <c r="C309" s="10" t="s">
        <v>27</v>
      </c>
      <c r="D309" s="30"/>
      <c r="E309" s="10" t="s">
        <v>17</v>
      </c>
      <c r="F309" s="19">
        <v>1</v>
      </c>
      <c r="G309" s="23">
        <v>5.25</v>
      </c>
      <c r="H309" s="23">
        <v>0</v>
      </c>
      <c r="I309" s="23">
        <v>0</v>
      </c>
      <c r="J309" s="17">
        <f>OR(F309&lt;&gt;0,G309&lt;&gt;0,H309&lt;&gt;0,I309&lt;&gt;0)*(F309 + (F309 = 0))*(G309 + (G309 = 0))*(H309 + (H309 = 0))*(I309 + (I309 = 0))</f>
        <v>5.25</v>
      </c>
      <c r="K309" s="9"/>
      <c r="L309" s="9"/>
      <c r="M309" s="9"/>
    </row>
    <row r="310" spans="1:13">
      <c r="A310" s="9"/>
      <c r="B310" s="9"/>
      <c r="C310" s="9"/>
      <c r="D310" s="30"/>
      <c r="E310" s="9"/>
      <c r="F310" s="9"/>
      <c r="G310" s="9"/>
      <c r="H310" s="9"/>
      <c r="I310" s="9"/>
      <c r="J310" s="21" t="s">
        <v>275</v>
      </c>
      <c r="K310" s="22">
        <f>J309</f>
        <v>5.25</v>
      </c>
      <c r="L310" s="23">
        <v>0</v>
      </c>
      <c r="M310" s="24">
        <f>ROUND(K310*L310,2)</f>
        <v>0</v>
      </c>
    </row>
    <row r="311" spans="1:13" ht="0.95" customHeight="1">
      <c r="A311" s="25"/>
      <c r="B311" s="25"/>
      <c r="C311" s="25"/>
      <c r="D311" s="31"/>
      <c r="E311" s="25"/>
      <c r="F311" s="25"/>
      <c r="G311" s="25"/>
      <c r="H311" s="25"/>
      <c r="I311" s="25"/>
      <c r="J311" s="25"/>
      <c r="K311" s="25"/>
      <c r="L311" s="25"/>
      <c r="M311" s="25"/>
    </row>
    <row r="312" spans="1:13">
      <c r="A312" s="9"/>
      <c r="B312" s="9"/>
      <c r="C312" s="9"/>
      <c r="D312" s="30"/>
      <c r="E312" s="9"/>
      <c r="F312" s="9"/>
      <c r="G312" s="9"/>
      <c r="H312" s="9"/>
      <c r="I312" s="9"/>
      <c r="J312" s="21" t="s">
        <v>276</v>
      </c>
      <c r="K312" s="20">
        <v>1</v>
      </c>
      <c r="L312" s="24">
        <f>M287+M292+M299+M307</f>
        <v>0</v>
      </c>
      <c r="M312" s="24">
        <f>ROUND(K312*L312,2)</f>
        <v>0</v>
      </c>
    </row>
    <row r="313" spans="1:13" ht="0.95" customHeight="1">
      <c r="A313" s="25"/>
      <c r="B313" s="25"/>
      <c r="C313" s="25"/>
      <c r="D313" s="31"/>
      <c r="E313" s="25"/>
      <c r="F313" s="25"/>
      <c r="G313" s="25"/>
      <c r="H313" s="25"/>
      <c r="I313" s="25"/>
      <c r="J313" s="25"/>
      <c r="K313" s="25"/>
      <c r="L313" s="25"/>
      <c r="M313" s="25"/>
    </row>
    <row r="314" spans="1:13">
      <c r="A314" s="9"/>
      <c r="B314" s="9"/>
      <c r="C314" s="9"/>
      <c r="D314" s="30"/>
      <c r="E314" s="9"/>
      <c r="F314" s="9"/>
      <c r="G314" s="9"/>
      <c r="H314" s="9"/>
      <c r="I314" s="9"/>
      <c r="J314" s="21" t="s">
        <v>277</v>
      </c>
      <c r="K314" s="26">
        <v>1</v>
      </c>
      <c r="L314" s="24">
        <f>M235+M261+M286</f>
        <v>0</v>
      </c>
      <c r="M314" s="24">
        <f>ROUND(K314*L314,2)</f>
        <v>0</v>
      </c>
    </row>
    <row r="315" spans="1:13" ht="0.95" customHeight="1">
      <c r="A315" s="25"/>
      <c r="B315" s="25"/>
      <c r="C315" s="25"/>
      <c r="D315" s="31"/>
      <c r="E315" s="25"/>
      <c r="F315" s="25"/>
      <c r="G315" s="25"/>
      <c r="H315" s="25"/>
      <c r="I315" s="25"/>
      <c r="J315" s="25"/>
      <c r="K315" s="25"/>
      <c r="L315" s="25"/>
      <c r="M315" s="25"/>
    </row>
    <row r="316" spans="1:13" ht="22.5">
      <c r="A316" s="5" t="s">
        <v>278</v>
      </c>
      <c r="B316" s="5" t="s">
        <v>16</v>
      </c>
      <c r="C316" s="5" t="s">
        <v>17</v>
      </c>
      <c r="D316" s="28" t="s">
        <v>279</v>
      </c>
      <c r="E316" s="6"/>
      <c r="F316" s="6"/>
      <c r="G316" s="6"/>
      <c r="H316" s="6"/>
      <c r="I316" s="6"/>
      <c r="J316" s="6"/>
      <c r="K316" s="7">
        <f>K691</f>
        <v>1</v>
      </c>
      <c r="L316" s="8">
        <f>L691</f>
        <v>0</v>
      </c>
      <c r="M316" s="8">
        <f>M691</f>
        <v>0</v>
      </c>
    </row>
    <row r="317" spans="1:13">
      <c r="A317" s="11" t="s">
        <v>280</v>
      </c>
      <c r="B317" s="11" t="s">
        <v>16</v>
      </c>
      <c r="C317" s="11" t="s">
        <v>17</v>
      </c>
      <c r="D317" s="29" t="s">
        <v>281</v>
      </c>
      <c r="E317" s="12"/>
      <c r="F317" s="12"/>
      <c r="G317" s="12"/>
      <c r="H317" s="12"/>
      <c r="I317" s="12"/>
      <c r="J317" s="12"/>
      <c r="K317" s="13">
        <f>K481</f>
        <v>1</v>
      </c>
      <c r="L317" s="14">
        <f>L481</f>
        <v>0</v>
      </c>
      <c r="M317" s="14">
        <f>M481</f>
        <v>0</v>
      </c>
    </row>
    <row r="318" spans="1:13" ht="22.5">
      <c r="A318" s="15" t="s">
        <v>282</v>
      </c>
      <c r="B318" s="10" t="s">
        <v>23</v>
      </c>
      <c r="C318" s="10" t="s">
        <v>4</v>
      </c>
      <c r="D318" s="18" t="s">
        <v>283</v>
      </c>
      <c r="E318" s="9"/>
      <c r="F318" s="9"/>
      <c r="G318" s="9"/>
      <c r="H318" s="9"/>
      <c r="I318" s="9"/>
      <c r="J318" s="9"/>
      <c r="K318" s="16">
        <f>K322</f>
        <v>2</v>
      </c>
      <c r="L318" s="17">
        <f>L322</f>
        <v>0</v>
      </c>
      <c r="M318" s="17">
        <f>M322</f>
        <v>0</v>
      </c>
    </row>
    <row r="319" spans="1:13">
      <c r="A319" s="9"/>
      <c r="B319" s="9"/>
      <c r="C319" s="9"/>
      <c r="D319" s="18" t="s">
        <v>284</v>
      </c>
      <c r="E319" s="9"/>
      <c r="F319" s="9"/>
      <c r="G319" s="9"/>
      <c r="H319" s="9"/>
      <c r="I319" s="9"/>
      <c r="J319" s="9"/>
      <c r="K319" s="9"/>
      <c r="L319" s="9"/>
      <c r="M319" s="9"/>
    </row>
    <row r="320" spans="1:13">
      <c r="A320" s="9"/>
      <c r="B320" s="9"/>
      <c r="C320" s="10" t="s">
        <v>27</v>
      </c>
      <c r="D320" s="30"/>
      <c r="E320" s="10" t="s">
        <v>285</v>
      </c>
      <c r="F320" s="19">
        <v>1</v>
      </c>
      <c r="G320" s="20">
        <v>0</v>
      </c>
      <c r="H320" s="20">
        <v>0</v>
      </c>
      <c r="I320" s="20">
        <v>0</v>
      </c>
      <c r="J320" s="16">
        <f>OR(F320&lt;&gt;0,G320&lt;&gt;0,H320&lt;&gt;0,I320&lt;&gt;0)*(F320 + (F320 = 0))*(G320 + (G320 = 0))*(H320 + (H320 = 0))*(I320 + (I320 = 0))</f>
        <v>1</v>
      </c>
      <c r="K320" s="9"/>
      <c r="L320" s="9"/>
      <c r="M320" s="9"/>
    </row>
    <row r="321" spans="1:13">
      <c r="A321" s="9"/>
      <c r="B321" s="9"/>
      <c r="C321" s="10" t="s">
        <v>27</v>
      </c>
      <c r="D321" s="30"/>
      <c r="E321" s="10" t="s">
        <v>286</v>
      </c>
      <c r="F321" s="19">
        <v>1</v>
      </c>
      <c r="G321" s="20">
        <v>0</v>
      </c>
      <c r="H321" s="20">
        <v>0</v>
      </c>
      <c r="I321" s="20">
        <v>0</v>
      </c>
      <c r="J321" s="16">
        <f>OR(F321&lt;&gt;0,G321&lt;&gt;0,H321&lt;&gt;0,I321&lt;&gt;0)*(F321 + (F321 = 0))*(G321 + (G321 = 0))*(H321 + (H321 = 0))*(I321 + (I321 = 0))</f>
        <v>1</v>
      </c>
      <c r="K321" s="9"/>
      <c r="L321" s="9"/>
      <c r="M321" s="9"/>
    </row>
    <row r="322" spans="1:13">
      <c r="A322" s="9"/>
      <c r="B322" s="9"/>
      <c r="C322" s="9"/>
      <c r="D322" s="30"/>
      <c r="E322" s="9"/>
      <c r="F322" s="9"/>
      <c r="G322" s="9"/>
      <c r="H322" s="9"/>
      <c r="I322" s="9"/>
      <c r="J322" s="21" t="s">
        <v>287</v>
      </c>
      <c r="K322" s="22">
        <f>SUM(J320:J321)</f>
        <v>2</v>
      </c>
      <c r="L322" s="23">
        <v>0</v>
      </c>
      <c r="M322" s="24">
        <f>ROUND(K322*L322,2)</f>
        <v>0</v>
      </c>
    </row>
    <row r="323" spans="1:13" ht="0.95" customHeight="1">
      <c r="A323" s="25"/>
      <c r="B323" s="25"/>
      <c r="C323" s="25"/>
      <c r="D323" s="31"/>
      <c r="E323" s="25"/>
      <c r="F323" s="25"/>
      <c r="G323" s="25"/>
      <c r="H323" s="25"/>
      <c r="I323" s="25"/>
      <c r="J323" s="25"/>
      <c r="K323" s="25"/>
      <c r="L323" s="25"/>
      <c r="M323" s="25"/>
    </row>
    <row r="324" spans="1:13" ht="22.5">
      <c r="A324" s="15" t="s">
        <v>288</v>
      </c>
      <c r="B324" s="10" t="s">
        <v>23</v>
      </c>
      <c r="C324" s="10" t="s">
        <v>4</v>
      </c>
      <c r="D324" s="18" t="s">
        <v>289</v>
      </c>
      <c r="E324" s="9"/>
      <c r="F324" s="9"/>
      <c r="G324" s="9"/>
      <c r="H324" s="9"/>
      <c r="I324" s="9"/>
      <c r="J324" s="9"/>
      <c r="K324" s="16">
        <f>K328</f>
        <v>2</v>
      </c>
      <c r="L324" s="17">
        <f>L328</f>
        <v>0</v>
      </c>
      <c r="M324" s="17">
        <f>M328</f>
        <v>0</v>
      </c>
    </row>
    <row r="325" spans="1:13">
      <c r="A325" s="9"/>
      <c r="B325" s="9"/>
      <c r="C325" s="9"/>
      <c r="D325" s="18" t="s">
        <v>290</v>
      </c>
      <c r="E325" s="9"/>
      <c r="F325" s="9"/>
      <c r="G325" s="9"/>
      <c r="H325" s="9"/>
      <c r="I325" s="9"/>
      <c r="J325" s="9"/>
      <c r="K325" s="9"/>
      <c r="L325" s="9"/>
      <c r="M325" s="9"/>
    </row>
    <row r="326" spans="1:13">
      <c r="A326" s="9"/>
      <c r="B326" s="9"/>
      <c r="C326" s="10" t="s">
        <v>27</v>
      </c>
      <c r="D326" s="30"/>
      <c r="E326" s="10" t="s">
        <v>285</v>
      </c>
      <c r="F326" s="19">
        <v>1</v>
      </c>
      <c r="G326" s="20">
        <v>0</v>
      </c>
      <c r="H326" s="20">
        <v>0</v>
      </c>
      <c r="I326" s="20">
        <v>0</v>
      </c>
      <c r="J326" s="16">
        <f>OR(F326&lt;&gt;0,G326&lt;&gt;0,H326&lt;&gt;0,I326&lt;&gt;0)*(F326 + (F326 = 0))*(G326 + (G326 = 0))*(H326 + (H326 = 0))*(I326 + (I326 = 0))</f>
        <v>1</v>
      </c>
      <c r="K326" s="9"/>
      <c r="L326" s="9"/>
      <c r="M326" s="9"/>
    </row>
    <row r="327" spans="1:13">
      <c r="A327" s="9"/>
      <c r="B327" s="9"/>
      <c r="C327" s="10" t="s">
        <v>27</v>
      </c>
      <c r="D327" s="30"/>
      <c r="E327" s="10" t="s">
        <v>286</v>
      </c>
      <c r="F327" s="19">
        <v>1</v>
      </c>
      <c r="G327" s="20">
        <v>0</v>
      </c>
      <c r="H327" s="20">
        <v>0</v>
      </c>
      <c r="I327" s="20">
        <v>0</v>
      </c>
      <c r="J327" s="16">
        <f>OR(F327&lt;&gt;0,G327&lt;&gt;0,H327&lt;&gt;0,I327&lt;&gt;0)*(F327 + (F327 = 0))*(G327 + (G327 = 0))*(H327 + (H327 = 0))*(I327 + (I327 = 0))</f>
        <v>1</v>
      </c>
      <c r="K327" s="9"/>
      <c r="L327" s="9"/>
      <c r="M327" s="9"/>
    </row>
    <row r="328" spans="1:13">
      <c r="A328" s="9"/>
      <c r="B328" s="9"/>
      <c r="C328" s="9"/>
      <c r="D328" s="30"/>
      <c r="E328" s="9"/>
      <c r="F328" s="9"/>
      <c r="G328" s="9"/>
      <c r="H328" s="9"/>
      <c r="I328" s="9"/>
      <c r="J328" s="21" t="s">
        <v>291</v>
      </c>
      <c r="K328" s="22">
        <f>SUM(J326:J327)</f>
        <v>2</v>
      </c>
      <c r="L328" s="23">
        <v>0</v>
      </c>
      <c r="M328" s="24">
        <f>ROUND(K328*L328,2)</f>
        <v>0</v>
      </c>
    </row>
    <row r="329" spans="1:13" ht="0.95" customHeight="1">
      <c r="A329" s="25"/>
      <c r="B329" s="25"/>
      <c r="C329" s="25"/>
      <c r="D329" s="31"/>
      <c r="E329" s="25"/>
      <c r="F329" s="25"/>
      <c r="G329" s="25"/>
      <c r="H329" s="25"/>
      <c r="I329" s="25"/>
      <c r="J329" s="25"/>
      <c r="K329" s="25"/>
      <c r="L329" s="25"/>
      <c r="M329" s="25"/>
    </row>
    <row r="330" spans="1:13" ht="22.5">
      <c r="A330" s="10" t="s">
        <v>292</v>
      </c>
      <c r="B330" s="10" t="s">
        <v>23</v>
      </c>
      <c r="C330" s="10" t="s">
        <v>4</v>
      </c>
      <c r="D330" s="18" t="s">
        <v>293</v>
      </c>
      <c r="E330" s="9"/>
      <c r="F330" s="9"/>
      <c r="G330" s="9"/>
      <c r="H330" s="9"/>
      <c r="I330" s="9"/>
      <c r="J330" s="9"/>
      <c r="K330" s="16">
        <f>K333</f>
        <v>1</v>
      </c>
      <c r="L330" s="17">
        <f>L333</f>
        <v>0</v>
      </c>
      <c r="M330" s="17">
        <f>M333</f>
        <v>0</v>
      </c>
    </row>
    <row r="331" spans="1:13">
      <c r="A331" s="9"/>
      <c r="B331" s="9"/>
      <c r="C331" s="9"/>
      <c r="D331" s="18" t="s">
        <v>294</v>
      </c>
      <c r="E331" s="9"/>
      <c r="F331" s="9"/>
      <c r="G331" s="9"/>
      <c r="H331" s="9"/>
      <c r="I331" s="9"/>
      <c r="J331" s="9"/>
      <c r="K331" s="9"/>
      <c r="L331" s="9"/>
      <c r="M331" s="9"/>
    </row>
    <row r="332" spans="1:13">
      <c r="A332" s="9"/>
      <c r="B332" s="9"/>
      <c r="C332" s="10" t="s">
        <v>27</v>
      </c>
      <c r="D332" s="30"/>
      <c r="E332" s="10" t="s">
        <v>295</v>
      </c>
      <c r="F332" s="19">
        <v>1</v>
      </c>
      <c r="G332" s="23">
        <v>0</v>
      </c>
      <c r="H332" s="23">
        <v>0</v>
      </c>
      <c r="I332" s="23">
        <v>0</v>
      </c>
      <c r="J332" s="17">
        <f>OR(F332&lt;&gt;0,G332&lt;&gt;0,H332&lt;&gt;0,I332&lt;&gt;0)*(F332 + (F332 = 0))*(G332 + (G332 = 0))*(H332 + (H332 = 0))*(I332 + (I332 = 0))</f>
        <v>1</v>
      </c>
      <c r="K332" s="9"/>
      <c r="L332" s="9"/>
      <c r="M332" s="9"/>
    </row>
    <row r="333" spans="1:13">
      <c r="A333" s="9"/>
      <c r="B333" s="9"/>
      <c r="C333" s="9"/>
      <c r="D333" s="30"/>
      <c r="E333" s="9"/>
      <c r="F333" s="9"/>
      <c r="G333" s="9"/>
      <c r="H333" s="9"/>
      <c r="I333" s="9"/>
      <c r="J333" s="21" t="s">
        <v>296</v>
      </c>
      <c r="K333" s="22">
        <f>J332</f>
        <v>1</v>
      </c>
      <c r="L333" s="23">
        <v>0</v>
      </c>
      <c r="M333" s="24">
        <f>ROUND(K333*L333,2)</f>
        <v>0</v>
      </c>
    </row>
    <row r="334" spans="1:13" ht="0.95" customHeight="1">
      <c r="A334" s="25"/>
      <c r="B334" s="25"/>
      <c r="C334" s="25"/>
      <c r="D334" s="31"/>
      <c r="E334" s="25"/>
      <c r="F334" s="25"/>
      <c r="G334" s="25"/>
      <c r="H334" s="25"/>
      <c r="I334" s="25"/>
      <c r="J334" s="25"/>
      <c r="K334" s="25"/>
      <c r="L334" s="25"/>
      <c r="M334" s="25"/>
    </row>
    <row r="335" spans="1:13" ht="22.5">
      <c r="A335" s="15" t="s">
        <v>297</v>
      </c>
      <c r="B335" s="10" t="s">
        <v>23</v>
      </c>
      <c r="C335" s="10" t="s">
        <v>4</v>
      </c>
      <c r="D335" s="18" t="s">
        <v>298</v>
      </c>
      <c r="E335" s="9"/>
      <c r="F335" s="9"/>
      <c r="G335" s="9"/>
      <c r="H335" s="9"/>
      <c r="I335" s="9"/>
      <c r="J335" s="9"/>
      <c r="K335" s="16">
        <f>K338</f>
        <v>1</v>
      </c>
      <c r="L335" s="17">
        <f>L338</f>
        <v>0</v>
      </c>
      <c r="M335" s="17">
        <f>M338</f>
        <v>0</v>
      </c>
    </row>
    <row r="336" spans="1:13">
      <c r="A336" s="9"/>
      <c r="B336" s="9"/>
      <c r="C336" s="9"/>
      <c r="D336" s="18" t="s">
        <v>299</v>
      </c>
      <c r="E336" s="9"/>
      <c r="F336" s="9"/>
      <c r="G336" s="9"/>
      <c r="H336" s="9"/>
      <c r="I336" s="9"/>
      <c r="J336" s="9"/>
      <c r="K336" s="9"/>
      <c r="L336" s="9"/>
      <c r="M336" s="9"/>
    </row>
    <row r="337" spans="1:13">
      <c r="A337" s="9"/>
      <c r="B337" s="9"/>
      <c r="C337" s="10" t="s">
        <v>27</v>
      </c>
      <c r="D337" s="30"/>
      <c r="E337" s="10" t="s">
        <v>300</v>
      </c>
      <c r="F337" s="19">
        <v>1</v>
      </c>
      <c r="G337" s="23">
        <v>0</v>
      </c>
      <c r="H337" s="23">
        <v>0</v>
      </c>
      <c r="I337" s="23">
        <v>0</v>
      </c>
      <c r="J337" s="17">
        <f>OR(F337&lt;&gt;0,G337&lt;&gt;0,H337&lt;&gt;0,I337&lt;&gt;0)*(F337 + (F337 = 0))*(G337 + (G337 = 0))*(H337 + (H337 = 0))*(I337 + (I337 = 0))</f>
        <v>1</v>
      </c>
      <c r="K337" s="9"/>
      <c r="L337" s="9"/>
      <c r="M337" s="9"/>
    </row>
    <row r="338" spans="1:13">
      <c r="A338" s="9"/>
      <c r="B338" s="9"/>
      <c r="C338" s="9"/>
      <c r="D338" s="30"/>
      <c r="E338" s="9"/>
      <c r="F338" s="9"/>
      <c r="G338" s="9"/>
      <c r="H338" s="9"/>
      <c r="I338" s="9"/>
      <c r="J338" s="21" t="s">
        <v>301</v>
      </c>
      <c r="K338" s="22">
        <f>J337</f>
        <v>1</v>
      </c>
      <c r="L338" s="23">
        <v>0</v>
      </c>
      <c r="M338" s="24">
        <f>ROUND(K338*L338,2)</f>
        <v>0</v>
      </c>
    </row>
    <row r="339" spans="1:13" ht="0.95" customHeight="1">
      <c r="A339" s="25"/>
      <c r="B339" s="25"/>
      <c r="C339" s="25"/>
      <c r="D339" s="31"/>
      <c r="E339" s="25"/>
      <c r="F339" s="25"/>
      <c r="G339" s="25"/>
      <c r="H339" s="25"/>
      <c r="I339" s="25"/>
      <c r="J339" s="25"/>
      <c r="K339" s="25"/>
      <c r="L339" s="25"/>
      <c r="M339" s="25"/>
    </row>
    <row r="340" spans="1:13" ht="22.5">
      <c r="A340" s="15" t="s">
        <v>302</v>
      </c>
      <c r="B340" s="10" t="s">
        <v>23</v>
      </c>
      <c r="C340" s="10" t="s">
        <v>4</v>
      </c>
      <c r="D340" s="18" t="s">
        <v>303</v>
      </c>
      <c r="E340" s="9"/>
      <c r="F340" s="9"/>
      <c r="G340" s="9"/>
      <c r="H340" s="9"/>
      <c r="I340" s="9"/>
      <c r="J340" s="9"/>
      <c r="K340" s="16">
        <f>K343</f>
        <v>1</v>
      </c>
      <c r="L340" s="17">
        <f>L343</f>
        <v>0</v>
      </c>
      <c r="M340" s="17">
        <f>M343</f>
        <v>0</v>
      </c>
    </row>
    <row r="341" spans="1:13">
      <c r="A341" s="9"/>
      <c r="B341" s="9"/>
      <c r="C341" s="9"/>
      <c r="D341" s="18" t="s">
        <v>304</v>
      </c>
      <c r="E341" s="9"/>
      <c r="F341" s="9"/>
      <c r="G341" s="9"/>
      <c r="H341" s="9"/>
      <c r="I341" s="9"/>
      <c r="J341" s="9"/>
      <c r="K341" s="9"/>
      <c r="L341" s="9"/>
      <c r="M341" s="9"/>
    </row>
    <row r="342" spans="1:13">
      <c r="A342" s="9"/>
      <c r="B342" s="9"/>
      <c r="C342" s="10" t="s">
        <v>27</v>
      </c>
      <c r="D342" s="30"/>
      <c r="E342" s="10" t="s">
        <v>305</v>
      </c>
      <c r="F342" s="19">
        <v>1</v>
      </c>
      <c r="G342" s="23">
        <v>0</v>
      </c>
      <c r="H342" s="23">
        <v>0</v>
      </c>
      <c r="I342" s="23">
        <v>0</v>
      </c>
      <c r="J342" s="17">
        <f>OR(F342&lt;&gt;0,G342&lt;&gt;0,H342&lt;&gt;0,I342&lt;&gt;0)*(F342 + (F342 = 0))*(G342 + (G342 = 0))*(H342 + (H342 = 0))*(I342 + (I342 = 0))</f>
        <v>1</v>
      </c>
      <c r="K342" s="9"/>
      <c r="L342" s="9"/>
      <c r="M342" s="9"/>
    </row>
    <row r="343" spans="1:13">
      <c r="A343" s="9"/>
      <c r="B343" s="9"/>
      <c r="C343" s="9"/>
      <c r="D343" s="30"/>
      <c r="E343" s="9"/>
      <c r="F343" s="9"/>
      <c r="G343" s="9"/>
      <c r="H343" s="9"/>
      <c r="I343" s="9"/>
      <c r="J343" s="21" t="s">
        <v>306</v>
      </c>
      <c r="K343" s="22">
        <f>J342</f>
        <v>1</v>
      </c>
      <c r="L343" s="23">
        <v>0</v>
      </c>
      <c r="M343" s="24">
        <f>ROUND(K343*L343,2)</f>
        <v>0</v>
      </c>
    </row>
    <row r="344" spans="1:13" ht="0.95" customHeight="1">
      <c r="A344" s="25"/>
      <c r="B344" s="25"/>
      <c r="C344" s="25"/>
      <c r="D344" s="31"/>
      <c r="E344" s="25"/>
      <c r="F344" s="25"/>
      <c r="G344" s="25"/>
      <c r="H344" s="25"/>
      <c r="I344" s="25"/>
      <c r="J344" s="25"/>
      <c r="K344" s="25"/>
      <c r="L344" s="25"/>
      <c r="M344" s="25"/>
    </row>
    <row r="345" spans="1:13" ht="22.5">
      <c r="A345" s="15" t="s">
        <v>307</v>
      </c>
      <c r="B345" s="10" t="s">
        <v>23</v>
      </c>
      <c r="C345" s="10" t="s">
        <v>4</v>
      </c>
      <c r="D345" s="18" t="s">
        <v>308</v>
      </c>
      <c r="E345" s="9"/>
      <c r="F345" s="9"/>
      <c r="G345" s="9"/>
      <c r="H345" s="9"/>
      <c r="I345" s="9"/>
      <c r="J345" s="9"/>
      <c r="K345" s="16">
        <f>K348</f>
        <v>1</v>
      </c>
      <c r="L345" s="17">
        <f>L348</f>
        <v>0</v>
      </c>
      <c r="M345" s="17">
        <f>M348</f>
        <v>0</v>
      </c>
    </row>
    <row r="346" spans="1:13">
      <c r="A346" s="9"/>
      <c r="B346" s="9"/>
      <c r="C346" s="9"/>
      <c r="D346" s="18" t="s">
        <v>309</v>
      </c>
      <c r="E346" s="9"/>
      <c r="F346" s="9"/>
      <c r="G346" s="9"/>
      <c r="H346" s="9"/>
      <c r="I346" s="9"/>
      <c r="J346" s="9"/>
      <c r="K346" s="9"/>
      <c r="L346" s="9"/>
      <c r="M346" s="9"/>
    </row>
    <row r="347" spans="1:13">
      <c r="A347" s="9"/>
      <c r="B347" s="9"/>
      <c r="C347" s="10" t="s">
        <v>27</v>
      </c>
      <c r="D347" s="30"/>
      <c r="E347" s="10" t="s">
        <v>310</v>
      </c>
      <c r="F347" s="19">
        <v>1</v>
      </c>
      <c r="G347" s="23">
        <v>0</v>
      </c>
      <c r="H347" s="23">
        <v>0</v>
      </c>
      <c r="I347" s="23">
        <v>0</v>
      </c>
      <c r="J347" s="17">
        <f>OR(F347&lt;&gt;0,G347&lt;&gt;0,H347&lt;&gt;0,I347&lt;&gt;0)*(F347 + (F347 = 0))*(G347 + (G347 = 0))*(H347 + (H347 = 0))*(I347 + (I347 = 0))</f>
        <v>1</v>
      </c>
      <c r="K347" s="9"/>
      <c r="L347" s="9"/>
      <c r="M347" s="9"/>
    </row>
    <row r="348" spans="1:13">
      <c r="A348" s="9"/>
      <c r="B348" s="9"/>
      <c r="C348" s="9"/>
      <c r="D348" s="30"/>
      <c r="E348" s="9"/>
      <c r="F348" s="9"/>
      <c r="G348" s="9"/>
      <c r="H348" s="9"/>
      <c r="I348" s="9"/>
      <c r="J348" s="21" t="s">
        <v>311</v>
      </c>
      <c r="K348" s="22">
        <f>J347</f>
        <v>1</v>
      </c>
      <c r="L348" s="23">
        <v>0</v>
      </c>
      <c r="M348" s="24">
        <f>ROUND(K348*L348,2)</f>
        <v>0</v>
      </c>
    </row>
    <row r="349" spans="1:13" ht="0.95" customHeight="1">
      <c r="A349" s="25"/>
      <c r="B349" s="25"/>
      <c r="C349" s="25"/>
      <c r="D349" s="31"/>
      <c r="E349" s="25"/>
      <c r="F349" s="25"/>
      <c r="G349" s="25"/>
      <c r="H349" s="25"/>
      <c r="I349" s="25"/>
      <c r="J349" s="25"/>
      <c r="K349" s="25"/>
      <c r="L349" s="25"/>
      <c r="M349" s="25"/>
    </row>
    <row r="350" spans="1:13" ht="22.5">
      <c r="A350" s="15" t="s">
        <v>312</v>
      </c>
      <c r="B350" s="10" t="s">
        <v>23</v>
      </c>
      <c r="C350" s="10" t="s">
        <v>4</v>
      </c>
      <c r="D350" s="18" t="s">
        <v>313</v>
      </c>
      <c r="E350" s="9"/>
      <c r="F350" s="9"/>
      <c r="G350" s="9"/>
      <c r="H350" s="9"/>
      <c r="I350" s="9"/>
      <c r="J350" s="9"/>
      <c r="K350" s="16">
        <f>K353</f>
        <v>1</v>
      </c>
      <c r="L350" s="17">
        <f>L353</f>
        <v>0</v>
      </c>
      <c r="M350" s="17">
        <f>M353</f>
        <v>0</v>
      </c>
    </row>
    <row r="351" spans="1:13">
      <c r="A351" s="9"/>
      <c r="B351" s="9"/>
      <c r="C351" s="9"/>
      <c r="D351" s="18" t="s">
        <v>314</v>
      </c>
      <c r="E351" s="9"/>
      <c r="F351" s="9"/>
      <c r="G351" s="9"/>
      <c r="H351" s="9"/>
      <c r="I351" s="9"/>
      <c r="J351" s="9"/>
      <c r="K351" s="9"/>
      <c r="L351" s="9"/>
      <c r="M351" s="9"/>
    </row>
    <row r="352" spans="1:13">
      <c r="A352" s="9"/>
      <c r="B352" s="9"/>
      <c r="C352" s="10" t="s">
        <v>27</v>
      </c>
      <c r="D352" s="30"/>
      <c r="E352" s="10" t="s">
        <v>315</v>
      </c>
      <c r="F352" s="19">
        <v>1</v>
      </c>
      <c r="G352" s="23">
        <v>0</v>
      </c>
      <c r="H352" s="23">
        <v>0</v>
      </c>
      <c r="I352" s="23">
        <v>0</v>
      </c>
      <c r="J352" s="17">
        <f>OR(F352&lt;&gt;0,G352&lt;&gt;0,H352&lt;&gt;0,I352&lt;&gt;0)*(F352 + (F352 = 0))*(G352 + (G352 = 0))*(H352 + (H352 = 0))*(I352 + (I352 = 0))</f>
        <v>1</v>
      </c>
      <c r="K352" s="9"/>
      <c r="L352" s="9"/>
      <c r="M352" s="9"/>
    </row>
    <row r="353" spans="1:13">
      <c r="A353" s="9"/>
      <c r="B353" s="9"/>
      <c r="C353" s="9"/>
      <c r="D353" s="30"/>
      <c r="E353" s="9"/>
      <c r="F353" s="9"/>
      <c r="G353" s="9"/>
      <c r="H353" s="9"/>
      <c r="I353" s="9"/>
      <c r="J353" s="21" t="s">
        <v>316</v>
      </c>
      <c r="K353" s="22">
        <f>J352</f>
        <v>1</v>
      </c>
      <c r="L353" s="23">
        <v>0</v>
      </c>
      <c r="M353" s="24">
        <f>ROUND(K353*L353,2)</f>
        <v>0</v>
      </c>
    </row>
    <row r="354" spans="1:13" ht="0.95" customHeight="1">
      <c r="A354" s="25"/>
      <c r="B354" s="25"/>
      <c r="C354" s="25"/>
      <c r="D354" s="31"/>
      <c r="E354" s="25"/>
      <c r="F354" s="25"/>
      <c r="G354" s="25"/>
      <c r="H354" s="25"/>
      <c r="I354" s="25"/>
      <c r="J354" s="25"/>
      <c r="K354" s="25"/>
      <c r="L354" s="25"/>
      <c r="M354" s="25"/>
    </row>
    <row r="355" spans="1:13" ht="22.5">
      <c r="A355" s="15" t="s">
        <v>317</v>
      </c>
      <c r="B355" s="10" t="s">
        <v>23</v>
      </c>
      <c r="C355" s="10" t="s">
        <v>4</v>
      </c>
      <c r="D355" s="18" t="s">
        <v>318</v>
      </c>
      <c r="E355" s="9"/>
      <c r="F355" s="9"/>
      <c r="G355" s="9"/>
      <c r="H355" s="9"/>
      <c r="I355" s="9"/>
      <c r="J355" s="9"/>
      <c r="K355" s="16">
        <f>K358</f>
        <v>1</v>
      </c>
      <c r="L355" s="17">
        <f>L358</f>
        <v>0</v>
      </c>
      <c r="M355" s="17">
        <f>M358</f>
        <v>0</v>
      </c>
    </row>
    <row r="356" spans="1:13">
      <c r="A356" s="9"/>
      <c r="B356" s="9"/>
      <c r="C356" s="9"/>
      <c r="D356" s="18" t="s">
        <v>319</v>
      </c>
      <c r="E356" s="9"/>
      <c r="F356" s="9"/>
      <c r="G356" s="9"/>
      <c r="H356" s="9"/>
      <c r="I356" s="9"/>
      <c r="J356" s="9"/>
      <c r="K356" s="9"/>
      <c r="L356" s="9"/>
      <c r="M356" s="9"/>
    </row>
    <row r="357" spans="1:13">
      <c r="A357" s="9"/>
      <c r="B357" s="9"/>
      <c r="C357" s="10" t="s">
        <v>27</v>
      </c>
      <c r="D357" s="30"/>
      <c r="E357" s="10" t="s">
        <v>320</v>
      </c>
      <c r="F357" s="19">
        <v>1</v>
      </c>
      <c r="G357" s="20">
        <v>0</v>
      </c>
      <c r="H357" s="20">
        <v>0</v>
      </c>
      <c r="I357" s="20">
        <v>0</v>
      </c>
      <c r="J357" s="16">
        <f>OR(F357&lt;&gt;0,G357&lt;&gt;0,H357&lt;&gt;0,I357&lt;&gt;0)*(F357 + (F357 = 0))*(G357 + (G357 = 0))*(H357 + (H357 = 0))*(I357 + (I357 = 0))</f>
        <v>1</v>
      </c>
      <c r="K357" s="9"/>
      <c r="L357" s="9"/>
      <c r="M357" s="9"/>
    </row>
    <row r="358" spans="1:13">
      <c r="A358" s="9"/>
      <c r="B358" s="9"/>
      <c r="C358" s="9"/>
      <c r="D358" s="30"/>
      <c r="E358" s="9"/>
      <c r="F358" s="9"/>
      <c r="G358" s="9"/>
      <c r="H358" s="9"/>
      <c r="I358" s="9"/>
      <c r="J358" s="21" t="s">
        <v>321</v>
      </c>
      <c r="K358" s="22">
        <f>J357</f>
        <v>1</v>
      </c>
      <c r="L358" s="23">
        <v>0</v>
      </c>
      <c r="M358" s="24">
        <f>ROUND(K358*L358,2)</f>
        <v>0</v>
      </c>
    </row>
    <row r="359" spans="1:13" ht="0.95" customHeight="1">
      <c r="A359" s="25"/>
      <c r="B359" s="25"/>
      <c r="C359" s="25"/>
      <c r="D359" s="31"/>
      <c r="E359" s="25"/>
      <c r="F359" s="25"/>
      <c r="G359" s="25"/>
      <c r="H359" s="25"/>
      <c r="I359" s="25"/>
      <c r="J359" s="25"/>
      <c r="K359" s="25"/>
      <c r="L359" s="25"/>
      <c r="M359" s="25"/>
    </row>
    <row r="360" spans="1:13" ht="22.5">
      <c r="A360" s="15" t="s">
        <v>322</v>
      </c>
      <c r="B360" s="10" t="s">
        <v>23</v>
      </c>
      <c r="C360" s="10" t="s">
        <v>4</v>
      </c>
      <c r="D360" s="18" t="s">
        <v>323</v>
      </c>
      <c r="E360" s="9"/>
      <c r="F360" s="9"/>
      <c r="G360" s="9"/>
      <c r="H360" s="9"/>
      <c r="I360" s="9"/>
      <c r="J360" s="9"/>
      <c r="K360" s="16">
        <f>K363</f>
        <v>1</v>
      </c>
      <c r="L360" s="17">
        <f>L363</f>
        <v>0</v>
      </c>
      <c r="M360" s="17">
        <f>M363</f>
        <v>0</v>
      </c>
    </row>
    <row r="361" spans="1:13">
      <c r="A361" s="9"/>
      <c r="B361" s="9"/>
      <c r="C361" s="9"/>
      <c r="D361" s="18" t="s">
        <v>324</v>
      </c>
      <c r="E361" s="9"/>
      <c r="F361" s="9"/>
      <c r="G361" s="9"/>
      <c r="H361" s="9"/>
      <c r="I361" s="9"/>
      <c r="J361" s="9"/>
      <c r="K361" s="9"/>
      <c r="L361" s="9"/>
      <c r="M361" s="9"/>
    </row>
    <row r="362" spans="1:13">
      <c r="A362" s="9"/>
      <c r="B362" s="9"/>
      <c r="C362" s="10" t="s">
        <v>27</v>
      </c>
      <c r="D362" s="30"/>
      <c r="E362" s="10" t="s">
        <v>325</v>
      </c>
      <c r="F362" s="19">
        <v>1</v>
      </c>
      <c r="G362" s="20">
        <v>0</v>
      </c>
      <c r="H362" s="20">
        <v>0</v>
      </c>
      <c r="I362" s="20">
        <v>0</v>
      </c>
      <c r="J362" s="16">
        <f>OR(F362&lt;&gt;0,G362&lt;&gt;0,H362&lt;&gt;0,I362&lt;&gt;0)*(F362 + (F362 = 0))*(G362 + (G362 = 0))*(H362 + (H362 = 0))*(I362 + (I362 = 0))</f>
        <v>1</v>
      </c>
      <c r="K362" s="9"/>
      <c r="L362" s="9"/>
      <c r="M362" s="9"/>
    </row>
    <row r="363" spans="1:13">
      <c r="A363" s="9"/>
      <c r="B363" s="9"/>
      <c r="C363" s="9"/>
      <c r="D363" s="30"/>
      <c r="E363" s="9"/>
      <c r="F363" s="9"/>
      <c r="G363" s="9"/>
      <c r="H363" s="9"/>
      <c r="I363" s="9"/>
      <c r="J363" s="21" t="s">
        <v>326</v>
      </c>
      <c r="K363" s="22">
        <f>J362</f>
        <v>1</v>
      </c>
      <c r="L363" s="23">
        <v>0</v>
      </c>
      <c r="M363" s="24">
        <f>ROUND(K363*L363,2)</f>
        <v>0</v>
      </c>
    </row>
    <row r="364" spans="1:13" ht="0.95" customHeight="1">
      <c r="A364" s="25"/>
      <c r="B364" s="25"/>
      <c r="C364" s="25"/>
      <c r="D364" s="31"/>
      <c r="E364" s="25"/>
      <c r="F364" s="25"/>
      <c r="G364" s="25"/>
      <c r="H364" s="25"/>
      <c r="I364" s="25"/>
      <c r="J364" s="25"/>
      <c r="K364" s="25"/>
      <c r="L364" s="25"/>
      <c r="M364" s="25"/>
    </row>
    <row r="365" spans="1:13" ht="22.5">
      <c r="A365" s="15" t="s">
        <v>327</v>
      </c>
      <c r="B365" s="10" t="s">
        <v>23</v>
      </c>
      <c r="C365" s="10" t="s">
        <v>4</v>
      </c>
      <c r="D365" s="18" t="s">
        <v>328</v>
      </c>
      <c r="E365" s="9"/>
      <c r="F365" s="9"/>
      <c r="G365" s="9"/>
      <c r="H365" s="9"/>
      <c r="I365" s="9"/>
      <c r="J365" s="9"/>
      <c r="K365" s="16">
        <f>K368</f>
        <v>1</v>
      </c>
      <c r="L365" s="17">
        <f>L368</f>
        <v>0</v>
      </c>
      <c r="M365" s="17">
        <f>M368</f>
        <v>0</v>
      </c>
    </row>
    <row r="366" spans="1:13">
      <c r="A366" s="9"/>
      <c r="B366" s="9"/>
      <c r="C366" s="9"/>
      <c r="D366" s="18" t="s">
        <v>329</v>
      </c>
      <c r="E366" s="9"/>
      <c r="F366" s="9"/>
      <c r="G366" s="9"/>
      <c r="H366" s="9"/>
      <c r="I366" s="9"/>
      <c r="J366" s="9"/>
      <c r="K366" s="9"/>
      <c r="L366" s="9"/>
      <c r="M366" s="9"/>
    </row>
    <row r="367" spans="1:13">
      <c r="A367" s="9"/>
      <c r="B367" s="9"/>
      <c r="C367" s="10" t="s">
        <v>27</v>
      </c>
      <c r="D367" s="30"/>
      <c r="E367" s="10" t="s">
        <v>330</v>
      </c>
      <c r="F367" s="19">
        <v>1</v>
      </c>
      <c r="G367" s="20">
        <v>0</v>
      </c>
      <c r="H367" s="20">
        <v>0</v>
      </c>
      <c r="I367" s="20">
        <v>0</v>
      </c>
      <c r="J367" s="16">
        <f>OR(F367&lt;&gt;0,G367&lt;&gt;0,H367&lt;&gt;0,I367&lt;&gt;0)*(F367 + (F367 = 0))*(G367 + (G367 = 0))*(H367 + (H367 = 0))*(I367 + (I367 = 0))</f>
        <v>1</v>
      </c>
      <c r="K367" s="9"/>
      <c r="L367" s="9"/>
      <c r="M367" s="9"/>
    </row>
    <row r="368" spans="1:13">
      <c r="A368" s="9"/>
      <c r="B368" s="9"/>
      <c r="C368" s="9"/>
      <c r="D368" s="30"/>
      <c r="E368" s="9"/>
      <c r="F368" s="9"/>
      <c r="G368" s="9"/>
      <c r="H368" s="9"/>
      <c r="I368" s="9"/>
      <c r="J368" s="21" t="s">
        <v>331</v>
      </c>
      <c r="K368" s="22">
        <f>J367</f>
        <v>1</v>
      </c>
      <c r="L368" s="23">
        <v>0</v>
      </c>
      <c r="M368" s="24">
        <f>ROUND(K368*L368,2)</f>
        <v>0</v>
      </c>
    </row>
    <row r="369" spans="1:13" ht="0.95" customHeight="1">
      <c r="A369" s="25"/>
      <c r="B369" s="25"/>
      <c r="C369" s="25"/>
      <c r="D369" s="31"/>
      <c r="E369" s="25"/>
      <c r="F369" s="25"/>
      <c r="G369" s="25"/>
      <c r="H369" s="25"/>
      <c r="I369" s="25"/>
      <c r="J369" s="25"/>
      <c r="K369" s="25"/>
      <c r="L369" s="25"/>
      <c r="M369" s="25"/>
    </row>
    <row r="370" spans="1:13" ht="22.5">
      <c r="A370" s="15" t="s">
        <v>332</v>
      </c>
      <c r="B370" s="10" t="s">
        <v>23</v>
      </c>
      <c r="C370" s="10" t="s">
        <v>4</v>
      </c>
      <c r="D370" s="18" t="s">
        <v>333</v>
      </c>
      <c r="E370" s="9"/>
      <c r="F370" s="9"/>
      <c r="G370" s="9"/>
      <c r="H370" s="9"/>
      <c r="I370" s="9"/>
      <c r="J370" s="9"/>
      <c r="K370" s="16">
        <f>K373</f>
        <v>2</v>
      </c>
      <c r="L370" s="17">
        <f>L373</f>
        <v>0</v>
      </c>
      <c r="M370" s="17">
        <f>M373</f>
        <v>0</v>
      </c>
    </row>
    <row r="371" spans="1:13">
      <c r="A371" s="9"/>
      <c r="B371" s="9"/>
      <c r="C371" s="9"/>
      <c r="D371" s="18" t="s">
        <v>334</v>
      </c>
      <c r="E371" s="9"/>
      <c r="F371" s="9"/>
      <c r="G371" s="9"/>
      <c r="H371" s="9"/>
      <c r="I371" s="9"/>
      <c r="J371" s="9"/>
      <c r="K371" s="9"/>
      <c r="L371" s="9"/>
      <c r="M371" s="9"/>
    </row>
    <row r="372" spans="1:13">
      <c r="A372" s="9"/>
      <c r="B372" s="9"/>
      <c r="C372" s="10" t="s">
        <v>27</v>
      </c>
      <c r="D372" s="30"/>
      <c r="E372" s="10" t="s">
        <v>335</v>
      </c>
      <c r="F372" s="19">
        <v>2</v>
      </c>
      <c r="G372" s="20">
        <v>0</v>
      </c>
      <c r="H372" s="20">
        <v>0</v>
      </c>
      <c r="I372" s="20">
        <v>0</v>
      </c>
      <c r="J372" s="16">
        <f>OR(F372&lt;&gt;0,G372&lt;&gt;0,H372&lt;&gt;0,I372&lt;&gt;0)*(F372 + (F372 = 0))*(G372 + (G372 = 0))*(H372 + (H372 = 0))*(I372 + (I372 = 0))</f>
        <v>2</v>
      </c>
      <c r="K372" s="9"/>
      <c r="L372" s="9"/>
      <c r="M372" s="9"/>
    </row>
    <row r="373" spans="1:13">
      <c r="A373" s="9"/>
      <c r="B373" s="9"/>
      <c r="C373" s="9"/>
      <c r="D373" s="30"/>
      <c r="E373" s="9"/>
      <c r="F373" s="9"/>
      <c r="G373" s="9"/>
      <c r="H373" s="9"/>
      <c r="I373" s="9"/>
      <c r="J373" s="21" t="s">
        <v>336</v>
      </c>
      <c r="K373" s="22">
        <f>J372</f>
        <v>2</v>
      </c>
      <c r="L373" s="23">
        <v>0</v>
      </c>
      <c r="M373" s="24">
        <f>ROUND(K373*L373,2)</f>
        <v>0</v>
      </c>
    </row>
    <row r="374" spans="1:13" ht="0.95" customHeight="1">
      <c r="A374" s="25"/>
      <c r="B374" s="25"/>
      <c r="C374" s="25"/>
      <c r="D374" s="31"/>
      <c r="E374" s="25"/>
      <c r="F374" s="25"/>
      <c r="G374" s="25"/>
      <c r="H374" s="25"/>
      <c r="I374" s="25"/>
      <c r="J374" s="25"/>
      <c r="K374" s="25"/>
      <c r="L374" s="25"/>
      <c r="M374" s="25"/>
    </row>
    <row r="375" spans="1:13" ht="22.5">
      <c r="A375" s="15" t="s">
        <v>337</v>
      </c>
      <c r="B375" s="10" t="s">
        <v>23</v>
      </c>
      <c r="C375" s="10" t="s">
        <v>4</v>
      </c>
      <c r="D375" s="18" t="s">
        <v>338</v>
      </c>
      <c r="E375" s="9"/>
      <c r="F375" s="9"/>
      <c r="G375" s="9"/>
      <c r="H375" s="9"/>
      <c r="I375" s="9"/>
      <c r="J375" s="9"/>
      <c r="K375" s="16">
        <f>K379</f>
        <v>2</v>
      </c>
      <c r="L375" s="17">
        <f>L379</f>
        <v>0</v>
      </c>
      <c r="M375" s="17">
        <f>M379</f>
        <v>0</v>
      </c>
    </row>
    <row r="376" spans="1:13">
      <c r="A376" s="9"/>
      <c r="B376" s="9"/>
      <c r="C376" s="9"/>
      <c r="D376" s="18" t="s">
        <v>339</v>
      </c>
      <c r="E376" s="9"/>
      <c r="F376" s="9"/>
      <c r="G376" s="9"/>
      <c r="H376" s="9"/>
      <c r="I376" s="9"/>
      <c r="J376" s="9"/>
      <c r="K376" s="9"/>
      <c r="L376" s="9"/>
      <c r="M376" s="9"/>
    </row>
    <row r="377" spans="1:13">
      <c r="A377" s="9"/>
      <c r="B377" s="9"/>
      <c r="C377" s="10" t="s">
        <v>27</v>
      </c>
      <c r="D377" s="30"/>
      <c r="E377" s="10" t="s">
        <v>340</v>
      </c>
      <c r="F377" s="19">
        <v>1</v>
      </c>
      <c r="G377" s="20">
        <v>0</v>
      </c>
      <c r="H377" s="20">
        <v>0</v>
      </c>
      <c r="I377" s="20">
        <v>0</v>
      </c>
      <c r="J377" s="16">
        <f>OR(F377&lt;&gt;0,G377&lt;&gt;0,H377&lt;&gt;0,I377&lt;&gt;0)*(F377 + (F377 = 0))*(G377 + (G377 = 0))*(H377 + (H377 = 0))*(I377 + (I377 = 0))</f>
        <v>1</v>
      </c>
      <c r="K377" s="9"/>
      <c r="L377" s="9"/>
      <c r="M377" s="9"/>
    </row>
    <row r="378" spans="1:13">
      <c r="A378" s="9"/>
      <c r="B378" s="9"/>
      <c r="C378" s="10" t="s">
        <v>27</v>
      </c>
      <c r="D378" s="30"/>
      <c r="E378" s="10" t="s">
        <v>341</v>
      </c>
      <c r="F378" s="19">
        <v>1</v>
      </c>
      <c r="G378" s="20">
        <v>0</v>
      </c>
      <c r="H378" s="20">
        <v>0</v>
      </c>
      <c r="I378" s="20">
        <v>0</v>
      </c>
      <c r="J378" s="16">
        <f>OR(F378&lt;&gt;0,G378&lt;&gt;0,H378&lt;&gt;0,I378&lt;&gt;0)*(F378 + (F378 = 0))*(G378 + (G378 = 0))*(H378 + (H378 = 0))*(I378 + (I378 = 0))</f>
        <v>1</v>
      </c>
      <c r="K378" s="9"/>
      <c r="L378" s="9"/>
      <c r="M378" s="9"/>
    </row>
    <row r="379" spans="1:13">
      <c r="A379" s="9"/>
      <c r="B379" s="9"/>
      <c r="C379" s="9"/>
      <c r="D379" s="30"/>
      <c r="E379" s="9"/>
      <c r="F379" s="9"/>
      <c r="G379" s="9"/>
      <c r="H379" s="9"/>
      <c r="I379" s="9"/>
      <c r="J379" s="21" t="s">
        <v>342</v>
      </c>
      <c r="K379" s="22">
        <f>SUM(J377:J378)</f>
        <v>2</v>
      </c>
      <c r="L379" s="23">
        <v>0</v>
      </c>
      <c r="M379" s="24">
        <f>ROUND(K379*L379,2)</f>
        <v>0</v>
      </c>
    </row>
    <row r="380" spans="1:13" ht="0.95" customHeight="1">
      <c r="A380" s="25"/>
      <c r="B380" s="25"/>
      <c r="C380" s="25"/>
      <c r="D380" s="31"/>
      <c r="E380" s="25"/>
      <c r="F380" s="25"/>
      <c r="G380" s="25"/>
      <c r="H380" s="25"/>
      <c r="I380" s="25"/>
      <c r="J380" s="25"/>
      <c r="K380" s="25"/>
      <c r="L380" s="25"/>
      <c r="M380" s="25"/>
    </row>
    <row r="381" spans="1:13" ht="22.5">
      <c r="A381" s="15" t="s">
        <v>343</v>
      </c>
      <c r="B381" s="10" t="s">
        <v>23</v>
      </c>
      <c r="C381" s="10" t="s">
        <v>4</v>
      </c>
      <c r="D381" s="18" t="s">
        <v>344</v>
      </c>
      <c r="E381" s="9"/>
      <c r="F381" s="9"/>
      <c r="G381" s="9"/>
      <c r="H381" s="9"/>
      <c r="I381" s="9"/>
      <c r="J381" s="9"/>
      <c r="K381" s="16">
        <f>K384</f>
        <v>1</v>
      </c>
      <c r="L381" s="17">
        <f>L384</f>
        <v>0</v>
      </c>
      <c r="M381" s="17">
        <f>M384</f>
        <v>0</v>
      </c>
    </row>
    <row r="382" spans="1:13">
      <c r="A382" s="9"/>
      <c r="B382" s="9"/>
      <c r="C382" s="9"/>
      <c r="D382" s="18" t="s">
        <v>345</v>
      </c>
      <c r="E382" s="9"/>
      <c r="F382" s="9"/>
      <c r="G382" s="9"/>
      <c r="H382" s="9"/>
      <c r="I382" s="9"/>
      <c r="J382" s="9"/>
      <c r="K382" s="9"/>
      <c r="L382" s="9"/>
      <c r="M382" s="9"/>
    </row>
    <row r="383" spans="1:13">
      <c r="A383" s="9"/>
      <c r="B383" s="9"/>
      <c r="C383" s="10" t="s">
        <v>27</v>
      </c>
      <c r="D383" s="30"/>
      <c r="E383" s="10" t="s">
        <v>346</v>
      </c>
      <c r="F383" s="19">
        <v>1</v>
      </c>
      <c r="G383" s="20">
        <v>0</v>
      </c>
      <c r="H383" s="20">
        <v>0</v>
      </c>
      <c r="I383" s="20">
        <v>0</v>
      </c>
      <c r="J383" s="16">
        <f>OR(F383&lt;&gt;0,G383&lt;&gt;0,H383&lt;&gt;0,I383&lt;&gt;0)*(F383 + (F383 = 0))*(G383 + (G383 = 0))*(H383 + (H383 = 0))*(I383 + (I383 = 0))</f>
        <v>1</v>
      </c>
      <c r="K383" s="9"/>
      <c r="L383" s="9"/>
      <c r="M383" s="9"/>
    </row>
    <row r="384" spans="1:13">
      <c r="A384" s="9"/>
      <c r="B384" s="9"/>
      <c r="C384" s="9"/>
      <c r="D384" s="30"/>
      <c r="E384" s="9"/>
      <c r="F384" s="9"/>
      <c r="G384" s="9"/>
      <c r="H384" s="9"/>
      <c r="I384" s="9"/>
      <c r="J384" s="21" t="s">
        <v>347</v>
      </c>
      <c r="K384" s="22">
        <f>J383</f>
        <v>1</v>
      </c>
      <c r="L384" s="23">
        <v>0</v>
      </c>
      <c r="M384" s="24">
        <f>ROUND(K384*L384,2)</f>
        <v>0</v>
      </c>
    </row>
    <row r="385" spans="1:13" ht="0.95" customHeight="1">
      <c r="A385" s="25"/>
      <c r="B385" s="25"/>
      <c r="C385" s="25"/>
      <c r="D385" s="31"/>
      <c r="E385" s="25"/>
      <c r="F385" s="25"/>
      <c r="G385" s="25"/>
      <c r="H385" s="25"/>
      <c r="I385" s="25"/>
      <c r="J385" s="25"/>
      <c r="K385" s="25"/>
      <c r="L385" s="25"/>
      <c r="M385" s="25"/>
    </row>
    <row r="386" spans="1:13" ht="22.5">
      <c r="A386" s="15" t="s">
        <v>348</v>
      </c>
      <c r="B386" s="10" t="s">
        <v>23</v>
      </c>
      <c r="C386" s="10" t="s">
        <v>4</v>
      </c>
      <c r="D386" s="18" t="s">
        <v>349</v>
      </c>
      <c r="E386" s="9"/>
      <c r="F386" s="9"/>
      <c r="G386" s="9"/>
      <c r="H386" s="9"/>
      <c r="I386" s="9"/>
      <c r="J386" s="9"/>
      <c r="K386" s="16">
        <f>K389</f>
        <v>1</v>
      </c>
      <c r="L386" s="17">
        <f>L389</f>
        <v>0</v>
      </c>
      <c r="M386" s="17">
        <f>M389</f>
        <v>0</v>
      </c>
    </row>
    <row r="387" spans="1:13">
      <c r="A387" s="9"/>
      <c r="B387" s="9"/>
      <c r="C387" s="9"/>
      <c r="D387" s="18" t="s">
        <v>350</v>
      </c>
      <c r="E387" s="9"/>
      <c r="F387" s="9"/>
      <c r="G387" s="9"/>
      <c r="H387" s="9"/>
      <c r="I387" s="9"/>
      <c r="J387" s="9"/>
      <c r="K387" s="9"/>
      <c r="L387" s="9"/>
      <c r="M387" s="9"/>
    </row>
    <row r="388" spans="1:13">
      <c r="A388" s="9"/>
      <c r="B388" s="9"/>
      <c r="C388" s="10" t="s">
        <v>27</v>
      </c>
      <c r="D388" s="30"/>
      <c r="E388" s="10" t="s">
        <v>351</v>
      </c>
      <c r="F388" s="19">
        <v>1</v>
      </c>
      <c r="G388" s="20">
        <v>0</v>
      </c>
      <c r="H388" s="20">
        <v>0</v>
      </c>
      <c r="I388" s="20">
        <v>0</v>
      </c>
      <c r="J388" s="16">
        <f>OR(F388&lt;&gt;0,G388&lt;&gt;0,H388&lt;&gt;0,I388&lt;&gt;0)*(F388 + (F388 = 0))*(G388 + (G388 = 0))*(H388 + (H388 = 0))*(I388 + (I388 = 0))</f>
        <v>1</v>
      </c>
      <c r="K388" s="9"/>
      <c r="L388" s="9"/>
      <c r="M388" s="9"/>
    </row>
    <row r="389" spans="1:13">
      <c r="A389" s="9"/>
      <c r="B389" s="9"/>
      <c r="C389" s="9"/>
      <c r="D389" s="30"/>
      <c r="E389" s="9"/>
      <c r="F389" s="9"/>
      <c r="G389" s="9"/>
      <c r="H389" s="9"/>
      <c r="I389" s="9"/>
      <c r="J389" s="21" t="s">
        <v>352</v>
      </c>
      <c r="K389" s="22">
        <f>J388</f>
        <v>1</v>
      </c>
      <c r="L389" s="23">
        <v>0</v>
      </c>
      <c r="M389" s="24">
        <f>ROUND(K389*L389,2)</f>
        <v>0</v>
      </c>
    </row>
    <row r="390" spans="1:13" ht="0.95" customHeight="1">
      <c r="A390" s="25"/>
      <c r="B390" s="25"/>
      <c r="C390" s="25"/>
      <c r="D390" s="31"/>
      <c r="E390" s="25"/>
      <c r="F390" s="25"/>
      <c r="G390" s="25"/>
      <c r="H390" s="25"/>
      <c r="I390" s="25"/>
      <c r="J390" s="25"/>
      <c r="K390" s="25"/>
      <c r="L390" s="25"/>
      <c r="M390" s="25"/>
    </row>
    <row r="391" spans="1:13" ht="22.5">
      <c r="A391" s="15" t="s">
        <v>353</v>
      </c>
      <c r="B391" s="10" t="s">
        <v>23</v>
      </c>
      <c r="C391" s="10" t="s">
        <v>4</v>
      </c>
      <c r="D391" s="18" t="s">
        <v>354</v>
      </c>
      <c r="E391" s="9"/>
      <c r="F391" s="9"/>
      <c r="G391" s="9"/>
      <c r="H391" s="9"/>
      <c r="I391" s="9"/>
      <c r="J391" s="9"/>
      <c r="K391" s="16">
        <f>K394</f>
        <v>1</v>
      </c>
      <c r="L391" s="17">
        <f>L394</f>
        <v>0</v>
      </c>
      <c r="M391" s="17">
        <f>M394</f>
        <v>0</v>
      </c>
    </row>
    <row r="392" spans="1:13">
      <c r="A392" s="9"/>
      <c r="B392" s="9"/>
      <c r="C392" s="9"/>
      <c r="D392" s="18" t="s">
        <v>355</v>
      </c>
      <c r="E392" s="9"/>
      <c r="F392" s="9"/>
      <c r="G392" s="9"/>
      <c r="H392" s="9"/>
      <c r="I392" s="9"/>
      <c r="J392" s="9"/>
      <c r="K392" s="9"/>
      <c r="L392" s="9"/>
      <c r="M392" s="9"/>
    </row>
    <row r="393" spans="1:13">
      <c r="A393" s="9"/>
      <c r="B393" s="9"/>
      <c r="C393" s="10" t="s">
        <v>27</v>
      </c>
      <c r="D393" s="30"/>
      <c r="E393" s="10" t="s">
        <v>356</v>
      </c>
      <c r="F393" s="19">
        <v>1</v>
      </c>
      <c r="G393" s="20">
        <v>0</v>
      </c>
      <c r="H393" s="20">
        <v>0</v>
      </c>
      <c r="I393" s="20">
        <v>0</v>
      </c>
      <c r="J393" s="16">
        <f>OR(F393&lt;&gt;0,G393&lt;&gt;0,H393&lt;&gt;0,I393&lt;&gt;0)*(F393 + (F393 = 0))*(G393 + (G393 = 0))*(H393 + (H393 = 0))*(I393 + (I393 = 0))</f>
        <v>1</v>
      </c>
      <c r="K393" s="9"/>
      <c r="L393" s="9"/>
      <c r="M393" s="9"/>
    </row>
    <row r="394" spans="1:13">
      <c r="A394" s="9"/>
      <c r="B394" s="9"/>
      <c r="C394" s="9"/>
      <c r="D394" s="30"/>
      <c r="E394" s="9"/>
      <c r="F394" s="9"/>
      <c r="G394" s="9"/>
      <c r="H394" s="9"/>
      <c r="I394" s="9"/>
      <c r="J394" s="21" t="s">
        <v>357</v>
      </c>
      <c r="K394" s="22">
        <f>J393</f>
        <v>1</v>
      </c>
      <c r="L394" s="23">
        <v>0</v>
      </c>
      <c r="M394" s="24">
        <f>ROUND(K394*L394,2)</f>
        <v>0</v>
      </c>
    </row>
    <row r="395" spans="1:13" ht="0.95" customHeight="1">
      <c r="A395" s="25"/>
      <c r="B395" s="25"/>
      <c r="C395" s="25"/>
      <c r="D395" s="31"/>
      <c r="E395" s="25"/>
      <c r="F395" s="25"/>
      <c r="G395" s="25"/>
      <c r="H395" s="25"/>
      <c r="I395" s="25"/>
      <c r="J395" s="25"/>
      <c r="K395" s="25"/>
      <c r="L395" s="25"/>
      <c r="M395" s="25"/>
    </row>
    <row r="396" spans="1:13" ht="22.5">
      <c r="A396" s="15" t="s">
        <v>358</v>
      </c>
      <c r="B396" s="10" t="s">
        <v>23</v>
      </c>
      <c r="C396" s="10" t="s">
        <v>4</v>
      </c>
      <c r="D396" s="18" t="s">
        <v>359</v>
      </c>
      <c r="E396" s="9"/>
      <c r="F396" s="9"/>
      <c r="G396" s="9"/>
      <c r="H396" s="9"/>
      <c r="I396" s="9"/>
      <c r="J396" s="9"/>
      <c r="K396" s="16">
        <f>K399</f>
        <v>1</v>
      </c>
      <c r="L396" s="17">
        <f>L399</f>
        <v>0</v>
      </c>
      <c r="M396" s="17">
        <f>M399</f>
        <v>0</v>
      </c>
    </row>
    <row r="397" spans="1:13">
      <c r="A397" s="9"/>
      <c r="B397" s="9"/>
      <c r="C397" s="9"/>
      <c r="D397" s="18" t="s">
        <v>360</v>
      </c>
      <c r="E397" s="9"/>
      <c r="F397" s="9"/>
      <c r="G397" s="9"/>
      <c r="H397" s="9"/>
      <c r="I397" s="9"/>
      <c r="J397" s="9"/>
      <c r="K397" s="9"/>
      <c r="L397" s="9"/>
      <c r="M397" s="9"/>
    </row>
    <row r="398" spans="1:13">
      <c r="A398" s="9"/>
      <c r="B398" s="9"/>
      <c r="C398" s="10" t="s">
        <v>27</v>
      </c>
      <c r="D398" s="30"/>
      <c r="E398" s="10" t="s">
        <v>361</v>
      </c>
      <c r="F398" s="19">
        <v>1</v>
      </c>
      <c r="G398" s="20">
        <v>0</v>
      </c>
      <c r="H398" s="20">
        <v>0</v>
      </c>
      <c r="I398" s="20">
        <v>0</v>
      </c>
      <c r="J398" s="16">
        <f>OR(F398&lt;&gt;0,G398&lt;&gt;0,H398&lt;&gt;0,I398&lt;&gt;0)*(F398 + (F398 = 0))*(G398 + (G398 = 0))*(H398 + (H398 = 0))*(I398 + (I398 = 0))</f>
        <v>1</v>
      </c>
      <c r="K398" s="9"/>
      <c r="L398" s="9"/>
      <c r="M398" s="9"/>
    </row>
    <row r="399" spans="1:13">
      <c r="A399" s="9"/>
      <c r="B399" s="9"/>
      <c r="C399" s="9"/>
      <c r="D399" s="30"/>
      <c r="E399" s="9"/>
      <c r="F399" s="9"/>
      <c r="G399" s="9"/>
      <c r="H399" s="9"/>
      <c r="I399" s="9"/>
      <c r="J399" s="21" t="s">
        <v>362</v>
      </c>
      <c r="K399" s="22">
        <f>J398</f>
        <v>1</v>
      </c>
      <c r="L399" s="23">
        <v>0</v>
      </c>
      <c r="M399" s="24">
        <f>ROUND(K399*L399,2)</f>
        <v>0</v>
      </c>
    </row>
    <row r="400" spans="1:13" ht="0.95" customHeight="1">
      <c r="A400" s="25"/>
      <c r="B400" s="25"/>
      <c r="C400" s="25"/>
      <c r="D400" s="31"/>
      <c r="E400" s="25"/>
      <c r="F400" s="25"/>
      <c r="G400" s="25"/>
      <c r="H400" s="25"/>
      <c r="I400" s="25"/>
      <c r="J400" s="25"/>
      <c r="K400" s="25"/>
      <c r="L400" s="25"/>
      <c r="M400" s="25"/>
    </row>
    <row r="401" spans="1:13" ht="22.5">
      <c r="A401" s="15" t="s">
        <v>363</v>
      </c>
      <c r="B401" s="10" t="s">
        <v>23</v>
      </c>
      <c r="C401" s="10" t="s">
        <v>4</v>
      </c>
      <c r="D401" s="18" t="s">
        <v>364</v>
      </c>
      <c r="E401" s="9"/>
      <c r="F401" s="9"/>
      <c r="G401" s="9"/>
      <c r="H401" s="9"/>
      <c r="I401" s="9"/>
      <c r="J401" s="9"/>
      <c r="K401" s="16">
        <f>K404</f>
        <v>1</v>
      </c>
      <c r="L401" s="17">
        <f>L404</f>
        <v>0</v>
      </c>
      <c r="M401" s="17">
        <f>M404</f>
        <v>0</v>
      </c>
    </row>
    <row r="402" spans="1:13">
      <c r="A402" s="9"/>
      <c r="B402" s="9"/>
      <c r="C402" s="9"/>
      <c r="D402" s="18" t="s">
        <v>365</v>
      </c>
      <c r="E402" s="9"/>
      <c r="F402" s="9"/>
      <c r="G402" s="9"/>
      <c r="H402" s="9"/>
      <c r="I402" s="9"/>
      <c r="J402" s="9"/>
      <c r="K402" s="9"/>
      <c r="L402" s="9"/>
      <c r="M402" s="9"/>
    </row>
    <row r="403" spans="1:13">
      <c r="A403" s="9"/>
      <c r="B403" s="9"/>
      <c r="C403" s="10" t="s">
        <v>27</v>
      </c>
      <c r="D403" s="30"/>
      <c r="E403" s="10" t="s">
        <v>366</v>
      </c>
      <c r="F403" s="19">
        <v>1</v>
      </c>
      <c r="G403" s="23">
        <v>0</v>
      </c>
      <c r="H403" s="23">
        <v>0</v>
      </c>
      <c r="I403" s="23">
        <v>0</v>
      </c>
      <c r="J403" s="17">
        <f>OR(F403&lt;&gt;0,G403&lt;&gt;0,H403&lt;&gt;0,I403&lt;&gt;0)*(F403 + (F403 = 0))*(G403 + (G403 = 0))*(H403 + (H403 = 0))*(I403 + (I403 = 0))</f>
        <v>1</v>
      </c>
      <c r="K403" s="9"/>
      <c r="L403" s="9"/>
      <c r="M403" s="9"/>
    </row>
    <row r="404" spans="1:13">
      <c r="A404" s="9"/>
      <c r="B404" s="9"/>
      <c r="C404" s="9"/>
      <c r="D404" s="30"/>
      <c r="E404" s="9"/>
      <c r="F404" s="9"/>
      <c r="G404" s="9"/>
      <c r="H404" s="9"/>
      <c r="I404" s="9"/>
      <c r="J404" s="21" t="s">
        <v>367</v>
      </c>
      <c r="K404" s="22">
        <f>J403</f>
        <v>1</v>
      </c>
      <c r="L404" s="23">
        <v>0</v>
      </c>
      <c r="M404" s="24">
        <f>ROUND(K404*L404,2)</f>
        <v>0</v>
      </c>
    </row>
    <row r="405" spans="1:13" ht="0.95" customHeight="1">
      <c r="A405" s="25"/>
      <c r="B405" s="25"/>
      <c r="C405" s="25"/>
      <c r="D405" s="31"/>
      <c r="E405" s="25"/>
      <c r="F405" s="25"/>
      <c r="G405" s="25"/>
      <c r="H405" s="25"/>
      <c r="I405" s="25"/>
      <c r="J405" s="25"/>
      <c r="K405" s="25"/>
      <c r="L405" s="25"/>
      <c r="M405" s="25"/>
    </row>
    <row r="406" spans="1:13" ht="22.5">
      <c r="A406" s="15" t="s">
        <v>368</v>
      </c>
      <c r="B406" s="10" t="s">
        <v>23</v>
      </c>
      <c r="C406" s="10" t="s">
        <v>4</v>
      </c>
      <c r="D406" s="18" t="s">
        <v>369</v>
      </c>
      <c r="E406" s="9"/>
      <c r="F406" s="9"/>
      <c r="G406" s="9"/>
      <c r="H406" s="9"/>
      <c r="I406" s="9"/>
      <c r="J406" s="9"/>
      <c r="K406" s="16">
        <f>K409</f>
        <v>1</v>
      </c>
      <c r="L406" s="17">
        <f>L409</f>
        <v>0</v>
      </c>
      <c r="M406" s="17">
        <f>M409</f>
        <v>0</v>
      </c>
    </row>
    <row r="407" spans="1:13">
      <c r="A407" s="9"/>
      <c r="B407" s="9"/>
      <c r="C407" s="9"/>
      <c r="D407" s="18" t="s">
        <v>370</v>
      </c>
      <c r="E407" s="9"/>
      <c r="F407" s="9"/>
      <c r="G407" s="9"/>
      <c r="H407" s="9"/>
      <c r="I407" s="9"/>
      <c r="J407" s="9"/>
      <c r="K407" s="9"/>
      <c r="L407" s="9"/>
      <c r="M407" s="9"/>
    </row>
    <row r="408" spans="1:13">
      <c r="A408" s="9"/>
      <c r="B408" s="9"/>
      <c r="C408" s="10" t="s">
        <v>27</v>
      </c>
      <c r="D408" s="30"/>
      <c r="E408" s="10" t="s">
        <v>371</v>
      </c>
      <c r="F408" s="19">
        <v>1</v>
      </c>
      <c r="G408" s="20">
        <v>0</v>
      </c>
      <c r="H408" s="20">
        <v>0</v>
      </c>
      <c r="I408" s="20">
        <v>0</v>
      </c>
      <c r="J408" s="16">
        <f>OR(F408&lt;&gt;0,G408&lt;&gt;0,H408&lt;&gt;0,I408&lt;&gt;0)*(F408 + (F408 = 0))*(G408 + (G408 = 0))*(H408 + (H408 = 0))*(I408 + (I408 = 0))</f>
        <v>1</v>
      </c>
      <c r="K408" s="9"/>
      <c r="L408" s="9"/>
      <c r="M408" s="9"/>
    </row>
    <row r="409" spans="1:13">
      <c r="A409" s="9"/>
      <c r="B409" s="9"/>
      <c r="C409" s="9"/>
      <c r="D409" s="30"/>
      <c r="E409" s="9"/>
      <c r="F409" s="9"/>
      <c r="G409" s="9"/>
      <c r="H409" s="9"/>
      <c r="I409" s="9"/>
      <c r="J409" s="21" t="s">
        <v>372</v>
      </c>
      <c r="K409" s="22">
        <f>J408</f>
        <v>1</v>
      </c>
      <c r="L409" s="23">
        <v>0</v>
      </c>
      <c r="M409" s="24">
        <f>ROUND(K409*L409,2)</f>
        <v>0</v>
      </c>
    </row>
    <row r="410" spans="1:13" ht="0.95" customHeight="1">
      <c r="A410" s="25"/>
      <c r="B410" s="25"/>
      <c r="C410" s="25"/>
      <c r="D410" s="31"/>
      <c r="E410" s="25"/>
      <c r="F410" s="25"/>
      <c r="G410" s="25"/>
      <c r="H410" s="25"/>
      <c r="I410" s="25"/>
      <c r="J410" s="25"/>
      <c r="K410" s="25"/>
      <c r="L410" s="25"/>
      <c r="M410" s="25"/>
    </row>
    <row r="411" spans="1:13" ht="22.5">
      <c r="A411" s="15" t="s">
        <v>373</v>
      </c>
      <c r="B411" s="10" t="s">
        <v>23</v>
      </c>
      <c r="C411" s="10" t="s">
        <v>4</v>
      </c>
      <c r="D411" s="18" t="s">
        <v>374</v>
      </c>
      <c r="E411" s="9"/>
      <c r="F411" s="9"/>
      <c r="G411" s="9"/>
      <c r="H411" s="9"/>
      <c r="I411" s="9"/>
      <c r="J411" s="9"/>
      <c r="K411" s="16">
        <f>K414</f>
        <v>1</v>
      </c>
      <c r="L411" s="17">
        <f>L414</f>
        <v>0</v>
      </c>
      <c r="M411" s="17">
        <f>M414</f>
        <v>0</v>
      </c>
    </row>
    <row r="412" spans="1:13">
      <c r="A412" s="9"/>
      <c r="B412" s="9"/>
      <c r="C412" s="9"/>
      <c r="D412" s="18" t="s">
        <v>375</v>
      </c>
      <c r="E412" s="9"/>
      <c r="F412" s="9"/>
      <c r="G412" s="9"/>
      <c r="H412" s="9"/>
      <c r="I412" s="9"/>
      <c r="J412" s="9"/>
      <c r="K412" s="9"/>
      <c r="L412" s="9"/>
      <c r="M412" s="9"/>
    </row>
    <row r="413" spans="1:13">
      <c r="A413" s="9"/>
      <c r="B413" s="9"/>
      <c r="C413" s="10" t="s">
        <v>27</v>
      </c>
      <c r="D413" s="30"/>
      <c r="E413" s="10" t="s">
        <v>371</v>
      </c>
      <c r="F413" s="19">
        <v>1</v>
      </c>
      <c r="G413" s="20">
        <v>0</v>
      </c>
      <c r="H413" s="20">
        <v>0</v>
      </c>
      <c r="I413" s="20">
        <v>0</v>
      </c>
      <c r="J413" s="16">
        <f>OR(F413&lt;&gt;0,G413&lt;&gt;0,H413&lt;&gt;0,I413&lt;&gt;0)*(F413 + (F413 = 0))*(G413 + (G413 = 0))*(H413 + (H413 = 0))*(I413 + (I413 = 0))</f>
        <v>1</v>
      </c>
      <c r="K413" s="9"/>
      <c r="L413" s="9"/>
      <c r="M413" s="9"/>
    </row>
    <row r="414" spans="1:13">
      <c r="A414" s="9"/>
      <c r="B414" s="9"/>
      <c r="C414" s="9"/>
      <c r="D414" s="30"/>
      <c r="E414" s="9"/>
      <c r="F414" s="9"/>
      <c r="G414" s="9"/>
      <c r="H414" s="9"/>
      <c r="I414" s="9"/>
      <c r="J414" s="21" t="s">
        <v>376</v>
      </c>
      <c r="K414" s="22">
        <f>J413</f>
        <v>1</v>
      </c>
      <c r="L414" s="23">
        <v>0</v>
      </c>
      <c r="M414" s="24">
        <f>ROUND(K414*L414,2)</f>
        <v>0</v>
      </c>
    </row>
    <row r="415" spans="1:13" ht="0.95" customHeight="1">
      <c r="A415" s="25"/>
      <c r="B415" s="25"/>
      <c r="C415" s="25"/>
      <c r="D415" s="31"/>
      <c r="E415" s="25"/>
      <c r="F415" s="25"/>
      <c r="G415" s="25"/>
      <c r="H415" s="25"/>
      <c r="I415" s="25"/>
      <c r="J415" s="25"/>
      <c r="K415" s="25"/>
      <c r="L415" s="25"/>
      <c r="M415" s="25"/>
    </row>
    <row r="416" spans="1:13" ht="22.5">
      <c r="A416" s="15" t="s">
        <v>377</v>
      </c>
      <c r="B416" s="10" t="s">
        <v>23</v>
      </c>
      <c r="C416" s="10" t="s">
        <v>4</v>
      </c>
      <c r="D416" s="18" t="s">
        <v>378</v>
      </c>
      <c r="E416" s="9"/>
      <c r="F416" s="9"/>
      <c r="G416" s="9"/>
      <c r="H416" s="9"/>
      <c r="I416" s="9"/>
      <c r="J416" s="9"/>
      <c r="K416" s="16">
        <f>K419</f>
        <v>1</v>
      </c>
      <c r="L416" s="17">
        <f>L419</f>
        <v>0</v>
      </c>
      <c r="M416" s="17">
        <f>M419</f>
        <v>0</v>
      </c>
    </row>
    <row r="417" spans="1:13">
      <c r="A417" s="9"/>
      <c r="B417" s="9"/>
      <c r="C417" s="9"/>
      <c r="D417" s="18" t="s">
        <v>379</v>
      </c>
      <c r="E417" s="9"/>
      <c r="F417" s="9"/>
      <c r="G417" s="9"/>
      <c r="H417" s="9"/>
      <c r="I417" s="9"/>
      <c r="J417" s="9"/>
      <c r="K417" s="9"/>
      <c r="L417" s="9"/>
      <c r="M417" s="9"/>
    </row>
    <row r="418" spans="1:13">
      <c r="A418" s="9"/>
      <c r="B418" s="9"/>
      <c r="C418" s="10" t="s">
        <v>27</v>
      </c>
      <c r="D418" s="30"/>
      <c r="E418" s="10" t="s">
        <v>380</v>
      </c>
      <c r="F418" s="19">
        <v>1</v>
      </c>
      <c r="G418" s="20">
        <v>0</v>
      </c>
      <c r="H418" s="20">
        <v>0</v>
      </c>
      <c r="I418" s="20">
        <v>0</v>
      </c>
      <c r="J418" s="16">
        <f>OR(F418&lt;&gt;0,G418&lt;&gt;0,H418&lt;&gt;0,I418&lt;&gt;0)*(F418 + (F418 = 0))*(G418 + (G418 = 0))*(H418 + (H418 = 0))*(I418 + (I418 = 0))</f>
        <v>1</v>
      </c>
      <c r="K418" s="9"/>
      <c r="L418" s="9"/>
      <c r="M418" s="9"/>
    </row>
    <row r="419" spans="1:13">
      <c r="A419" s="9"/>
      <c r="B419" s="9"/>
      <c r="C419" s="9"/>
      <c r="D419" s="30"/>
      <c r="E419" s="9"/>
      <c r="F419" s="9"/>
      <c r="G419" s="9"/>
      <c r="H419" s="9"/>
      <c r="I419" s="9"/>
      <c r="J419" s="21" t="s">
        <v>381</v>
      </c>
      <c r="K419" s="22">
        <f>J418</f>
        <v>1</v>
      </c>
      <c r="L419" s="23">
        <v>0</v>
      </c>
      <c r="M419" s="24">
        <f>ROUND(K419*L419,2)</f>
        <v>0</v>
      </c>
    </row>
    <row r="420" spans="1:13" ht="0.95" customHeight="1">
      <c r="A420" s="25"/>
      <c r="B420" s="25"/>
      <c r="C420" s="25"/>
      <c r="D420" s="31"/>
      <c r="E420" s="25"/>
      <c r="F420" s="25"/>
      <c r="G420" s="25"/>
      <c r="H420" s="25"/>
      <c r="I420" s="25"/>
      <c r="J420" s="25"/>
      <c r="K420" s="25"/>
      <c r="L420" s="25"/>
      <c r="M420" s="25"/>
    </row>
    <row r="421" spans="1:13" ht="22.5">
      <c r="A421" s="15" t="s">
        <v>382</v>
      </c>
      <c r="B421" s="10" t="s">
        <v>23</v>
      </c>
      <c r="C421" s="10" t="s">
        <v>4</v>
      </c>
      <c r="D421" s="18" t="s">
        <v>383</v>
      </c>
      <c r="E421" s="9"/>
      <c r="F421" s="9"/>
      <c r="G421" s="9"/>
      <c r="H421" s="9"/>
      <c r="I421" s="9"/>
      <c r="J421" s="9"/>
      <c r="K421" s="16">
        <f>K424</f>
        <v>2</v>
      </c>
      <c r="L421" s="17">
        <f>L424</f>
        <v>0</v>
      </c>
      <c r="M421" s="17">
        <f>M424</f>
        <v>0</v>
      </c>
    </row>
    <row r="422" spans="1:13">
      <c r="A422" s="9"/>
      <c r="B422" s="9"/>
      <c r="C422" s="9"/>
      <c r="D422" s="18" t="s">
        <v>384</v>
      </c>
      <c r="E422" s="9"/>
      <c r="F422" s="9"/>
      <c r="G422" s="9"/>
      <c r="H422" s="9"/>
      <c r="I422" s="9"/>
      <c r="J422" s="9"/>
      <c r="K422" s="9"/>
      <c r="L422" s="9"/>
      <c r="M422" s="9"/>
    </row>
    <row r="423" spans="1:13">
      <c r="A423" s="9"/>
      <c r="B423" s="9"/>
      <c r="C423" s="10" t="s">
        <v>27</v>
      </c>
      <c r="D423" s="30"/>
      <c r="E423" s="10" t="s">
        <v>385</v>
      </c>
      <c r="F423" s="19">
        <v>2</v>
      </c>
      <c r="G423" s="20">
        <v>0</v>
      </c>
      <c r="H423" s="20">
        <v>0</v>
      </c>
      <c r="I423" s="20">
        <v>0</v>
      </c>
      <c r="J423" s="16">
        <f>OR(F423&lt;&gt;0,G423&lt;&gt;0,H423&lt;&gt;0,I423&lt;&gt;0)*(F423 + (F423 = 0))*(G423 + (G423 = 0))*(H423 + (H423 = 0))*(I423 + (I423 = 0))</f>
        <v>2</v>
      </c>
      <c r="K423" s="9"/>
      <c r="L423" s="9"/>
      <c r="M423" s="9"/>
    </row>
    <row r="424" spans="1:13">
      <c r="A424" s="9"/>
      <c r="B424" s="9"/>
      <c r="C424" s="9"/>
      <c r="D424" s="30"/>
      <c r="E424" s="9"/>
      <c r="F424" s="9"/>
      <c r="G424" s="9"/>
      <c r="H424" s="9"/>
      <c r="I424" s="9"/>
      <c r="J424" s="21" t="s">
        <v>386</v>
      </c>
      <c r="K424" s="22">
        <f>J423</f>
        <v>2</v>
      </c>
      <c r="L424" s="23">
        <v>0</v>
      </c>
      <c r="M424" s="24">
        <f>ROUND(K424*L424,2)</f>
        <v>0</v>
      </c>
    </row>
    <row r="425" spans="1:13" ht="0.95" customHeight="1">
      <c r="A425" s="25"/>
      <c r="B425" s="25"/>
      <c r="C425" s="25"/>
      <c r="D425" s="31"/>
      <c r="E425" s="25"/>
      <c r="F425" s="25"/>
      <c r="G425" s="25"/>
      <c r="H425" s="25"/>
      <c r="I425" s="25"/>
      <c r="J425" s="25"/>
      <c r="K425" s="25"/>
      <c r="L425" s="25"/>
      <c r="M425" s="25"/>
    </row>
    <row r="426" spans="1:13" ht="22.5">
      <c r="A426" s="15" t="s">
        <v>387</v>
      </c>
      <c r="B426" s="10" t="s">
        <v>23</v>
      </c>
      <c r="C426" s="10" t="s">
        <v>4</v>
      </c>
      <c r="D426" s="18" t="s">
        <v>388</v>
      </c>
      <c r="E426" s="9"/>
      <c r="F426" s="9"/>
      <c r="G426" s="9"/>
      <c r="H426" s="9"/>
      <c r="I426" s="9"/>
      <c r="J426" s="9"/>
      <c r="K426" s="16">
        <f>K429</f>
        <v>1</v>
      </c>
      <c r="L426" s="17">
        <f>L429</f>
        <v>0</v>
      </c>
      <c r="M426" s="17">
        <f>M429</f>
        <v>0</v>
      </c>
    </row>
    <row r="427" spans="1:13">
      <c r="A427" s="9"/>
      <c r="B427" s="9"/>
      <c r="C427" s="9"/>
      <c r="D427" s="18" t="s">
        <v>389</v>
      </c>
      <c r="E427" s="9"/>
      <c r="F427" s="9"/>
      <c r="G427" s="9"/>
      <c r="H427" s="9"/>
      <c r="I427" s="9"/>
      <c r="J427" s="9"/>
      <c r="K427" s="9"/>
      <c r="L427" s="9"/>
      <c r="M427" s="9"/>
    </row>
    <row r="428" spans="1:13">
      <c r="A428" s="9"/>
      <c r="B428" s="9"/>
      <c r="C428" s="10" t="s">
        <v>27</v>
      </c>
      <c r="D428" s="30"/>
      <c r="E428" s="10" t="s">
        <v>390</v>
      </c>
      <c r="F428" s="19">
        <v>1</v>
      </c>
      <c r="G428" s="20">
        <v>0</v>
      </c>
      <c r="H428" s="20">
        <v>0</v>
      </c>
      <c r="I428" s="20">
        <v>0</v>
      </c>
      <c r="J428" s="16">
        <f>OR(F428&lt;&gt;0,G428&lt;&gt;0,H428&lt;&gt;0,I428&lt;&gt;0)*(F428 + (F428 = 0))*(G428 + (G428 = 0))*(H428 + (H428 = 0))*(I428 + (I428 = 0))</f>
        <v>1</v>
      </c>
      <c r="K428" s="9"/>
      <c r="L428" s="9"/>
      <c r="M428" s="9"/>
    </row>
    <row r="429" spans="1:13">
      <c r="A429" s="9"/>
      <c r="B429" s="9"/>
      <c r="C429" s="9"/>
      <c r="D429" s="30"/>
      <c r="E429" s="9"/>
      <c r="F429" s="9"/>
      <c r="G429" s="9"/>
      <c r="H429" s="9"/>
      <c r="I429" s="9"/>
      <c r="J429" s="21" t="s">
        <v>391</v>
      </c>
      <c r="K429" s="22">
        <f>J428</f>
        <v>1</v>
      </c>
      <c r="L429" s="23">
        <v>0</v>
      </c>
      <c r="M429" s="24">
        <f>ROUND(K429*L429,2)</f>
        <v>0</v>
      </c>
    </row>
    <row r="430" spans="1:13" ht="0.95" customHeight="1">
      <c r="A430" s="25"/>
      <c r="B430" s="25"/>
      <c r="C430" s="25"/>
      <c r="D430" s="31"/>
      <c r="E430" s="25"/>
      <c r="F430" s="25"/>
      <c r="G430" s="25"/>
      <c r="H430" s="25"/>
      <c r="I430" s="25"/>
      <c r="J430" s="25"/>
      <c r="K430" s="25"/>
      <c r="L430" s="25"/>
      <c r="M430" s="25"/>
    </row>
    <row r="431" spans="1:13" ht="22.5">
      <c r="A431" s="15" t="s">
        <v>392</v>
      </c>
      <c r="B431" s="10" t="s">
        <v>23</v>
      </c>
      <c r="C431" s="10" t="s">
        <v>4</v>
      </c>
      <c r="D431" s="18" t="s">
        <v>393</v>
      </c>
      <c r="E431" s="9"/>
      <c r="F431" s="9"/>
      <c r="G431" s="9"/>
      <c r="H431" s="9"/>
      <c r="I431" s="9"/>
      <c r="J431" s="9"/>
      <c r="K431" s="16">
        <f>K434</f>
        <v>1</v>
      </c>
      <c r="L431" s="17">
        <f>L434</f>
        <v>0</v>
      </c>
      <c r="M431" s="17">
        <f>M434</f>
        <v>0</v>
      </c>
    </row>
    <row r="432" spans="1:13">
      <c r="A432" s="9"/>
      <c r="B432" s="9"/>
      <c r="C432" s="9"/>
      <c r="D432" s="18" t="s">
        <v>394</v>
      </c>
      <c r="E432" s="9"/>
      <c r="F432" s="9"/>
      <c r="G432" s="9"/>
      <c r="H432" s="9"/>
      <c r="I432" s="9"/>
      <c r="J432" s="9"/>
      <c r="K432" s="9"/>
      <c r="L432" s="9"/>
      <c r="M432" s="9"/>
    </row>
    <row r="433" spans="1:13">
      <c r="A433" s="9"/>
      <c r="B433" s="9"/>
      <c r="C433" s="10" t="s">
        <v>27</v>
      </c>
      <c r="D433" s="30"/>
      <c r="E433" s="10" t="s">
        <v>395</v>
      </c>
      <c r="F433" s="19">
        <v>1</v>
      </c>
      <c r="G433" s="20">
        <v>0</v>
      </c>
      <c r="H433" s="20">
        <v>0</v>
      </c>
      <c r="I433" s="20">
        <v>0</v>
      </c>
      <c r="J433" s="16">
        <f>OR(F433&lt;&gt;0,G433&lt;&gt;0,H433&lt;&gt;0,I433&lt;&gt;0)*(F433 + (F433 = 0))*(G433 + (G433 = 0))*(H433 + (H433 = 0))*(I433 + (I433 = 0))</f>
        <v>1</v>
      </c>
      <c r="K433" s="9"/>
      <c r="L433" s="9"/>
      <c r="M433" s="9"/>
    </row>
    <row r="434" spans="1:13">
      <c r="A434" s="9"/>
      <c r="B434" s="9"/>
      <c r="C434" s="9"/>
      <c r="D434" s="30"/>
      <c r="E434" s="9"/>
      <c r="F434" s="9"/>
      <c r="G434" s="9"/>
      <c r="H434" s="9"/>
      <c r="I434" s="9"/>
      <c r="J434" s="21" t="s">
        <v>396</v>
      </c>
      <c r="K434" s="22">
        <f>J433</f>
        <v>1</v>
      </c>
      <c r="L434" s="23">
        <v>0</v>
      </c>
      <c r="M434" s="24">
        <f>ROUND(K434*L434,2)</f>
        <v>0</v>
      </c>
    </row>
    <row r="435" spans="1:13" ht="0.95" customHeight="1">
      <c r="A435" s="25"/>
      <c r="B435" s="25"/>
      <c r="C435" s="25"/>
      <c r="D435" s="31"/>
      <c r="E435" s="25"/>
      <c r="F435" s="25"/>
      <c r="G435" s="25"/>
      <c r="H435" s="25"/>
      <c r="I435" s="25"/>
      <c r="J435" s="25"/>
      <c r="K435" s="25"/>
      <c r="L435" s="25"/>
      <c r="M435" s="25"/>
    </row>
    <row r="436" spans="1:13" ht="22.5">
      <c r="A436" s="15" t="s">
        <v>397</v>
      </c>
      <c r="B436" s="10" t="s">
        <v>23</v>
      </c>
      <c r="C436" s="10" t="s">
        <v>4</v>
      </c>
      <c r="D436" s="18" t="s">
        <v>398</v>
      </c>
      <c r="E436" s="9"/>
      <c r="F436" s="9"/>
      <c r="G436" s="9"/>
      <c r="H436" s="9"/>
      <c r="I436" s="9"/>
      <c r="J436" s="9"/>
      <c r="K436" s="16">
        <f>K439</f>
        <v>1</v>
      </c>
      <c r="L436" s="17">
        <f>L439</f>
        <v>0</v>
      </c>
      <c r="M436" s="17">
        <f>M439</f>
        <v>0</v>
      </c>
    </row>
    <row r="437" spans="1:13">
      <c r="A437" s="9"/>
      <c r="B437" s="9"/>
      <c r="C437" s="9"/>
      <c r="D437" s="18" t="s">
        <v>399</v>
      </c>
      <c r="E437" s="9"/>
      <c r="F437" s="9"/>
      <c r="G437" s="9"/>
      <c r="H437" s="9"/>
      <c r="I437" s="9"/>
      <c r="J437" s="9"/>
      <c r="K437" s="9"/>
      <c r="L437" s="9"/>
      <c r="M437" s="9"/>
    </row>
    <row r="438" spans="1:13">
      <c r="A438" s="9"/>
      <c r="B438" s="9"/>
      <c r="C438" s="10" t="s">
        <v>27</v>
      </c>
      <c r="D438" s="30"/>
      <c r="E438" s="10" t="s">
        <v>400</v>
      </c>
      <c r="F438" s="19">
        <v>1</v>
      </c>
      <c r="G438" s="20">
        <v>0</v>
      </c>
      <c r="H438" s="20">
        <v>0</v>
      </c>
      <c r="I438" s="20">
        <v>0</v>
      </c>
      <c r="J438" s="16">
        <f>OR(F438&lt;&gt;0,G438&lt;&gt;0,H438&lt;&gt;0,I438&lt;&gt;0)*(F438 + (F438 = 0))*(G438 + (G438 = 0))*(H438 + (H438 = 0))*(I438 + (I438 = 0))</f>
        <v>1</v>
      </c>
      <c r="K438" s="9"/>
      <c r="L438" s="9"/>
      <c r="M438" s="9"/>
    </row>
    <row r="439" spans="1:13">
      <c r="A439" s="9"/>
      <c r="B439" s="9"/>
      <c r="C439" s="9"/>
      <c r="D439" s="30"/>
      <c r="E439" s="9"/>
      <c r="F439" s="9"/>
      <c r="G439" s="9"/>
      <c r="H439" s="9"/>
      <c r="I439" s="9"/>
      <c r="J439" s="21" t="s">
        <v>401</v>
      </c>
      <c r="K439" s="22">
        <f>J438</f>
        <v>1</v>
      </c>
      <c r="L439" s="23">
        <v>0</v>
      </c>
      <c r="M439" s="24">
        <f>ROUND(K439*L439,2)</f>
        <v>0</v>
      </c>
    </row>
    <row r="440" spans="1:13" ht="0.95" customHeight="1">
      <c r="A440" s="25"/>
      <c r="B440" s="25"/>
      <c r="C440" s="25"/>
      <c r="D440" s="31"/>
      <c r="E440" s="25"/>
      <c r="F440" s="25"/>
      <c r="G440" s="25"/>
      <c r="H440" s="25"/>
      <c r="I440" s="25"/>
      <c r="J440" s="25"/>
      <c r="K440" s="25"/>
      <c r="L440" s="25"/>
      <c r="M440" s="25"/>
    </row>
    <row r="441" spans="1:13" ht="22.5">
      <c r="A441" s="15" t="s">
        <v>402</v>
      </c>
      <c r="B441" s="10" t="s">
        <v>23</v>
      </c>
      <c r="C441" s="10" t="s">
        <v>4</v>
      </c>
      <c r="D441" s="18" t="s">
        <v>403</v>
      </c>
      <c r="E441" s="9"/>
      <c r="F441" s="9"/>
      <c r="G441" s="9"/>
      <c r="H441" s="9"/>
      <c r="I441" s="9"/>
      <c r="J441" s="9"/>
      <c r="K441" s="16">
        <f>K444</f>
        <v>1</v>
      </c>
      <c r="L441" s="17">
        <f>L444</f>
        <v>0</v>
      </c>
      <c r="M441" s="17">
        <f>M444</f>
        <v>0</v>
      </c>
    </row>
    <row r="442" spans="1:13">
      <c r="A442" s="9"/>
      <c r="B442" s="9"/>
      <c r="C442" s="9"/>
      <c r="D442" s="18" t="s">
        <v>404</v>
      </c>
      <c r="E442" s="9"/>
      <c r="F442" s="9"/>
      <c r="G442" s="9"/>
      <c r="H442" s="9"/>
      <c r="I442" s="9"/>
      <c r="J442" s="9"/>
      <c r="K442" s="9"/>
      <c r="L442" s="9"/>
      <c r="M442" s="9"/>
    </row>
    <row r="443" spans="1:13">
      <c r="A443" s="9"/>
      <c r="B443" s="9"/>
      <c r="C443" s="10" t="s">
        <v>27</v>
      </c>
      <c r="D443" s="30"/>
      <c r="E443" s="10" t="s">
        <v>405</v>
      </c>
      <c r="F443" s="19">
        <v>1</v>
      </c>
      <c r="G443" s="20">
        <v>0</v>
      </c>
      <c r="H443" s="20">
        <v>0</v>
      </c>
      <c r="I443" s="20">
        <v>0</v>
      </c>
      <c r="J443" s="16">
        <f>OR(F443&lt;&gt;0,G443&lt;&gt;0,H443&lt;&gt;0,I443&lt;&gt;0)*(F443 + (F443 = 0))*(G443 + (G443 = 0))*(H443 + (H443 = 0))*(I443 + (I443 = 0))</f>
        <v>1</v>
      </c>
      <c r="K443" s="9"/>
      <c r="L443" s="9"/>
      <c r="M443" s="9"/>
    </row>
    <row r="444" spans="1:13">
      <c r="A444" s="9"/>
      <c r="B444" s="9"/>
      <c r="C444" s="9"/>
      <c r="D444" s="30"/>
      <c r="E444" s="9"/>
      <c r="F444" s="9"/>
      <c r="G444" s="9"/>
      <c r="H444" s="9"/>
      <c r="I444" s="9"/>
      <c r="J444" s="21" t="s">
        <v>406</v>
      </c>
      <c r="K444" s="22">
        <f>J443</f>
        <v>1</v>
      </c>
      <c r="L444" s="23">
        <v>0</v>
      </c>
      <c r="M444" s="24">
        <f>ROUND(K444*L444,2)</f>
        <v>0</v>
      </c>
    </row>
    <row r="445" spans="1:13" ht="0.95" customHeight="1">
      <c r="A445" s="25"/>
      <c r="B445" s="25"/>
      <c r="C445" s="25"/>
      <c r="D445" s="31"/>
      <c r="E445" s="25"/>
      <c r="F445" s="25"/>
      <c r="G445" s="25"/>
      <c r="H445" s="25"/>
      <c r="I445" s="25"/>
      <c r="J445" s="25"/>
      <c r="K445" s="25"/>
      <c r="L445" s="25"/>
      <c r="M445" s="25"/>
    </row>
    <row r="446" spans="1:13" ht="22.5">
      <c r="A446" s="15" t="s">
        <v>407</v>
      </c>
      <c r="B446" s="10" t="s">
        <v>23</v>
      </c>
      <c r="C446" s="10" t="s">
        <v>4</v>
      </c>
      <c r="D446" s="18" t="s">
        <v>408</v>
      </c>
      <c r="E446" s="9"/>
      <c r="F446" s="9"/>
      <c r="G446" s="9"/>
      <c r="H446" s="9"/>
      <c r="I446" s="9"/>
      <c r="J446" s="9"/>
      <c r="K446" s="16">
        <f>K449</f>
        <v>1</v>
      </c>
      <c r="L446" s="17">
        <f>L449</f>
        <v>0</v>
      </c>
      <c r="M446" s="17">
        <f>M449</f>
        <v>0</v>
      </c>
    </row>
    <row r="447" spans="1:13">
      <c r="A447" s="9"/>
      <c r="B447" s="9"/>
      <c r="C447" s="9"/>
      <c r="D447" s="18" t="s">
        <v>409</v>
      </c>
      <c r="E447" s="9"/>
      <c r="F447" s="9"/>
      <c r="G447" s="9"/>
      <c r="H447" s="9"/>
      <c r="I447" s="9"/>
      <c r="J447" s="9"/>
      <c r="K447" s="9"/>
      <c r="L447" s="9"/>
      <c r="M447" s="9"/>
    </row>
    <row r="448" spans="1:13">
      <c r="A448" s="9"/>
      <c r="B448" s="9"/>
      <c r="C448" s="10" t="s">
        <v>27</v>
      </c>
      <c r="D448" s="30"/>
      <c r="E448" s="10" t="s">
        <v>410</v>
      </c>
      <c r="F448" s="19">
        <v>1</v>
      </c>
      <c r="G448" s="20">
        <v>0</v>
      </c>
      <c r="H448" s="20">
        <v>0</v>
      </c>
      <c r="I448" s="20">
        <v>0</v>
      </c>
      <c r="J448" s="16">
        <f>OR(F448&lt;&gt;0,G448&lt;&gt;0,H448&lt;&gt;0,I448&lt;&gt;0)*(F448 + (F448 = 0))*(G448 + (G448 = 0))*(H448 + (H448 = 0))*(I448 + (I448 = 0))</f>
        <v>1</v>
      </c>
      <c r="K448" s="9"/>
      <c r="L448" s="9"/>
      <c r="M448" s="9"/>
    </row>
    <row r="449" spans="1:13">
      <c r="A449" s="9"/>
      <c r="B449" s="9"/>
      <c r="C449" s="9"/>
      <c r="D449" s="30"/>
      <c r="E449" s="9"/>
      <c r="F449" s="9"/>
      <c r="G449" s="9"/>
      <c r="H449" s="9"/>
      <c r="I449" s="9"/>
      <c r="J449" s="21" t="s">
        <v>411</v>
      </c>
      <c r="K449" s="22">
        <f>J448</f>
        <v>1</v>
      </c>
      <c r="L449" s="23">
        <v>0</v>
      </c>
      <c r="M449" s="24">
        <f>ROUND(K449*L449,2)</f>
        <v>0</v>
      </c>
    </row>
    <row r="450" spans="1:13" ht="0.95" customHeight="1">
      <c r="A450" s="25"/>
      <c r="B450" s="25"/>
      <c r="C450" s="25"/>
      <c r="D450" s="31"/>
      <c r="E450" s="25"/>
      <c r="F450" s="25"/>
      <c r="G450" s="25"/>
      <c r="H450" s="25"/>
      <c r="I450" s="25"/>
      <c r="J450" s="25"/>
      <c r="K450" s="25"/>
      <c r="L450" s="25"/>
      <c r="M450" s="25"/>
    </row>
    <row r="451" spans="1:13" ht="22.5">
      <c r="A451" s="15" t="s">
        <v>412</v>
      </c>
      <c r="B451" s="10" t="s">
        <v>23</v>
      </c>
      <c r="C451" s="10" t="s">
        <v>4</v>
      </c>
      <c r="D451" s="18" t="s">
        <v>413</v>
      </c>
      <c r="E451" s="9"/>
      <c r="F451" s="9"/>
      <c r="G451" s="9"/>
      <c r="H451" s="9"/>
      <c r="I451" s="9"/>
      <c r="J451" s="9"/>
      <c r="K451" s="16">
        <f>K454</f>
        <v>1</v>
      </c>
      <c r="L451" s="17">
        <f>L454</f>
        <v>0</v>
      </c>
      <c r="M451" s="17">
        <f>M454</f>
        <v>0</v>
      </c>
    </row>
    <row r="452" spans="1:13">
      <c r="A452" s="9"/>
      <c r="B452" s="9"/>
      <c r="C452" s="9"/>
      <c r="D452" s="18" t="s">
        <v>414</v>
      </c>
      <c r="E452" s="9"/>
      <c r="F452" s="9"/>
      <c r="G452" s="9"/>
      <c r="H452" s="9"/>
      <c r="I452" s="9"/>
      <c r="J452" s="9"/>
      <c r="K452" s="9"/>
      <c r="L452" s="9"/>
      <c r="M452" s="9"/>
    </row>
    <row r="453" spans="1:13">
      <c r="A453" s="9"/>
      <c r="B453" s="9"/>
      <c r="C453" s="10" t="s">
        <v>27</v>
      </c>
      <c r="D453" s="30"/>
      <c r="E453" s="10" t="s">
        <v>415</v>
      </c>
      <c r="F453" s="19">
        <v>1</v>
      </c>
      <c r="G453" s="20">
        <v>0</v>
      </c>
      <c r="H453" s="20">
        <v>0</v>
      </c>
      <c r="I453" s="20">
        <v>0</v>
      </c>
      <c r="J453" s="16">
        <f>OR(F453&lt;&gt;0,G453&lt;&gt;0,H453&lt;&gt;0,I453&lt;&gt;0)*(F453 + (F453 = 0))*(G453 + (G453 = 0))*(H453 + (H453 = 0))*(I453 + (I453 = 0))</f>
        <v>1</v>
      </c>
      <c r="K453" s="9"/>
      <c r="L453" s="9"/>
      <c r="M453" s="9"/>
    </row>
    <row r="454" spans="1:13">
      <c r="A454" s="9"/>
      <c r="B454" s="9"/>
      <c r="C454" s="9"/>
      <c r="D454" s="30"/>
      <c r="E454" s="9"/>
      <c r="F454" s="9"/>
      <c r="G454" s="9"/>
      <c r="H454" s="9"/>
      <c r="I454" s="9"/>
      <c r="J454" s="21" t="s">
        <v>416</v>
      </c>
      <c r="K454" s="22">
        <f>J453</f>
        <v>1</v>
      </c>
      <c r="L454" s="23">
        <v>0</v>
      </c>
      <c r="M454" s="24">
        <f>ROUND(K454*L454,2)</f>
        <v>0</v>
      </c>
    </row>
    <row r="455" spans="1:13" ht="0.95" customHeight="1">
      <c r="A455" s="25"/>
      <c r="B455" s="25"/>
      <c r="C455" s="25"/>
      <c r="D455" s="31"/>
      <c r="E455" s="25"/>
      <c r="F455" s="25"/>
      <c r="G455" s="25"/>
      <c r="H455" s="25"/>
      <c r="I455" s="25"/>
      <c r="J455" s="25"/>
      <c r="K455" s="25"/>
      <c r="L455" s="25"/>
      <c r="M455" s="25"/>
    </row>
    <row r="456" spans="1:13" ht="22.5">
      <c r="A456" s="15" t="s">
        <v>417</v>
      </c>
      <c r="B456" s="10" t="s">
        <v>23</v>
      </c>
      <c r="C456" s="10" t="s">
        <v>4</v>
      </c>
      <c r="D456" s="18" t="s">
        <v>418</v>
      </c>
      <c r="E456" s="9"/>
      <c r="F456" s="9"/>
      <c r="G456" s="9"/>
      <c r="H456" s="9"/>
      <c r="I456" s="9"/>
      <c r="J456" s="9"/>
      <c r="K456" s="16">
        <f>K459</f>
        <v>1</v>
      </c>
      <c r="L456" s="17">
        <f>L459</f>
        <v>0</v>
      </c>
      <c r="M456" s="17">
        <f>M459</f>
        <v>0</v>
      </c>
    </row>
    <row r="457" spans="1:13">
      <c r="A457" s="9"/>
      <c r="B457" s="9"/>
      <c r="C457" s="9"/>
      <c r="D457" s="18" t="s">
        <v>419</v>
      </c>
      <c r="E457" s="9"/>
      <c r="F457" s="9"/>
      <c r="G457" s="9"/>
      <c r="H457" s="9"/>
      <c r="I457" s="9"/>
      <c r="J457" s="9"/>
      <c r="K457" s="9"/>
      <c r="L457" s="9"/>
      <c r="M457" s="9"/>
    </row>
    <row r="458" spans="1:13">
      <c r="A458" s="9"/>
      <c r="B458" s="9"/>
      <c r="C458" s="10" t="s">
        <v>27</v>
      </c>
      <c r="D458" s="30"/>
      <c r="E458" s="10" t="s">
        <v>420</v>
      </c>
      <c r="F458" s="19">
        <v>1</v>
      </c>
      <c r="G458" s="20">
        <v>0</v>
      </c>
      <c r="H458" s="20">
        <v>0</v>
      </c>
      <c r="I458" s="20">
        <v>0</v>
      </c>
      <c r="J458" s="16">
        <f>OR(F458&lt;&gt;0,G458&lt;&gt;0,H458&lt;&gt;0,I458&lt;&gt;0)*(F458 + (F458 = 0))*(G458 + (G458 = 0))*(H458 + (H458 = 0))*(I458 + (I458 = 0))</f>
        <v>1</v>
      </c>
      <c r="K458" s="9"/>
      <c r="L458" s="9"/>
      <c r="M458" s="9"/>
    </row>
    <row r="459" spans="1:13">
      <c r="A459" s="9"/>
      <c r="B459" s="9"/>
      <c r="C459" s="9"/>
      <c r="D459" s="30"/>
      <c r="E459" s="9"/>
      <c r="F459" s="9"/>
      <c r="G459" s="9"/>
      <c r="H459" s="9"/>
      <c r="I459" s="9"/>
      <c r="J459" s="21" t="s">
        <v>421</v>
      </c>
      <c r="K459" s="22">
        <f>J458</f>
        <v>1</v>
      </c>
      <c r="L459" s="23">
        <v>0</v>
      </c>
      <c r="M459" s="24">
        <f>ROUND(K459*L459,2)</f>
        <v>0</v>
      </c>
    </row>
    <row r="460" spans="1:13" ht="0.95" customHeight="1">
      <c r="A460" s="25"/>
      <c r="B460" s="25"/>
      <c r="C460" s="25"/>
      <c r="D460" s="31"/>
      <c r="E460" s="25"/>
      <c r="F460" s="25"/>
      <c r="G460" s="25"/>
      <c r="H460" s="25"/>
      <c r="I460" s="25"/>
      <c r="J460" s="25"/>
      <c r="K460" s="25"/>
      <c r="L460" s="25"/>
      <c r="M460" s="25"/>
    </row>
    <row r="461" spans="1:13" ht="22.5">
      <c r="A461" s="15" t="s">
        <v>422</v>
      </c>
      <c r="B461" s="10" t="s">
        <v>23</v>
      </c>
      <c r="C461" s="10" t="s">
        <v>4</v>
      </c>
      <c r="D461" s="18" t="s">
        <v>423</v>
      </c>
      <c r="E461" s="9"/>
      <c r="F461" s="9"/>
      <c r="G461" s="9"/>
      <c r="H461" s="9"/>
      <c r="I461" s="9"/>
      <c r="J461" s="9"/>
      <c r="K461" s="16">
        <f>K464</f>
        <v>1</v>
      </c>
      <c r="L461" s="17">
        <f>L464</f>
        <v>0</v>
      </c>
      <c r="M461" s="17">
        <f>M464</f>
        <v>0</v>
      </c>
    </row>
    <row r="462" spans="1:13">
      <c r="A462" s="9"/>
      <c r="B462" s="9"/>
      <c r="C462" s="9"/>
      <c r="D462" s="18" t="s">
        <v>424</v>
      </c>
      <c r="E462" s="9"/>
      <c r="F462" s="9"/>
      <c r="G462" s="9"/>
      <c r="H462" s="9"/>
      <c r="I462" s="9"/>
      <c r="J462" s="9"/>
      <c r="K462" s="9"/>
      <c r="L462" s="9"/>
      <c r="M462" s="9"/>
    </row>
    <row r="463" spans="1:13">
      <c r="A463" s="9"/>
      <c r="B463" s="9"/>
      <c r="C463" s="10" t="s">
        <v>27</v>
      </c>
      <c r="D463" s="30"/>
      <c r="E463" s="10" t="s">
        <v>425</v>
      </c>
      <c r="F463" s="19">
        <v>1</v>
      </c>
      <c r="G463" s="20">
        <v>0</v>
      </c>
      <c r="H463" s="20">
        <v>0</v>
      </c>
      <c r="I463" s="20">
        <v>0</v>
      </c>
      <c r="J463" s="16">
        <f>OR(F463&lt;&gt;0,G463&lt;&gt;0,H463&lt;&gt;0,I463&lt;&gt;0)*(F463 + (F463 = 0))*(G463 + (G463 = 0))*(H463 + (H463 = 0))*(I463 + (I463 = 0))</f>
        <v>1</v>
      </c>
      <c r="K463" s="9"/>
      <c r="L463" s="9"/>
      <c r="M463" s="9"/>
    </row>
    <row r="464" spans="1:13">
      <c r="A464" s="9"/>
      <c r="B464" s="9"/>
      <c r="C464" s="9"/>
      <c r="D464" s="30"/>
      <c r="E464" s="9"/>
      <c r="F464" s="9"/>
      <c r="G464" s="9"/>
      <c r="H464" s="9"/>
      <c r="I464" s="9"/>
      <c r="J464" s="21" t="s">
        <v>426</v>
      </c>
      <c r="K464" s="22">
        <f>J463</f>
        <v>1</v>
      </c>
      <c r="L464" s="23">
        <v>0</v>
      </c>
      <c r="M464" s="24">
        <f>ROUND(K464*L464,2)</f>
        <v>0</v>
      </c>
    </row>
    <row r="465" spans="1:13" ht="0.95" customHeight="1">
      <c r="A465" s="25"/>
      <c r="B465" s="25"/>
      <c r="C465" s="25"/>
      <c r="D465" s="31"/>
      <c r="E465" s="25"/>
      <c r="F465" s="25"/>
      <c r="G465" s="25"/>
      <c r="H465" s="25"/>
      <c r="I465" s="25"/>
      <c r="J465" s="25"/>
      <c r="K465" s="25"/>
      <c r="L465" s="25"/>
      <c r="M465" s="25"/>
    </row>
    <row r="466" spans="1:13" ht="22.5">
      <c r="A466" s="15" t="s">
        <v>427</v>
      </c>
      <c r="B466" s="10" t="s">
        <v>23</v>
      </c>
      <c r="C466" s="10" t="s">
        <v>4</v>
      </c>
      <c r="D466" s="18" t="s">
        <v>428</v>
      </c>
      <c r="E466" s="9"/>
      <c r="F466" s="9"/>
      <c r="G466" s="9"/>
      <c r="H466" s="9"/>
      <c r="I466" s="9"/>
      <c r="J466" s="9"/>
      <c r="K466" s="16">
        <f>K469</f>
        <v>1</v>
      </c>
      <c r="L466" s="17">
        <f>L469</f>
        <v>0</v>
      </c>
      <c r="M466" s="17">
        <f>M469</f>
        <v>0</v>
      </c>
    </row>
    <row r="467" spans="1:13">
      <c r="A467" s="9"/>
      <c r="B467" s="9"/>
      <c r="C467" s="9"/>
      <c r="D467" s="18" t="s">
        <v>429</v>
      </c>
      <c r="E467" s="9"/>
      <c r="F467" s="9"/>
      <c r="G467" s="9"/>
      <c r="H467" s="9"/>
      <c r="I467" s="9"/>
      <c r="J467" s="9"/>
      <c r="K467" s="9"/>
      <c r="L467" s="9"/>
      <c r="M467" s="9"/>
    </row>
    <row r="468" spans="1:13">
      <c r="A468" s="9"/>
      <c r="B468" s="9"/>
      <c r="C468" s="10" t="s">
        <v>27</v>
      </c>
      <c r="D468" s="30"/>
      <c r="E468" s="10" t="s">
        <v>430</v>
      </c>
      <c r="F468" s="19">
        <v>1</v>
      </c>
      <c r="G468" s="20">
        <v>0</v>
      </c>
      <c r="H468" s="20">
        <v>0</v>
      </c>
      <c r="I468" s="20">
        <v>0</v>
      </c>
      <c r="J468" s="16">
        <f>OR(F468&lt;&gt;0,G468&lt;&gt;0,H468&lt;&gt;0,I468&lt;&gt;0)*(F468 + (F468 = 0))*(G468 + (G468 = 0))*(H468 + (H468 = 0))*(I468 + (I468 = 0))</f>
        <v>1</v>
      </c>
      <c r="K468" s="9"/>
      <c r="L468" s="9"/>
      <c r="M468" s="9"/>
    </row>
    <row r="469" spans="1:13">
      <c r="A469" s="9"/>
      <c r="B469" s="9"/>
      <c r="C469" s="9"/>
      <c r="D469" s="30"/>
      <c r="E469" s="9"/>
      <c r="F469" s="9"/>
      <c r="G469" s="9"/>
      <c r="H469" s="9"/>
      <c r="I469" s="9"/>
      <c r="J469" s="21" t="s">
        <v>431</v>
      </c>
      <c r="K469" s="22">
        <f>J468</f>
        <v>1</v>
      </c>
      <c r="L469" s="23">
        <v>0</v>
      </c>
      <c r="M469" s="24">
        <f>ROUND(K469*L469,2)</f>
        <v>0</v>
      </c>
    </row>
    <row r="470" spans="1:13" ht="0.95" customHeight="1">
      <c r="A470" s="25"/>
      <c r="B470" s="25"/>
      <c r="C470" s="25"/>
      <c r="D470" s="31"/>
      <c r="E470" s="25"/>
      <c r="F470" s="25"/>
      <c r="G470" s="25"/>
      <c r="H470" s="25"/>
      <c r="I470" s="25"/>
      <c r="J470" s="25"/>
      <c r="K470" s="25"/>
      <c r="L470" s="25"/>
      <c r="M470" s="25"/>
    </row>
    <row r="471" spans="1:13" ht="22.5">
      <c r="A471" s="15" t="s">
        <v>432</v>
      </c>
      <c r="B471" s="10" t="s">
        <v>23</v>
      </c>
      <c r="C471" s="10" t="s">
        <v>4</v>
      </c>
      <c r="D471" s="18" t="s">
        <v>433</v>
      </c>
      <c r="E471" s="9"/>
      <c r="F471" s="9"/>
      <c r="G471" s="9"/>
      <c r="H471" s="9"/>
      <c r="I471" s="9"/>
      <c r="J471" s="9"/>
      <c r="K471" s="16">
        <f>K474</f>
        <v>1</v>
      </c>
      <c r="L471" s="17">
        <f>L474</f>
        <v>0</v>
      </c>
      <c r="M471" s="17">
        <f>M474</f>
        <v>0</v>
      </c>
    </row>
    <row r="472" spans="1:13">
      <c r="A472" s="9"/>
      <c r="B472" s="9"/>
      <c r="C472" s="9"/>
      <c r="D472" s="18" t="s">
        <v>434</v>
      </c>
      <c r="E472" s="9"/>
      <c r="F472" s="9"/>
      <c r="G472" s="9"/>
      <c r="H472" s="9"/>
      <c r="I472" s="9"/>
      <c r="J472" s="9"/>
      <c r="K472" s="9"/>
      <c r="L472" s="9"/>
      <c r="M472" s="9"/>
    </row>
    <row r="473" spans="1:13">
      <c r="A473" s="9"/>
      <c r="B473" s="9"/>
      <c r="C473" s="10" t="s">
        <v>27</v>
      </c>
      <c r="D473" s="30"/>
      <c r="E473" s="10" t="s">
        <v>435</v>
      </c>
      <c r="F473" s="19">
        <v>1</v>
      </c>
      <c r="G473" s="20">
        <v>0</v>
      </c>
      <c r="H473" s="20">
        <v>0</v>
      </c>
      <c r="I473" s="20">
        <v>0</v>
      </c>
      <c r="J473" s="16">
        <f>OR(F473&lt;&gt;0,G473&lt;&gt;0,H473&lt;&gt;0,I473&lt;&gt;0)*(F473 + (F473 = 0))*(G473 + (G473 = 0))*(H473 + (H473 = 0))*(I473 + (I473 = 0))</f>
        <v>1</v>
      </c>
      <c r="K473" s="9"/>
      <c r="L473" s="9"/>
      <c r="M473" s="9"/>
    </row>
    <row r="474" spans="1:13">
      <c r="A474" s="9"/>
      <c r="B474" s="9"/>
      <c r="C474" s="9"/>
      <c r="D474" s="30"/>
      <c r="E474" s="9"/>
      <c r="F474" s="9"/>
      <c r="G474" s="9"/>
      <c r="H474" s="9"/>
      <c r="I474" s="9"/>
      <c r="J474" s="21" t="s">
        <v>436</v>
      </c>
      <c r="K474" s="22">
        <f>J473</f>
        <v>1</v>
      </c>
      <c r="L474" s="23">
        <v>0</v>
      </c>
      <c r="M474" s="24">
        <f>ROUND(K474*L474,2)</f>
        <v>0</v>
      </c>
    </row>
    <row r="475" spans="1:13" ht="0.95" customHeight="1">
      <c r="A475" s="25"/>
      <c r="B475" s="25"/>
      <c r="C475" s="25"/>
      <c r="D475" s="31"/>
      <c r="E475" s="25"/>
      <c r="F475" s="25"/>
      <c r="G475" s="25"/>
      <c r="H475" s="25"/>
      <c r="I475" s="25"/>
      <c r="J475" s="25"/>
      <c r="K475" s="25"/>
      <c r="L475" s="25"/>
      <c r="M475" s="25"/>
    </row>
    <row r="476" spans="1:13" ht="22.5">
      <c r="A476" s="15" t="s">
        <v>437</v>
      </c>
      <c r="B476" s="10" t="s">
        <v>23</v>
      </c>
      <c r="C476" s="10" t="s">
        <v>4</v>
      </c>
      <c r="D476" s="18" t="s">
        <v>438</v>
      </c>
      <c r="E476" s="9"/>
      <c r="F476" s="9"/>
      <c r="G476" s="9"/>
      <c r="H476" s="9"/>
      <c r="I476" s="9"/>
      <c r="J476" s="9"/>
      <c r="K476" s="16">
        <f>K479</f>
        <v>1</v>
      </c>
      <c r="L476" s="17">
        <f>L479</f>
        <v>0</v>
      </c>
      <c r="M476" s="17">
        <f>M479</f>
        <v>0</v>
      </c>
    </row>
    <row r="477" spans="1:13">
      <c r="A477" s="9"/>
      <c r="B477" s="9"/>
      <c r="C477" s="9"/>
      <c r="D477" s="18" t="s">
        <v>439</v>
      </c>
      <c r="E477" s="9"/>
      <c r="F477" s="9"/>
      <c r="G477" s="9"/>
      <c r="H477" s="9"/>
      <c r="I477" s="9"/>
      <c r="J477" s="9"/>
      <c r="K477" s="9"/>
      <c r="L477" s="9"/>
      <c r="M477" s="9"/>
    </row>
    <row r="478" spans="1:13">
      <c r="A478" s="9"/>
      <c r="B478" s="9"/>
      <c r="C478" s="10" t="s">
        <v>27</v>
      </c>
      <c r="D478" s="30"/>
      <c r="E478" s="10" t="s">
        <v>440</v>
      </c>
      <c r="F478" s="19">
        <v>1</v>
      </c>
      <c r="G478" s="20">
        <v>0</v>
      </c>
      <c r="H478" s="20">
        <v>0</v>
      </c>
      <c r="I478" s="20">
        <v>0</v>
      </c>
      <c r="J478" s="16">
        <f>OR(F478&lt;&gt;0,G478&lt;&gt;0,H478&lt;&gt;0,I478&lt;&gt;0)*(F478 + (F478 = 0))*(G478 + (G478 = 0))*(H478 + (H478 = 0))*(I478 + (I478 = 0))</f>
        <v>1</v>
      </c>
      <c r="K478" s="9"/>
      <c r="L478" s="9"/>
      <c r="M478" s="9"/>
    </row>
    <row r="479" spans="1:13">
      <c r="A479" s="9"/>
      <c r="B479" s="9"/>
      <c r="C479" s="9"/>
      <c r="D479" s="30"/>
      <c r="E479" s="9"/>
      <c r="F479" s="9"/>
      <c r="G479" s="9"/>
      <c r="H479" s="9"/>
      <c r="I479" s="9"/>
      <c r="J479" s="21" t="s">
        <v>441</v>
      </c>
      <c r="K479" s="22">
        <f>J478</f>
        <v>1</v>
      </c>
      <c r="L479" s="23">
        <v>0</v>
      </c>
      <c r="M479" s="24">
        <f>ROUND(K479*L479,2)</f>
        <v>0</v>
      </c>
    </row>
    <row r="480" spans="1:13" ht="0.95" customHeight="1">
      <c r="A480" s="25"/>
      <c r="B480" s="25"/>
      <c r="C480" s="25"/>
      <c r="D480" s="31"/>
      <c r="E480" s="25"/>
      <c r="F480" s="25"/>
      <c r="G480" s="25"/>
      <c r="H480" s="25"/>
      <c r="I480" s="25"/>
      <c r="J480" s="25"/>
      <c r="K480" s="25"/>
      <c r="L480" s="25"/>
      <c r="M480" s="25"/>
    </row>
    <row r="481" spans="1:13">
      <c r="A481" s="9"/>
      <c r="B481" s="9"/>
      <c r="C481" s="9"/>
      <c r="D481" s="30"/>
      <c r="E481" s="9"/>
      <c r="F481" s="9"/>
      <c r="G481" s="9"/>
      <c r="H481" s="9"/>
      <c r="I481" s="9"/>
      <c r="J481" s="21" t="s">
        <v>442</v>
      </c>
      <c r="K481" s="20">
        <v>1</v>
      </c>
      <c r="L481" s="24">
        <f>M318+M324+M330+M335+M340+M345+M350+M355+M360+M365+M370+M375+M381+M386+M391+M396+M401+M406+M411+M416+M421+M426+M431+M436+M441+M446+M451+M456+M461+M466+M471+M476</f>
        <v>0</v>
      </c>
      <c r="M481" s="24">
        <f>ROUND(K481*L481,2)</f>
        <v>0</v>
      </c>
    </row>
    <row r="482" spans="1:13" ht="0.95" customHeight="1">
      <c r="A482" s="25"/>
      <c r="B482" s="25"/>
      <c r="C482" s="25"/>
      <c r="D482" s="31"/>
      <c r="E482" s="25"/>
      <c r="F482" s="25"/>
      <c r="G482" s="25"/>
      <c r="H482" s="25"/>
      <c r="I482" s="25"/>
      <c r="J482" s="25"/>
      <c r="K482" s="25"/>
      <c r="L482" s="25"/>
      <c r="M482" s="25"/>
    </row>
    <row r="483" spans="1:13">
      <c r="A483" s="11" t="s">
        <v>443</v>
      </c>
      <c r="B483" s="11" t="s">
        <v>16</v>
      </c>
      <c r="C483" s="11" t="s">
        <v>17</v>
      </c>
      <c r="D483" s="29" t="s">
        <v>444</v>
      </c>
      <c r="E483" s="12"/>
      <c r="F483" s="12"/>
      <c r="G483" s="12"/>
      <c r="H483" s="12"/>
      <c r="I483" s="12"/>
      <c r="J483" s="12"/>
      <c r="K483" s="13">
        <f>K489</f>
        <v>1</v>
      </c>
      <c r="L483" s="14">
        <f>L489</f>
        <v>0</v>
      </c>
      <c r="M483" s="14">
        <f>M489</f>
        <v>0</v>
      </c>
    </row>
    <row r="484" spans="1:13" ht="22.5">
      <c r="A484" s="15" t="s">
        <v>445</v>
      </c>
      <c r="B484" s="10" t="s">
        <v>23</v>
      </c>
      <c r="C484" s="10" t="s">
        <v>4</v>
      </c>
      <c r="D484" s="18" t="s">
        <v>446</v>
      </c>
      <c r="E484" s="9"/>
      <c r="F484" s="9"/>
      <c r="G484" s="9"/>
      <c r="H484" s="9"/>
      <c r="I484" s="9"/>
      <c r="J484" s="9"/>
      <c r="K484" s="16">
        <f>K487</f>
        <v>1</v>
      </c>
      <c r="L484" s="17">
        <f>L487</f>
        <v>0</v>
      </c>
      <c r="M484" s="17">
        <f>M487</f>
        <v>0</v>
      </c>
    </row>
    <row r="485" spans="1:13">
      <c r="A485" s="9"/>
      <c r="B485" s="9"/>
      <c r="C485" s="9"/>
      <c r="D485" s="18" t="s">
        <v>447</v>
      </c>
      <c r="E485" s="9"/>
      <c r="F485" s="9"/>
      <c r="G485" s="9"/>
      <c r="H485" s="9"/>
      <c r="I485" s="9"/>
      <c r="J485" s="9"/>
      <c r="K485" s="9"/>
      <c r="L485" s="9"/>
      <c r="M485" s="9"/>
    </row>
    <row r="486" spans="1:13">
      <c r="A486" s="9"/>
      <c r="B486" s="9"/>
      <c r="C486" s="10" t="s">
        <v>27</v>
      </c>
      <c r="D486" s="30"/>
      <c r="E486" s="10" t="s">
        <v>448</v>
      </c>
      <c r="F486" s="19">
        <v>1</v>
      </c>
      <c r="G486" s="20">
        <v>0</v>
      </c>
      <c r="H486" s="20">
        <v>0</v>
      </c>
      <c r="I486" s="20">
        <v>0</v>
      </c>
      <c r="J486" s="16">
        <f>OR(F486&lt;&gt;0,G486&lt;&gt;0,H486&lt;&gt;0,I486&lt;&gt;0)*(F486 + (F486 = 0))*(G486 + (G486 = 0))*(H486 + (H486 = 0))*(I486 + (I486 = 0))</f>
        <v>1</v>
      </c>
      <c r="K486" s="9"/>
      <c r="L486" s="9"/>
      <c r="M486" s="9"/>
    </row>
    <row r="487" spans="1:13">
      <c r="A487" s="9"/>
      <c r="B487" s="9"/>
      <c r="C487" s="9"/>
      <c r="D487" s="30"/>
      <c r="E487" s="9"/>
      <c r="F487" s="9"/>
      <c r="G487" s="9"/>
      <c r="H487" s="9"/>
      <c r="I487" s="9"/>
      <c r="J487" s="21" t="s">
        <v>449</v>
      </c>
      <c r="K487" s="22">
        <f>J486</f>
        <v>1</v>
      </c>
      <c r="L487" s="23">
        <v>0</v>
      </c>
      <c r="M487" s="24">
        <f>ROUND(K487*L487,2)</f>
        <v>0</v>
      </c>
    </row>
    <row r="488" spans="1:13" ht="0.95" customHeight="1">
      <c r="A488" s="25"/>
      <c r="B488" s="25"/>
      <c r="C488" s="25"/>
      <c r="D488" s="31"/>
      <c r="E488" s="25"/>
      <c r="F488" s="25"/>
      <c r="G488" s="25"/>
      <c r="H488" s="25"/>
      <c r="I488" s="25"/>
      <c r="J488" s="25"/>
      <c r="K488" s="25"/>
      <c r="L488" s="25"/>
      <c r="M488" s="25"/>
    </row>
    <row r="489" spans="1:13">
      <c r="A489" s="9"/>
      <c r="B489" s="9"/>
      <c r="C489" s="9"/>
      <c r="D489" s="30"/>
      <c r="E489" s="9"/>
      <c r="F489" s="9"/>
      <c r="G489" s="9"/>
      <c r="H489" s="9"/>
      <c r="I489" s="9"/>
      <c r="J489" s="21" t="s">
        <v>450</v>
      </c>
      <c r="K489" s="20">
        <v>1</v>
      </c>
      <c r="L489" s="24">
        <f>M484</f>
        <v>0</v>
      </c>
      <c r="M489" s="24">
        <f>ROUND(K489*L489,2)</f>
        <v>0</v>
      </c>
    </row>
    <row r="490" spans="1:13" ht="0.95" customHeight="1">
      <c r="A490" s="25"/>
      <c r="B490" s="25"/>
      <c r="C490" s="25"/>
      <c r="D490" s="31"/>
      <c r="E490" s="25"/>
      <c r="F490" s="25"/>
      <c r="G490" s="25"/>
      <c r="H490" s="25"/>
      <c r="I490" s="25"/>
      <c r="J490" s="25"/>
      <c r="K490" s="25"/>
      <c r="L490" s="25"/>
      <c r="M490" s="25"/>
    </row>
    <row r="491" spans="1:13">
      <c r="A491" s="11" t="s">
        <v>451</v>
      </c>
      <c r="B491" s="11" t="s">
        <v>16</v>
      </c>
      <c r="C491" s="11" t="s">
        <v>17</v>
      </c>
      <c r="D491" s="29" t="s">
        <v>452</v>
      </c>
      <c r="E491" s="12"/>
      <c r="F491" s="12"/>
      <c r="G491" s="12"/>
      <c r="H491" s="12"/>
      <c r="I491" s="12"/>
      <c r="J491" s="12"/>
      <c r="K491" s="13">
        <f>K547</f>
        <v>1</v>
      </c>
      <c r="L491" s="14">
        <f>L547</f>
        <v>0</v>
      </c>
      <c r="M491" s="14">
        <f>M547</f>
        <v>0</v>
      </c>
    </row>
    <row r="492" spans="1:13">
      <c r="A492" s="15" t="s">
        <v>453</v>
      </c>
      <c r="B492" s="10" t="s">
        <v>23</v>
      </c>
      <c r="C492" s="10" t="s">
        <v>4</v>
      </c>
      <c r="D492" s="18" t="s">
        <v>454</v>
      </c>
      <c r="E492" s="9"/>
      <c r="F492" s="9"/>
      <c r="G492" s="9"/>
      <c r="H492" s="9"/>
      <c r="I492" s="9"/>
      <c r="J492" s="9"/>
      <c r="K492" s="16">
        <f>K495</f>
        <v>1</v>
      </c>
      <c r="L492" s="17">
        <f>L495</f>
        <v>0</v>
      </c>
      <c r="M492" s="17">
        <f>M495</f>
        <v>0</v>
      </c>
    </row>
    <row r="493" spans="1:13">
      <c r="A493" s="9"/>
      <c r="B493" s="9"/>
      <c r="C493" s="9"/>
      <c r="D493" s="18" t="s">
        <v>455</v>
      </c>
      <c r="E493" s="9"/>
      <c r="F493" s="9"/>
      <c r="G493" s="9"/>
      <c r="H493" s="9"/>
      <c r="I493" s="9"/>
      <c r="J493" s="9"/>
      <c r="K493" s="9"/>
      <c r="L493" s="9"/>
      <c r="M493" s="9"/>
    </row>
    <row r="494" spans="1:13">
      <c r="A494" s="9"/>
      <c r="B494" s="9"/>
      <c r="C494" s="10" t="s">
        <v>27</v>
      </c>
      <c r="D494" s="30"/>
      <c r="E494" s="10" t="s">
        <v>456</v>
      </c>
      <c r="F494" s="19">
        <v>1</v>
      </c>
      <c r="G494" s="20">
        <v>0</v>
      </c>
      <c r="H494" s="20">
        <v>0</v>
      </c>
      <c r="I494" s="20">
        <v>0</v>
      </c>
      <c r="J494" s="16">
        <f>OR(F494&lt;&gt;0,G494&lt;&gt;0,H494&lt;&gt;0,I494&lt;&gt;0)*(F494 + (F494 = 0))*(G494 + (G494 = 0))*(H494 + (H494 = 0))*(I494 + (I494 = 0))</f>
        <v>1</v>
      </c>
      <c r="K494" s="9"/>
      <c r="L494" s="9"/>
      <c r="M494" s="9"/>
    </row>
    <row r="495" spans="1:13">
      <c r="A495" s="9"/>
      <c r="B495" s="9"/>
      <c r="C495" s="9"/>
      <c r="D495" s="30"/>
      <c r="E495" s="9"/>
      <c r="F495" s="9"/>
      <c r="G495" s="9"/>
      <c r="H495" s="9"/>
      <c r="I495" s="9"/>
      <c r="J495" s="21" t="s">
        <v>457</v>
      </c>
      <c r="K495" s="22">
        <f>J494</f>
        <v>1</v>
      </c>
      <c r="L495" s="23">
        <v>0</v>
      </c>
      <c r="M495" s="24">
        <f>ROUND(K495*L495,2)</f>
        <v>0</v>
      </c>
    </row>
    <row r="496" spans="1:13" ht="0.95" customHeight="1">
      <c r="A496" s="25"/>
      <c r="B496" s="25"/>
      <c r="C496" s="25"/>
      <c r="D496" s="31"/>
      <c r="E496" s="25"/>
      <c r="F496" s="25"/>
      <c r="G496" s="25"/>
      <c r="H496" s="25"/>
      <c r="I496" s="25"/>
      <c r="J496" s="25"/>
      <c r="K496" s="25"/>
      <c r="L496" s="25"/>
      <c r="M496" s="25"/>
    </row>
    <row r="497" spans="1:13">
      <c r="A497" s="15" t="s">
        <v>458</v>
      </c>
      <c r="B497" s="10" t="s">
        <v>23</v>
      </c>
      <c r="C497" s="10" t="s">
        <v>4</v>
      </c>
      <c r="D497" s="18" t="s">
        <v>459</v>
      </c>
      <c r="E497" s="9"/>
      <c r="F497" s="9"/>
      <c r="G497" s="9"/>
      <c r="H497" s="9"/>
      <c r="I497" s="9"/>
      <c r="J497" s="9"/>
      <c r="K497" s="16">
        <f>K500</f>
        <v>1</v>
      </c>
      <c r="L497" s="17">
        <f>L500</f>
        <v>0</v>
      </c>
      <c r="M497" s="17">
        <f>M500</f>
        <v>0</v>
      </c>
    </row>
    <row r="498" spans="1:13">
      <c r="A498" s="9"/>
      <c r="B498" s="9"/>
      <c r="C498" s="9"/>
      <c r="D498" s="18" t="s">
        <v>460</v>
      </c>
      <c r="E498" s="9"/>
      <c r="F498" s="9"/>
      <c r="G498" s="9"/>
      <c r="H498" s="9"/>
      <c r="I498" s="9"/>
      <c r="J498" s="9"/>
      <c r="K498" s="9"/>
      <c r="L498" s="9"/>
      <c r="M498" s="9"/>
    </row>
    <row r="499" spans="1:13">
      <c r="A499" s="9"/>
      <c r="B499" s="9"/>
      <c r="C499" s="10" t="s">
        <v>27</v>
      </c>
      <c r="D499" s="30"/>
      <c r="E499" s="10" t="s">
        <v>461</v>
      </c>
      <c r="F499" s="19">
        <v>1</v>
      </c>
      <c r="G499" s="20">
        <v>0</v>
      </c>
      <c r="H499" s="20">
        <v>0</v>
      </c>
      <c r="I499" s="20">
        <v>0</v>
      </c>
      <c r="J499" s="16">
        <f>OR(F499&lt;&gt;0,G499&lt;&gt;0,H499&lt;&gt;0,I499&lt;&gt;0)*(F499 + (F499 = 0))*(G499 + (G499 = 0))*(H499 + (H499 = 0))*(I499 + (I499 = 0))</f>
        <v>1</v>
      </c>
      <c r="K499" s="9"/>
      <c r="L499" s="9"/>
      <c r="M499" s="9"/>
    </row>
    <row r="500" spans="1:13">
      <c r="A500" s="9"/>
      <c r="B500" s="9"/>
      <c r="C500" s="9"/>
      <c r="D500" s="30"/>
      <c r="E500" s="9"/>
      <c r="F500" s="9"/>
      <c r="G500" s="9"/>
      <c r="H500" s="9"/>
      <c r="I500" s="9"/>
      <c r="J500" s="21" t="s">
        <v>462</v>
      </c>
      <c r="K500" s="22">
        <f>J499</f>
        <v>1</v>
      </c>
      <c r="L500" s="23">
        <v>0</v>
      </c>
      <c r="M500" s="24">
        <f>ROUND(K500*L500,2)</f>
        <v>0</v>
      </c>
    </row>
    <row r="501" spans="1:13" ht="0.95" customHeight="1">
      <c r="A501" s="25"/>
      <c r="B501" s="25"/>
      <c r="C501" s="25"/>
      <c r="D501" s="31"/>
      <c r="E501" s="25"/>
      <c r="F501" s="25"/>
      <c r="G501" s="25"/>
      <c r="H501" s="25"/>
      <c r="I501" s="25"/>
      <c r="J501" s="25"/>
      <c r="K501" s="25"/>
      <c r="L501" s="25"/>
      <c r="M501" s="25"/>
    </row>
    <row r="502" spans="1:13">
      <c r="A502" s="15" t="s">
        <v>463</v>
      </c>
      <c r="B502" s="10" t="s">
        <v>23</v>
      </c>
      <c r="C502" s="10" t="s">
        <v>4</v>
      </c>
      <c r="D502" s="18" t="s">
        <v>464</v>
      </c>
      <c r="E502" s="9"/>
      <c r="F502" s="9"/>
      <c r="G502" s="9"/>
      <c r="H502" s="9"/>
      <c r="I502" s="9"/>
      <c r="J502" s="9"/>
      <c r="K502" s="16">
        <f>K505</f>
        <v>1</v>
      </c>
      <c r="L502" s="17">
        <f>L505</f>
        <v>0</v>
      </c>
      <c r="M502" s="17">
        <f>M505</f>
        <v>0</v>
      </c>
    </row>
    <row r="503" spans="1:13">
      <c r="A503" s="9"/>
      <c r="B503" s="9"/>
      <c r="C503" s="9"/>
      <c r="D503" s="18" t="s">
        <v>465</v>
      </c>
      <c r="E503" s="9"/>
      <c r="F503" s="9"/>
      <c r="G503" s="9"/>
      <c r="H503" s="9"/>
      <c r="I503" s="9"/>
      <c r="J503" s="9"/>
      <c r="K503" s="9"/>
      <c r="L503" s="9"/>
      <c r="M503" s="9"/>
    </row>
    <row r="504" spans="1:13">
      <c r="A504" s="9"/>
      <c r="B504" s="9"/>
      <c r="C504" s="10" t="s">
        <v>27</v>
      </c>
      <c r="D504" s="30"/>
      <c r="E504" s="10" t="s">
        <v>466</v>
      </c>
      <c r="F504" s="19">
        <v>1</v>
      </c>
      <c r="G504" s="20">
        <v>0</v>
      </c>
      <c r="H504" s="20">
        <v>0</v>
      </c>
      <c r="I504" s="20">
        <v>0</v>
      </c>
      <c r="J504" s="16">
        <f>OR(F504&lt;&gt;0,G504&lt;&gt;0,H504&lt;&gt;0,I504&lt;&gt;0)*(F504 + (F504 = 0))*(G504 + (G504 = 0))*(H504 + (H504 = 0))*(I504 + (I504 = 0))</f>
        <v>1</v>
      </c>
      <c r="K504" s="9"/>
      <c r="L504" s="9"/>
      <c r="M504" s="9"/>
    </row>
    <row r="505" spans="1:13">
      <c r="A505" s="9"/>
      <c r="B505" s="9"/>
      <c r="C505" s="9"/>
      <c r="D505" s="30"/>
      <c r="E505" s="9"/>
      <c r="F505" s="9"/>
      <c r="G505" s="9"/>
      <c r="H505" s="9"/>
      <c r="I505" s="9"/>
      <c r="J505" s="21" t="s">
        <v>467</v>
      </c>
      <c r="K505" s="22">
        <f>J504</f>
        <v>1</v>
      </c>
      <c r="L505" s="23">
        <v>0</v>
      </c>
      <c r="M505" s="24">
        <f>ROUND(K505*L505,2)</f>
        <v>0</v>
      </c>
    </row>
    <row r="506" spans="1:13" ht="0.95" customHeight="1">
      <c r="A506" s="25"/>
      <c r="B506" s="25"/>
      <c r="C506" s="25"/>
      <c r="D506" s="31"/>
      <c r="E506" s="25"/>
      <c r="F506" s="25"/>
      <c r="G506" s="25"/>
      <c r="H506" s="25"/>
      <c r="I506" s="25"/>
      <c r="J506" s="25"/>
      <c r="K506" s="25"/>
      <c r="L506" s="25"/>
      <c r="M506" s="25"/>
    </row>
    <row r="507" spans="1:13">
      <c r="A507" s="15" t="s">
        <v>468</v>
      </c>
      <c r="B507" s="10" t="s">
        <v>23</v>
      </c>
      <c r="C507" s="10" t="s">
        <v>4</v>
      </c>
      <c r="D507" s="18" t="s">
        <v>469</v>
      </c>
      <c r="E507" s="9"/>
      <c r="F507" s="9"/>
      <c r="G507" s="9"/>
      <c r="H507" s="9"/>
      <c r="I507" s="9"/>
      <c r="J507" s="9"/>
      <c r="K507" s="16">
        <f>K510</f>
        <v>1</v>
      </c>
      <c r="L507" s="17">
        <f>L510</f>
        <v>0</v>
      </c>
      <c r="M507" s="17">
        <f>M510</f>
        <v>0</v>
      </c>
    </row>
    <row r="508" spans="1:13">
      <c r="A508" s="9"/>
      <c r="B508" s="9"/>
      <c r="C508" s="9"/>
      <c r="D508" s="18" t="s">
        <v>470</v>
      </c>
      <c r="E508" s="9"/>
      <c r="F508" s="9"/>
      <c r="G508" s="9"/>
      <c r="H508" s="9"/>
      <c r="I508" s="9"/>
      <c r="J508" s="9"/>
      <c r="K508" s="9"/>
      <c r="L508" s="9"/>
      <c r="M508" s="9"/>
    </row>
    <row r="509" spans="1:13">
      <c r="A509" s="9"/>
      <c r="B509" s="9"/>
      <c r="C509" s="10" t="s">
        <v>27</v>
      </c>
      <c r="D509" s="30"/>
      <c r="E509" s="10" t="s">
        <v>471</v>
      </c>
      <c r="F509" s="19">
        <v>1</v>
      </c>
      <c r="G509" s="20">
        <v>0</v>
      </c>
      <c r="H509" s="20">
        <v>0</v>
      </c>
      <c r="I509" s="20">
        <v>0</v>
      </c>
      <c r="J509" s="16">
        <f>OR(F509&lt;&gt;0,G509&lt;&gt;0,H509&lt;&gt;0,I509&lt;&gt;0)*(F509 + (F509 = 0))*(G509 + (G509 = 0))*(H509 + (H509 = 0))*(I509 + (I509 = 0))</f>
        <v>1</v>
      </c>
      <c r="K509" s="9"/>
      <c r="L509" s="9"/>
      <c r="M509" s="9"/>
    </row>
    <row r="510" spans="1:13">
      <c r="A510" s="9"/>
      <c r="B510" s="9"/>
      <c r="C510" s="9"/>
      <c r="D510" s="30"/>
      <c r="E510" s="9"/>
      <c r="F510" s="9"/>
      <c r="G510" s="9"/>
      <c r="H510" s="9"/>
      <c r="I510" s="9"/>
      <c r="J510" s="21" t="s">
        <v>472</v>
      </c>
      <c r="K510" s="22">
        <f>J509</f>
        <v>1</v>
      </c>
      <c r="L510" s="23">
        <v>0</v>
      </c>
      <c r="M510" s="24">
        <f>ROUND(K510*L510,2)</f>
        <v>0</v>
      </c>
    </row>
    <row r="511" spans="1:13" ht="0.95" customHeight="1">
      <c r="A511" s="25"/>
      <c r="B511" s="25"/>
      <c r="C511" s="25"/>
      <c r="D511" s="31"/>
      <c r="E511" s="25"/>
      <c r="F511" s="25"/>
      <c r="G511" s="25"/>
      <c r="H511" s="25"/>
      <c r="I511" s="25"/>
      <c r="J511" s="25"/>
      <c r="K511" s="25"/>
      <c r="L511" s="25"/>
      <c r="M511" s="25"/>
    </row>
    <row r="512" spans="1:13">
      <c r="A512" s="15" t="s">
        <v>473</v>
      </c>
      <c r="B512" s="10" t="s">
        <v>23</v>
      </c>
      <c r="C512" s="10" t="s">
        <v>4</v>
      </c>
      <c r="D512" s="18" t="s">
        <v>474</v>
      </c>
      <c r="E512" s="9"/>
      <c r="F512" s="9"/>
      <c r="G512" s="9"/>
      <c r="H512" s="9"/>
      <c r="I512" s="9"/>
      <c r="J512" s="9"/>
      <c r="K512" s="16">
        <f>K515</f>
        <v>2</v>
      </c>
      <c r="L512" s="17">
        <f>L515</f>
        <v>0</v>
      </c>
      <c r="M512" s="17">
        <f>M515</f>
        <v>0</v>
      </c>
    </row>
    <row r="513" spans="1:13">
      <c r="A513" s="9"/>
      <c r="B513" s="9"/>
      <c r="C513" s="9"/>
      <c r="D513" s="18" t="s">
        <v>475</v>
      </c>
      <c r="E513" s="9"/>
      <c r="F513" s="9"/>
      <c r="G513" s="9"/>
      <c r="H513" s="9"/>
      <c r="I513" s="9"/>
      <c r="J513" s="9"/>
      <c r="K513" s="9"/>
      <c r="L513" s="9"/>
      <c r="M513" s="9"/>
    </row>
    <row r="514" spans="1:13">
      <c r="A514" s="9"/>
      <c r="B514" s="9"/>
      <c r="C514" s="10" t="s">
        <v>27</v>
      </c>
      <c r="D514" s="30"/>
      <c r="E514" s="10" t="s">
        <v>476</v>
      </c>
      <c r="F514" s="19">
        <v>2</v>
      </c>
      <c r="G514" s="20">
        <v>0</v>
      </c>
      <c r="H514" s="20">
        <v>0</v>
      </c>
      <c r="I514" s="20">
        <v>0</v>
      </c>
      <c r="J514" s="16">
        <f>OR(F514&lt;&gt;0,G514&lt;&gt;0,H514&lt;&gt;0,I514&lt;&gt;0)*(F514 + (F514 = 0))*(G514 + (G514 = 0))*(H514 + (H514 = 0))*(I514 + (I514 = 0))</f>
        <v>2</v>
      </c>
      <c r="K514" s="9"/>
      <c r="L514" s="9"/>
      <c r="M514" s="9"/>
    </row>
    <row r="515" spans="1:13">
      <c r="A515" s="9"/>
      <c r="B515" s="9"/>
      <c r="C515" s="9"/>
      <c r="D515" s="30"/>
      <c r="E515" s="9"/>
      <c r="F515" s="9"/>
      <c r="G515" s="9"/>
      <c r="H515" s="9"/>
      <c r="I515" s="9"/>
      <c r="J515" s="21" t="s">
        <v>477</v>
      </c>
      <c r="K515" s="22">
        <f>J514</f>
        <v>2</v>
      </c>
      <c r="L515" s="23">
        <v>0</v>
      </c>
      <c r="M515" s="24">
        <f>ROUND(K515*L515,2)</f>
        <v>0</v>
      </c>
    </row>
    <row r="516" spans="1:13" ht="0.95" customHeight="1">
      <c r="A516" s="25"/>
      <c r="B516" s="25"/>
      <c r="C516" s="25"/>
      <c r="D516" s="31"/>
      <c r="E516" s="25"/>
      <c r="F516" s="25"/>
      <c r="G516" s="25"/>
      <c r="H516" s="25"/>
      <c r="I516" s="25"/>
      <c r="J516" s="25"/>
      <c r="K516" s="25"/>
      <c r="L516" s="25"/>
      <c r="M516" s="25"/>
    </row>
    <row r="517" spans="1:13">
      <c r="A517" s="15" t="s">
        <v>478</v>
      </c>
      <c r="B517" s="10" t="s">
        <v>23</v>
      </c>
      <c r="C517" s="10" t="s">
        <v>4</v>
      </c>
      <c r="D517" s="18" t="s">
        <v>479</v>
      </c>
      <c r="E517" s="9"/>
      <c r="F517" s="9"/>
      <c r="G517" s="9"/>
      <c r="H517" s="9"/>
      <c r="I517" s="9"/>
      <c r="J517" s="9"/>
      <c r="K517" s="16">
        <f>K520</f>
        <v>2</v>
      </c>
      <c r="L517" s="17">
        <f>L520</f>
        <v>0</v>
      </c>
      <c r="M517" s="17">
        <f>M520</f>
        <v>0</v>
      </c>
    </row>
    <row r="518" spans="1:13">
      <c r="A518" s="9"/>
      <c r="B518" s="9"/>
      <c r="C518" s="9"/>
      <c r="D518" s="18" t="s">
        <v>480</v>
      </c>
      <c r="E518" s="9"/>
      <c r="F518" s="9"/>
      <c r="G518" s="9"/>
      <c r="H518" s="9"/>
      <c r="I518" s="9"/>
      <c r="J518" s="9"/>
      <c r="K518" s="9"/>
      <c r="L518" s="9"/>
      <c r="M518" s="9"/>
    </row>
    <row r="519" spans="1:13">
      <c r="A519" s="9"/>
      <c r="B519" s="9"/>
      <c r="C519" s="10" t="s">
        <v>27</v>
      </c>
      <c r="D519" s="30"/>
      <c r="E519" s="10" t="s">
        <v>481</v>
      </c>
      <c r="F519" s="19">
        <v>2</v>
      </c>
      <c r="G519" s="20">
        <v>0</v>
      </c>
      <c r="H519" s="20">
        <v>0</v>
      </c>
      <c r="I519" s="20">
        <v>0</v>
      </c>
      <c r="J519" s="16">
        <f>OR(F519&lt;&gt;0,G519&lt;&gt;0,H519&lt;&gt;0,I519&lt;&gt;0)*(F519 + (F519 = 0))*(G519 + (G519 = 0))*(H519 + (H519 = 0))*(I519 + (I519 = 0))</f>
        <v>2</v>
      </c>
      <c r="K519" s="9"/>
      <c r="L519" s="9"/>
      <c r="M519" s="9"/>
    </row>
    <row r="520" spans="1:13">
      <c r="A520" s="9"/>
      <c r="B520" s="9"/>
      <c r="C520" s="9"/>
      <c r="D520" s="30"/>
      <c r="E520" s="9"/>
      <c r="F520" s="9"/>
      <c r="G520" s="9"/>
      <c r="H520" s="9"/>
      <c r="I520" s="9"/>
      <c r="J520" s="21" t="s">
        <v>482</v>
      </c>
      <c r="K520" s="22">
        <f>J519</f>
        <v>2</v>
      </c>
      <c r="L520" s="23">
        <v>0</v>
      </c>
      <c r="M520" s="24">
        <f>ROUND(K520*L520,2)</f>
        <v>0</v>
      </c>
    </row>
    <row r="521" spans="1:13" ht="0.95" customHeight="1">
      <c r="A521" s="25"/>
      <c r="B521" s="25"/>
      <c r="C521" s="25"/>
      <c r="D521" s="31"/>
      <c r="E521" s="25"/>
      <c r="F521" s="25"/>
      <c r="G521" s="25"/>
      <c r="H521" s="25"/>
      <c r="I521" s="25"/>
      <c r="J521" s="25"/>
      <c r="K521" s="25"/>
      <c r="L521" s="25"/>
      <c r="M521" s="25"/>
    </row>
    <row r="522" spans="1:13">
      <c r="A522" s="15" t="s">
        <v>483</v>
      </c>
      <c r="B522" s="10" t="s">
        <v>23</v>
      </c>
      <c r="C522" s="10" t="s">
        <v>4</v>
      </c>
      <c r="D522" s="18" t="s">
        <v>484</v>
      </c>
      <c r="E522" s="9"/>
      <c r="F522" s="9"/>
      <c r="G522" s="9"/>
      <c r="H522" s="9"/>
      <c r="I522" s="9"/>
      <c r="J522" s="9"/>
      <c r="K522" s="16">
        <f>K525</f>
        <v>1</v>
      </c>
      <c r="L522" s="17">
        <f>L525</f>
        <v>0</v>
      </c>
      <c r="M522" s="17">
        <f>M525</f>
        <v>0</v>
      </c>
    </row>
    <row r="523" spans="1:13">
      <c r="A523" s="9"/>
      <c r="B523" s="9"/>
      <c r="C523" s="9"/>
      <c r="D523" s="18" t="s">
        <v>485</v>
      </c>
      <c r="E523" s="9"/>
      <c r="F523" s="9"/>
      <c r="G523" s="9"/>
      <c r="H523" s="9"/>
      <c r="I523" s="9"/>
      <c r="J523" s="9"/>
      <c r="K523" s="9"/>
      <c r="L523" s="9"/>
      <c r="M523" s="9"/>
    </row>
    <row r="524" spans="1:13">
      <c r="A524" s="9"/>
      <c r="B524" s="9"/>
      <c r="C524" s="10" t="s">
        <v>27</v>
      </c>
      <c r="D524" s="30"/>
      <c r="E524" s="10" t="s">
        <v>486</v>
      </c>
      <c r="F524" s="19">
        <v>1</v>
      </c>
      <c r="G524" s="20">
        <v>0</v>
      </c>
      <c r="H524" s="20">
        <v>0</v>
      </c>
      <c r="I524" s="20">
        <v>0</v>
      </c>
      <c r="J524" s="16">
        <f>OR(F524&lt;&gt;0,G524&lt;&gt;0,H524&lt;&gt;0,I524&lt;&gt;0)*(F524 + (F524 = 0))*(G524 + (G524 = 0))*(H524 + (H524 = 0))*(I524 + (I524 = 0))</f>
        <v>1</v>
      </c>
      <c r="K524" s="9"/>
      <c r="L524" s="9"/>
      <c r="M524" s="9"/>
    </row>
    <row r="525" spans="1:13">
      <c r="A525" s="9"/>
      <c r="B525" s="9"/>
      <c r="C525" s="9"/>
      <c r="D525" s="30"/>
      <c r="E525" s="9"/>
      <c r="F525" s="9"/>
      <c r="G525" s="9"/>
      <c r="H525" s="9"/>
      <c r="I525" s="9"/>
      <c r="J525" s="21" t="s">
        <v>487</v>
      </c>
      <c r="K525" s="22">
        <f>J524</f>
        <v>1</v>
      </c>
      <c r="L525" s="23">
        <v>0</v>
      </c>
      <c r="M525" s="24">
        <f>ROUND(K525*L525,2)</f>
        <v>0</v>
      </c>
    </row>
    <row r="526" spans="1:13" ht="0.95" customHeight="1">
      <c r="A526" s="25"/>
      <c r="B526" s="25"/>
      <c r="C526" s="25"/>
      <c r="D526" s="31"/>
      <c r="E526" s="25"/>
      <c r="F526" s="25"/>
      <c r="G526" s="25"/>
      <c r="H526" s="25"/>
      <c r="I526" s="25"/>
      <c r="J526" s="25"/>
      <c r="K526" s="25"/>
      <c r="L526" s="25"/>
      <c r="M526" s="25"/>
    </row>
    <row r="527" spans="1:13">
      <c r="A527" s="15" t="s">
        <v>488</v>
      </c>
      <c r="B527" s="10" t="s">
        <v>23</v>
      </c>
      <c r="C527" s="10" t="s">
        <v>4</v>
      </c>
      <c r="D527" s="18" t="s">
        <v>489</v>
      </c>
      <c r="E527" s="9"/>
      <c r="F527" s="9"/>
      <c r="G527" s="9"/>
      <c r="H527" s="9"/>
      <c r="I527" s="9"/>
      <c r="J527" s="9"/>
      <c r="K527" s="16">
        <f>K530</f>
        <v>1</v>
      </c>
      <c r="L527" s="17">
        <f>L530</f>
        <v>0</v>
      </c>
      <c r="M527" s="17">
        <f>M530</f>
        <v>0</v>
      </c>
    </row>
    <row r="528" spans="1:13">
      <c r="A528" s="9"/>
      <c r="B528" s="9"/>
      <c r="C528" s="9"/>
      <c r="D528" s="18" t="s">
        <v>490</v>
      </c>
      <c r="E528" s="9"/>
      <c r="F528" s="9"/>
      <c r="G528" s="9"/>
      <c r="H528" s="9"/>
      <c r="I528" s="9"/>
      <c r="J528" s="9"/>
      <c r="K528" s="9"/>
      <c r="L528" s="9"/>
      <c r="M528" s="9"/>
    </row>
    <row r="529" spans="1:13">
      <c r="A529" s="9"/>
      <c r="B529" s="9"/>
      <c r="C529" s="10" t="s">
        <v>27</v>
      </c>
      <c r="D529" s="30"/>
      <c r="E529" s="10" t="s">
        <v>491</v>
      </c>
      <c r="F529" s="19">
        <v>1</v>
      </c>
      <c r="G529" s="23">
        <v>0</v>
      </c>
      <c r="H529" s="23">
        <v>0</v>
      </c>
      <c r="I529" s="23">
        <v>0</v>
      </c>
      <c r="J529" s="17">
        <f>OR(F529&lt;&gt;0,G529&lt;&gt;0,H529&lt;&gt;0,I529&lt;&gt;0)*(F529 + (F529 = 0))*(G529 + (G529 = 0))*(H529 + (H529 = 0))*(I529 + (I529 = 0))</f>
        <v>1</v>
      </c>
      <c r="K529" s="9"/>
      <c r="L529" s="9"/>
      <c r="M529" s="9"/>
    </row>
    <row r="530" spans="1:13">
      <c r="A530" s="9"/>
      <c r="B530" s="9"/>
      <c r="C530" s="9"/>
      <c r="D530" s="30"/>
      <c r="E530" s="9"/>
      <c r="F530" s="9"/>
      <c r="G530" s="9"/>
      <c r="H530" s="9"/>
      <c r="I530" s="9"/>
      <c r="J530" s="21" t="s">
        <v>492</v>
      </c>
      <c r="K530" s="22">
        <f>J529</f>
        <v>1</v>
      </c>
      <c r="L530" s="23">
        <v>0</v>
      </c>
      <c r="M530" s="24">
        <f>ROUND(K530*L530,2)</f>
        <v>0</v>
      </c>
    </row>
    <row r="531" spans="1:13" ht="0.95" customHeight="1">
      <c r="A531" s="25"/>
      <c r="B531" s="25"/>
      <c r="C531" s="25"/>
      <c r="D531" s="31"/>
      <c r="E531" s="25"/>
      <c r="F531" s="25"/>
      <c r="G531" s="25"/>
      <c r="H531" s="25"/>
      <c r="I531" s="25"/>
      <c r="J531" s="25"/>
      <c r="K531" s="25"/>
      <c r="L531" s="25"/>
      <c r="M531" s="25"/>
    </row>
    <row r="532" spans="1:13">
      <c r="A532" s="15" t="s">
        <v>493</v>
      </c>
      <c r="B532" s="10" t="s">
        <v>23</v>
      </c>
      <c r="C532" s="10" t="s">
        <v>4</v>
      </c>
      <c r="D532" s="18" t="s">
        <v>494</v>
      </c>
      <c r="E532" s="9"/>
      <c r="F532" s="9"/>
      <c r="G532" s="9"/>
      <c r="H532" s="9"/>
      <c r="I532" s="9"/>
      <c r="J532" s="9"/>
      <c r="K532" s="16">
        <f>K535</f>
        <v>1</v>
      </c>
      <c r="L532" s="17">
        <f>L535</f>
        <v>0</v>
      </c>
      <c r="M532" s="17">
        <f>M535</f>
        <v>0</v>
      </c>
    </row>
    <row r="533" spans="1:13">
      <c r="A533" s="9"/>
      <c r="B533" s="9"/>
      <c r="C533" s="9"/>
      <c r="D533" s="18" t="s">
        <v>495</v>
      </c>
      <c r="E533" s="9"/>
      <c r="F533" s="9"/>
      <c r="G533" s="9"/>
      <c r="H533" s="9"/>
      <c r="I533" s="9"/>
      <c r="J533" s="9"/>
      <c r="K533" s="9"/>
      <c r="L533" s="9"/>
      <c r="M533" s="9"/>
    </row>
    <row r="534" spans="1:13">
      <c r="A534" s="9"/>
      <c r="B534" s="9"/>
      <c r="C534" s="10" t="s">
        <v>27</v>
      </c>
      <c r="D534" s="30"/>
      <c r="E534" s="10" t="s">
        <v>486</v>
      </c>
      <c r="F534" s="19">
        <v>1</v>
      </c>
      <c r="G534" s="23">
        <v>0</v>
      </c>
      <c r="H534" s="23">
        <v>0</v>
      </c>
      <c r="I534" s="23">
        <v>0</v>
      </c>
      <c r="J534" s="17">
        <f>OR(F534&lt;&gt;0,G534&lt;&gt;0,H534&lt;&gt;0,I534&lt;&gt;0)*(F534 + (F534 = 0))*(G534 + (G534 = 0))*(H534 + (H534 = 0))*(I534 + (I534 = 0))</f>
        <v>1</v>
      </c>
      <c r="K534" s="9"/>
      <c r="L534" s="9"/>
      <c r="M534" s="9"/>
    </row>
    <row r="535" spans="1:13">
      <c r="A535" s="9"/>
      <c r="B535" s="9"/>
      <c r="C535" s="9"/>
      <c r="D535" s="30"/>
      <c r="E535" s="9"/>
      <c r="F535" s="9"/>
      <c r="G535" s="9"/>
      <c r="H535" s="9"/>
      <c r="I535" s="9"/>
      <c r="J535" s="21" t="s">
        <v>496</v>
      </c>
      <c r="K535" s="22">
        <f>J534</f>
        <v>1</v>
      </c>
      <c r="L535" s="23">
        <v>0</v>
      </c>
      <c r="M535" s="24">
        <f>ROUND(K535*L535,2)</f>
        <v>0</v>
      </c>
    </row>
    <row r="536" spans="1:13" ht="0.95" customHeight="1">
      <c r="A536" s="25"/>
      <c r="B536" s="25"/>
      <c r="C536" s="25"/>
      <c r="D536" s="31"/>
      <c r="E536" s="25"/>
      <c r="F536" s="25"/>
      <c r="G536" s="25"/>
      <c r="H536" s="25"/>
      <c r="I536" s="25"/>
      <c r="J536" s="25"/>
      <c r="K536" s="25"/>
      <c r="L536" s="25"/>
      <c r="M536" s="25"/>
    </row>
    <row r="537" spans="1:13">
      <c r="A537" s="15" t="s">
        <v>497</v>
      </c>
      <c r="B537" s="10" t="s">
        <v>23</v>
      </c>
      <c r="C537" s="10" t="s">
        <v>4</v>
      </c>
      <c r="D537" s="18" t="s">
        <v>498</v>
      </c>
      <c r="E537" s="9"/>
      <c r="F537" s="9"/>
      <c r="G537" s="9"/>
      <c r="H537" s="9"/>
      <c r="I537" s="9"/>
      <c r="J537" s="9"/>
      <c r="K537" s="16">
        <f>K540</f>
        <v>1</v>
      </c>
      <c r="L537" s="17">
        <f>L540</f>
        <v>0</v>
      </c>
      <c r="M537" s="17">
        <f>M540</f>
        <v>0</v>
      </c>
    </row>
    <row r="538" spans="1:13">
      <c r="A538" s="9"/>
      <c r="B538" s="9"/>
      <c r="C538" s="9"/>
      <c r="D538" s="18" t="s">
        <v>499</v>
      </c>
      <c r="E538" s="9"/>
      <c r="F538" s="9"/>
      <c r="G538" s="9"/>
      <c r="H538" s="9"/>
      <c r="I538" s="9"/>
      <c r="J538" s="9"/>
      <c r="K538" s="9"/>
      <c r="L538" s="9"/>
      <c r="M538" s="9"/>
    </row>
    <row r="539" spans="1:13">
      <c r="A539" s="9"/>
      <c r="B539" s="9"/>
      <c r="C539" s="10" t="s">
        <v>27</v>
      </c>
      <c r="D539" s="30"/>
      <c r="E539" s="10" t="s">
        <v>500</v>
      </c>
      <c r="F539" s="19">
        <v>1</v>
      </c>
      <c r="G539" s="23">
        <v>0</v>
      </c>
      <c r="H539" s="23">
        <v>0</v>
      </c>
      <c r="I539" s="23">
        <v>0</v>
      </c>
      <c r="J539" s="17">
        <f>OR(F539&lt;&gt;0,G539&lt;&gt;0,H539&lt;&gt;0,I539&lt;&gt;0)*(F539 + (F539 = 0))*(G539 + (G539 = 0))*(H539 + (H539 = 0))*(I539 + (I539 = 0))</f>
        <v>1</v>
      </c>
      <c r="K539" s="9"/>
      <c r="L539" s="9"/>
      <c r="M539" s="9"/>
    </row>
    <row r="540" spans="1:13">
      <c r="A540" s="9"/>
      <c r="B540" s="9"/>
      <c r="C540" s="9"/>
      <c r="D540" s="30"/>
      <c r="E540" s="9"/>
      <c r="F540" s="9"/>
      <c r="G540" s="9"/>
      <c r="H540" s="9"/>
      <c r="I540" s="9"/>
      <c r="J540" s="21" t="s">
        <v>501</v>
      </c>
      <c r="K540" s="22">
        <f>J539</f>
        <v>1</v>
      </c>
      <c r="L540" s="23">
        <v>0</v>
      </c>
      <c r="M540" s="24">
        <f>ROUND(K540*L540,2)</f>
        <v>0</v>
      </c>
    </row>
    <row r="541" spans="1:13" ht="0.95" customHeight="1">
      <c r="A541" s="25"/>
      <c r="B541" s="25"/>
      <c r="C541" s="25"/>
      <c r="D541" s="31"/>
      <c r="E541" s="25"/>
      <c r="F541" s="25"/>
      <c r="G541" s="25"/>
      <c r="H541" s="25"/>
      <c r="I541" s="25"/>
      <c r="J541" s="25"/>
      <c r="K541" s="25"/>
      <c r="L541" s="25"/>
      <c r="M541" s="25"/>
    </row>
    <row r="542" spans="1:13">
      <c r="A542" s="15" t="s">
        <v>502</v>
      </c>
      <c r="B542" s="10" t="s">
        <v>23</v>
      </c>
      <c r="C542" s="10" t="s">
        <v>4</v>
      </c>
      <c r="D542" s="18" t="s">
        <v>503</v>
      </c>
      <c r="E542" s="9"/>
      <c r="F542" s="9"/>
      <c r="G542" s="9"/>
      <c r="H542" s="9"/>
      <c r="I542" s="9"/>
      <c r="J542" s="9"/>
      <c r="K542" s="16">
        <f>K545</f>
        <v>1</v>
      </c>
      <c r="L542" s="17">
        <f>L545</f>
        <v>0</v>
      </c>
      <c r="M542" s="17">
        <f>M545</f>
        <v>0</v>
      </c>
    </row>
    <row r="543" spans="1:13">
      <c r="A543" s="9"/>
      <c r="B543" s="9"/>
      <c r="C543" s="9"/>
      <c r="D543" s="18" t="s">
        <v>504</v>
      </c>
      <c r="E543" s="9"/>
      <c r="F543" s="9"/>
      <c r="G543" s="9"/>
      <c r="H543" s="9"/>
      <c r="I543" s="9"/>
      <c r="J543" s="9"/>
      <c r="K543" s="9"/>
      <c r="L543" s="9"/>
      <c r="M543" s="9"/>
    </row>
    <row r="544" spans="1:13">
      <c r="A544" s="9"/>
      <c r="B544" s="9"/>
      <c r="C544" s="10" t="s">
        <v>27</v>
      </c>
      <c r="D544" s="30"/>
      <c r="E544" s="10" t="s">
        <v>505</v>
      </c>
      <c r="F544" s="19">
        <v>1</v>
      </c>
      <c r="G544" s="23">
        <v>0</v>
      </c>
      <c r="H544" s="23">
        <v>0</v>
      </c>
      <c r="I544" s="23">
        <v>0</v>
      </c>
      <c r="J544" s="17">
        <f>OR(F544&lt;&gt;0,G544&lt;&gt;0,H544&lt;&gt;0,I544&lt;&gt;0)*(F544 + (F544 = 0))*(G544 + (G544 = 0))*(H544 + (H544 = 0))*(I544 + (I544 = 0))</f>
        <v>1</v>
      </c>
      <c r="K544" s="9"/>
      <c r="L544" s="9"/>
      <c r="M544" s="9"/>
    </row>
    <row r="545" spans="1:13">
      <c r="A545" s="9"/>
      <c r="B545" s="9"/>
      <c r="C545" s="9"/>
      <c r="D545" s="30"/>
      <c r="E545" s="9"/>
      <c r="F545" s="9"/>
      <c r="G545" s="9"/>
      <c r="H545" s="9"/>
      <c r="I545" s="9"/>
      <c r="J545" s="21" t="s">
        <v>506</v>
      </c>
      <c r="K545" s="22">
        <f>J544</f>
        <v>1</v>
      </c>
      <c r="L545" s="23">
        <v>0</v>
      </c>
      <c r="M545" s="24">
        <f>ROUND(K545*L545,2)</f>
        <v>0</v>
      </c>
    </row>
    <row r="546" spans="1:13" ht="0.95" customHeight="1">
      <c r="A546" s="25"/>
      <c r="B546" s="25"/>
      <c r="C546" s="25"/>
      <c r="D546" s="31"/>
      <c r="E546" s="25"/>
      <c r="F546" s="25"/>
      <c r="G546" s="25"/>
      <c r="H546" s="25"/>
      <c r="I546" s="25"/>
      <c r="J546" s="25"/>
      <c r="K546" s="25"/>
      <c r="L546" s="25"/>
      <c r="M546" s="25"/>
    </row>
    <row r="547" spans="1:13">
      <c r="A547" s="9"/>
      <c r="B547" s="9"/>
      <c r="C547" s="9"/>
      <c r="D547" s="30"/>
      <c r="E547" s="9"/>
      <c r="F547" s="9"/>
      <c r="G547" s="9"/>
      <c r="H547" s="9"/>
      <c r="I547" s="9"/>
      <c r="J547" s="21" t="s">
        <v>507</v>
      </c>
      <c r="K547" s="20">
        <v>1</v>
      </c>
      <c r="L547" s="24">
        <f>M492+M497+M502+M507+M512+M517+M522+M527+M532+M537+M542</f>
        <v>0</v>
      </c>
      <c r="M547" s="24">
        <f>ROUND(K547*L547,2)</f>
        <v>0</v>
      </c>
    </row>
    <row r="548" spans="1:13" ht="0.95" customHeight="1">
      <c r="A548" s="25"/>
      <c r="B548" s="25"/>
      <c r="C548" s="25"/>
      <c r="D548" s="31"/>
      <c r="E548" s="25"/>
      <c r="F548" s="25"/>
      <c r="G548" s="25"/>
      <c r="H548" s="25"/>
      <c r="I548" s="25"/>
      <c r="J548" s="25"/>
      <c r="K548" s="25"/>
      <c r="L548" s="25"/>
      <c r="M548" s="25"/>
    </row>
    <row r="549" spans="1:13">
      <c r="A549" s="11" t="s">
        <v>508</v>
      </c>
      <c r="B549" s="11" t="s">
        <v>16</v>
      </c>
      <c r="C549" s="11" t="s">
        <v>17</v>
      </c>
      <c r="D549" s="29" t="s">
        <v>509</v>
      </c>
      <c r="E549" s="12"/>
      <c r="F549" s="12"/>
      <c r="G549" s="12"/>
      <c r="H549" s="12"/>
      <c r="I549" s="12"/>
      <c r="J549" s="12"/>
      <c r="K549" s="13">
        <f>K556</f>
        <v>1</v>
      </c>
      <c r="L549" s="14">
        <f>L556</f>
        <v>0</v>
      </c>
      <c r="M549" s="14">
        <f>M556</f>
        <v>0</v>
      </c>
    </row>
    <row r="550" spans="1:13" ht="33.75">
      <c r="A550" s="15" t="s">
        <v>510</v>
      </c>
      <c r="B550" s="10" t="s">
        <v>23</v>
      </c>
      <c r="C550" s="10" t="s">
        <v>4</v>
      </c>
      <c r="D550" s="18" t="s">
        <v>511</v>
      </c>
      <c r="E550" s="9"/>
      <c r="F550" s="9"/>
      <c r="G550" s="9"/>
      <c r="H550" s="9"/>
      <c r="I550" s="9"/>
      <c r="J550" s="9"/>
      <c r="K550" s="16">
        <f>K554</f>
        <v>3</v>
      </c>
      <c r="L550" s="17">
        <f>L554</f>
        <v>0</v>
      </c>
      <c r="M550" s="17">
        <f>M554</f>
        <v>0</v>
      </c>
    </row>
    <row r="551" spans="1:13">
      <c r="A551" s="9"/>
      <c r="B551" s="9"/>
      <c r="C551" s="9"/>
      <c r="D551" s="18" t="s">
        <v>512</v>
      </c>
      <c r="E551" s="9"/>
      <c r="F551" s="9"/>
      <c r="G551" s="9"/>
      <c r="H551" s="9"/>
      <c r="I551" s="9"/>
      <c r="J551" s="9"/>
      <c r="K551" s="9"/>
      <c r="L551" s="9"/>
      <c r="M551" s="9"/>
    </row>
    <row r="552" spans="1:13">
      <c r="A552" s="9"/>
      <c r="B552" s="9"/>
      <c r="C552" s="10" t="s">
        <v>27</v>
      </c>
      <c r="D552" s="30"/>
      <c r="E552" s="10" t="s">
        <v>513</v>
      </c>
      <c r="F552" s="19">
        <v>2</v>
      </c>
      <c r="G552" s="20">
        <v>0</v>
      </c>
      <c r="H552" s="20">
        <v>0</v>
      </c>
      <c r="I552" s="20">
        <v>0</v>
      </c>
      <c r="J552" s="16">
        <f>OR(F552&lt;&gt;0,G552&lt;&gt;0,H552&lt;&gt;0,I552&lt;&gt;0)*(F552 + (F552 = 0))*(G552 + (G552 = 0))*(H552 + (H552 = 0))*(I552 + (I552 = 0))</f>
        <v>2</v>
      </c>
      <c r="K552" s="9"/>
      <c r="L552" s="9"/>
      <c r="M552" s="9"/>
    </row>
    <row r="553" spans="1:13">
      <c r="A553" s="9"/>
      <c r="B553" s="9"/>
      <c r="C553" s="10" t="s">
        <v>27</v>
      </c>
      <c r="D553" s="30"/>
      <c r="E553" s="10" t="s">
        <v>514</v>
      </c>
      <c r="F553" s="19">
        <v>1</v>
      </c>
      <c r="G553" s="20">
        <v>0</v>
      </c>
      <c r="H553" s="20">
        <v>0</v>
      </c>
      <c r="I553" s="20">
        <v>0</v>
      </c>
      <c r="J553" s="16">
        <f>OR(F553&lt;&gt;0,G553&lt;&gt;0,H553&lt;&gt;0,I553&lt;&gt;0)*(F553 + (F553 = 0))*(G553 + (G553 = 0))*(H553 + (H553 = 0))*(I553 + (I553 = 0))</f>
        <v>1</v>
      </c>
      <c r="K553" s="9"/>
      <c r="L553" s="9"/>
      <c r="M553" s="9"/>
    </row>
    <row r="554" spans="1:13">
      <c r="A554" s="9"/>
      <c r="B554" s="9"/>
      <c r="C554" s="9"/>
      <c r="D554" s="30"/>
      <c r="E554" s="9"/>
      <c r="F554" s="9"/>
      <c r="G554" s="9"/>
      <c r="H554" s="9"/>
      <c r="I554" s="9"/>
      <c r="J554" s="21" t="s">
        <v>515</v>
      </c>
      <c r="K554" s="22">
        <f>SUM(J552:J553)</f>
        <v>3</v>
      </c>
      <c r="L554" s="23">
        <v>0</v>
      </c>
      <c r="M554" s="24">
        <f>ROUND(K554*L554,2)</f>
        <v>0</v>
      </c>
    </row>
    <row r="555" spans="1:13" ht="0.95" customHeight="1">
      <c r="A555" s="25"/>
      <c r="B555" s="25"/>
      <c r="C555" s="25"/>
      <c r="D555" s="31"/>
      <c r="E555" s="25"/>
      <c r="F555" s="25"/>
      <c r="G555" s="25"/>
      <c r="H555" s="25"/>
      <c r="I555" s="25"/>
      <c r="J555" s="25"/>
      <c r="K555" s="25"/>
      <c r="L555" s="25"/>
      <c r="M555" s="25"/>
    </row>
    <row r="556" spans="1:13">
      <c r="A556" s="9"/>
      <c r="B556" s="9"/>
      <c r="C556" s="9"/>
      <c r="D556" s="30"/>
      <c r="E556" s="9"/>
      <c r="F556" s="9"/>
      <c r="G556" s="9"/>
      <c r="H556" s="9"/>
      <c r="I556" s="9"/>
      <c r="J556" s="21" t="s">
        <v>516</v>
      </c>
      <c r="K556" s="20">
        <v>1</v>
      </c>
      <c r="L556" s="24">
        <f>M550</f>
        <v>0</v>
      </c>
      <c r="M556" s="24">
        <f>ROUND(K556*L556,2)</f>
        <v>0</v>
      </c>
    </row>
    <row r="557" spans="1:13" ht="0.95" customHeight="1">
      <c r="A557" s="25"/>
      <c r="B557" s="25"/>
      <c r="C557" s="25"/>
      <c r="D557" s="31"/>
      <c r="E557" s="25"/>
      <c r="F557" s="25"/>
      <c r="G557" s="25"/>
      <c r="H557" s="25"/>
      <c r="I557" s="25"/>
      <c r="J557" s="25"/>
      <c r="K557" s="25"/>
      <c r="L557" s="25"/>
      <c r="M557" s="25"/>
    </row>
    <row r="558" spans="1:13">
      <c r="A558" s="11" t="s">
        <v>517</v>
      </c>
      <c r="B558" s="11" t="s">
        <v>16</v>
      </c>
      <c r="C558" s="11" t="s">
        <v>17</v>
      </c>
      <c r="D558" s="29" t="s">
        <v>518</v>
      </c>
      <c r="E558" s="12"/>
      <c r="F558" s="12"/>
      <c r="G558" s="12"/>
      <c r="H558" s="12"/>
      <c r="I558" s="12"/>
      <c r="J558" s="12"/>
      <c r="K558" s="13">
        <f>K561</f>
        <v>1</v>
      </c>
      <c r="L558" s="14">
        <f>L561</f>
        <v>0</v>
      </c>
      <c r="M558" s="14">
        <f>M561</f>
        <v>0</v>
      </c>
    </row>
    <row r="559" spans="1:13">
      <c r="A559" s="15" t="s">
        <v>519</v>
      </c>
      <c r="B559" s="10" t="s">
        <v>23</v>
      </c>
      <c r="C559" s="10" t="s">
        <v>4</v>
      </c>
      <c r="D559" s="18" t="s">
        <v>520</v>
      </c>
      <c r="E559" s="9"/>
      <c r="F559" s="9"/>
      <c r="G559" s="9"/>
      <c r="H559" s="9"/>
      <c r="I559" s="9"/>
      <c r="J559" s="9"/>
      <c r="K559" s="20">
        <v>1</v>
      </c>
      <c r="L559" s="23">
        <v>0</v>
      </c>
      <c r="M559" s="17">
        <f>ROUND(K559*L559,2)</f>
        <v>0</v>
      </c>
    </row>
    <row r="560" spans="1:13">
      <c r="A560" s="9"/>
      <c r="B560" s="9"/>
      <c r="C560" s="9"/>
      <c r="D560" s="18" t="s">
        <v>521</v>
      </c>
      <c r="E560" s="9"/>
      <c r="F560" s="9"/>
      <c r="G560" s="9"/>
      <c r="H560" s="9"/>
      <c r="I560" s="9"/>
      <c r="J560" s="9"/>
      <c r="K560" s="9"/>
      <c r="L560" s="9"/>
      <c r="M560" s="9"/>
    </row>
    <row r="561" spans="1:13">
      <c r="A561" s="9"/>
      <c r="B561" s="9"/>
      <c r="C561" s="9"/>
      <c r="D561" s="30"/>
      <c r="E561" s="9"/>
      <c r="F561" s="9"/>
      <c r="G561" s="9"/>
      <c r="H561" s="9"/>
      <c r="I561" s="9"/>
      <c r="J561" s="21" t="s">
        <v>522</v>
      </c>
      <c r="K561" s="20">
        <v>1</v>
      </c>
      <c r="L561" s="24">
        <f>M559</f>
        <v>0</v>
      </c>
      <c r="M561" s="24">
        <f>ROUND(K561*L561,2)</f>
        <v>0</v>
      </c>
    </row>
    <row r="562" spans="1:13" ht="0.95" customHeight="1">
      <c r="A562" s="25"/>
      <c r="B562" s="25"/>
      <c r="C562" s="25"/>
      <c r="D562" s="31"/>
      <c r="E562" s="25"/>
      <c r="F562" s="25"/>
      <c r="G562" s="25"/>
      <c r="H562" s="25"/>
      <c r="I562" s="25"/>
      <c r="J562" s="25"/>
      <c r="K562" s="25"/>
      <c r="L562" s="25"/>
      <c r="M562" s="25"/>
    </row>
    <row r="563" spans="1:13">
      <c r="A563" s="11" t="s">
        <v>523</v>
      </c>
      <c r="B563" s="11" t="s">
        <v>16</v>
      </c>
      <c r="C563" s="11" t="s">
        <v>17</v>
      </c>
      <c r="D563" s="29" t="s">
        <v>524</v>
      </c>
      <c r="E563" s="12"/>
      <c r="F563" s="12"/>
      <c r="G563" s="12"/>
      <c r="H563" s="12"/>
      <c r="I563" s="12"/>
      <c r="J563" s="12"/>
      <c r="K563" s="13">
        <f>K577</f>
        <v>1</v>
      </c>
      <c r="L563" s="14">
        <f>L577</f>
        <v>0</v>
      </c>
      <c r="M563" s="14">
        <f>M577</f>
        <v>0</v>
      </c>
    </row>
    <row r="564" spans="1:13">
      <c r="A564" s="9"/>
      <c r="B564" s="9"/>
      <c r="C564" s="9"/>
      <c r="D564" s="18" t="s">
        <v>524</v>
      </c>
      <c r="E564" s="9"/>
      <c r="F564" s="9"/>
      <c r="G564" s="9"/>
      <c r="H564" s="9"/>
      <c r="I564" s="9"/>
      <c r="J564" s="9"/>
      <c r="K564" s="9"/>
      <c r="L564" s="9"/>
      <c r="M564" s="9"/>
    </row>
    <row r="565" spans="1:13" ht="33.75">
      <c r="A565" s="15" t="s">
        <v>525</v>
      </c>
      <c r="B565" s="10" t="s">
        <v>23</v>
      </c>
      <c r="C565" s="10" t="s">
        <v>4</v>
      </c>
      <c r="D565" s="18" t="s">
        <v>526</v>
      </c>
      <c r="E565" s="9"/>
      <c r="F565" s="9"/>
      <c r="G565" s="9"/>
      <c r="H565" s="9"/>
      <c r="I565" s="9"/>
      <c r="J565" s="9"/>
      <c r="K565" s="20">
        <v>1</v>
      </c>
      <c r="L565" s="23">
        <v>0</v>
      </c>
      <c r="M565" s="17">
        <f>ROUND(K565*L565,2)</f>
        <v>0</v>
      </c>
    </row>
    <row r="566" spans="1:13">
      <c r="A566" s="9"/>
      <c r="B566" s="9"/>
      <c r="C566" s="9"/>
      <c r="D566" s="18" t="s">
        <v>527</v>
      </c>
      <c r="E566" s="9"/>
      <c r="F566" s="9"/>
      <c r="G566" s="9"/>
      <c r="H566" s="9"/>
      <c r="I566" s="9"/>
      <c r="J566" s="9"/>
      <c r="K566" s="9"/>
      <c r="L566" s="9"/>
      <c r="M566" s="9"/>
    </row>
    <row r="567" spans="1:13" ht="33.75">
      <c r="A567" s="15" t="s">
        <v>528</v>
      </c>
      <c r="B567" s="10" t="s">
        <v>23</v>
      </c>
      <c r="C567" s="10" t="s">
        <v>4</v>
      </c>
      <c r="D567" s="18" t="s">
        <v>529</v>
      </c>
      <c r="E567" s="9"/>
      <c r="F567" s="9"/>
      <c r="G567" s="9"/>
      <c r="H567" s="9"/>
      <c r="I567" s="9"/>
      <c r="J567" s="9"/>
      <c r="K567" s="20">
        <v>1</v>
      </c>
      <c r="L567" s="23">
        <v>0</v>
      </c>
      <c r="M567" s="17">
        <f>ROUND(K567*L567,2)</f>
        <v>0</v>
      </c>
    </row>
    <row r="568" spans="1:13">
      <c r="A568" s="9"/>
      <c r="B568" s="9"/>
      <c r="C568" s="9"/>
      <c r="D568" s="18" t="s">
        <v>530</v>
      </c>
      <c r="E568" s="9"/>
      <c r="F568" s="9"/>
      <c r="G568" s="9"/>
      <c r="H568" s="9"/>
      <c r="I568" s="9"/>
      <c r="J568" s="9"/>
      <c r="K568" s="9"/>
      <c r="L568" s="9"/>
      <c r="M568" s="9"/>
    </row>
    <row r="569" spans="1:13" ht="33.75">
      <c r="A569" s="15" t="s">
        <v>531</v>
      </c>
      <c r="B569" s="10" t="s">
        <v>23</v>
      </c>
      <c r="C569" s="10" t="s">
        <v>4</v>
      </c>
      <c r="D569" s="18" t="s">
        <v>532</v>
      </c>
      <c r="E569" s="9"/>
      <c r="F569" s="9"/>
      <c r="G569" s="9"/>
      <c r="H569" s="9"/>
      <c r="I569" s="9"/>
      <c r="J569" s="9"/>
      <c r="K569" s="20">
        <v>1</v>
      </c>
      <c r="L569" s="23">
        <v>0</v>
      </c>
      <c r="M569" s="17">
        <f>ROUND(K569*L569,2)</f>
        <v>0</v>
      </c>
    </row>
    <row r="570" spans="1:13">
      <c r="A570" s="9"/>
      <c r="B570" s="9"/>
      <c r="C570" s="9"/>
      <c r="D570" s="18" t="s">
        <v>533</v>
      </c>
      <c r="E570" s="9"/>
      <c r="F570" s="9"/>
      <c r="G570" s="9"/>
      <c r="H570" s="9"/>
      <c r="I570" s="9"/>
      <c r="J570" s="9"/>
      <c r="K570" s="9"/>
      <c r="L570" s="9"/>
      <c r="M570" s="9"/>
    </row>
    <row r="571" spans="1:13" ht="33.75">
      <c r="A571" s="15" t="s">
        <v>534</v>
      </c>
      <c r="B571" s="10" t="s">
        <v>23</v>
      </c>
      <c r="C571" s="10" t="s">
        <v>4</v>
      </c>
      <c r="D571" s="18" t="s">
        <v>535</v>
      </c>
      <c r="E571" s="9"/>
      <c r="F571" s="9"/>
      <c r="G571" s="9"/>
      <c r="H571" s="9"/>
      <c r="I571" s="9"/>
      <c r="J571" s="9"/>
      <c r="K571" s="20">
        <v>1</v>
      </c>
      <c r="L571" s="23">
        <v>0</v>
      </c>
      <c r="M571" s="17">
        <f>ROUND(K571*L571,2)</f>
        <v>0</v>
      </c>
    </row>
    <row r="572" spans="1:13">
      <c r="A572" s="9"/>
      <c r="B572" s="9"/>
      <c r="C572" s="9"/>
      <c r="D572" s="18" t="s">
        <v>536</v>
      </c>
      <c r="E572" s="9"/>
      <c r="F572" s="9"/>
      <c r="G572" s="9"/>
      <c r="H572" s="9"/>
      <c r="I572" s="9"/>
      <c r="J572" s="9"/>
      <c r="K572" s="9"/>
      <c r="L572" s="9"/>
      <c r="M572" s="9"/>
    </row>
    <row r="573" spans="1:13" ht="33.75">
      <c r="A573" s="15" t="s">
        <v>537</v>
      </c>
      <c r="B573" s="10" t="s">
        <v>23</v>
      </c>
      <c r="C573" s="10" t="s">
        <v>4</v>
      </c>
      <c r="D573" s="18" t="s">
        <v>538</v>
      </c>
      <c r="E573" s="9"/>
      <c r="F573" s="9"/>
      <c r="G573" s="9"/>
      <c r="H573" s="9"/>
      <c r="I573" s="9"/>
      <c r="J573" s="9"/>
      <c r="K573" s="20">
        <v>1</v>
      </c>
      <c r="L573" s="23">
        <v>0</v>
      </c>
      <c r="M573" s="17">
        <f>ROUND(K573*L573,2)</f>
        <v>0</v>
      </c>
    </row>
    <row r="574" spans="1:13">
      <c r="A574" s="9"/>
      <c r="B574" s="9"/>
      <c r="C574" s="9"/>
      <c r="D574" s="18" t="s">
        <v>539</v>
      </c>
      <c r="E574" s="9"/>
      <c r="F574" s="9"/>
      <c r="G574" s="9"/>
      <c r="H574" s="9"/>
      <c r="I574" s="9"/>
      <c r="J574" s="9"/>
      <c r="K574" s="9"/>
      <c r="L574" s="9"/>
      <c r="M574" s="9"/>
    </row>
    <row r="575" spans="1:13" ht="33.75">
      <c r="A575" s="15" t="s">
        <v>540</v>
      </c>
      <c r="B575" s="10" t="s">
        <v>23</v>
      </c>
      <c r="C575" s="10" t="s">
        <v>4</v>
      </c>
      <c r="D575" s="18" t="s">
        <v>541</v>
      </c>
      <c r="E575" s="9"/>
      <c r="F575" s="9"/>
      <c r="G575" s="9"/>
      <c r="H575" s="9"/>
      <c r="I575" s="9"/>
      <c r="J575" s="9"/>
      <c r="K575" s="20">
        <v>1</v>
      </c>
      <c r="L575" s="23">
        <v>0</v>
      </c>
      <c r="M575" s="17">
        <f>ROUND(K575*L575,2)</f>
        <v>0</v>
      </c>
    </row>
    <row r="576" spans="1:13">
      <c r="A576" s="9"/>
      <c r="B576" s="9"/>
      <c r="C576" s="9"/>
      <c r="D576" s="18" t="s">
        <v>542</v>
      </c>
      <c r="E576" s="9"/>
      <c r="F576" s="9"/>
      <c r="G576" s="9"/>
      <c r="H576" s="9"/>
      <c r="I576" s="9"/>
      <c r="J576" s="9"/>
      <c r="K576" s="9"/>
      <c r="L576" s="9"/>
      <c r="M576" s="9"/>
    </row>
    <row r="577" spans="1:13">
      <c r="A577" s="9"/>
      <c r="B577" s="9"/>
      <c r="C577" s="9"/>
      <c r="D577" s="30"/>
      <c r="E577" s="9"/>
      <c r="F577" s="9"/>
      <c r="G577" s="9"/>
      <c r="H577" s="9"/>
      <c r="I577" s="9"/>
      <c r="J577" s="21" t="s">
        <v>543</v>
      </c>
      <c r="K577" s="20">
        <v>1</v>
      </c>
      <c r="L577" s="24">
        <f>M565+M567+M569+M571+M573+M575</f>
        <v>0</v>
      </c>
      <c r="M577" s="24">
        <f>ROUND(K577*L577,2)</f>
        <v>0</v>
      </c>
    </row>
    <row r="578" spans="1:13" ht="0.95" customHeight="1">
      <c r="A578" s="25"/>
      <c r="B578" s="25"/>
      <c r="C578" s="25"/>
      <c r="D578" s="31"/>
      <c r="E578" s="25"/>
      <c r="F578" s="25"/>
      <c r="G578" s="25"/>
      <c r="H578" s="25"/>
      <c r="I578" s="25"/>
      <c r="J578" s="25"/>
      <c r="K578" s="25"/>
      <c r="L578" s="25"/>
      <c r="M578" s="25"/>
    </row>
    <row r="579" spans="1:13">
      <c r="A579" s="11" t="s">
        <v>544</v>
      </c>
      <c r="B579" s="11" t="s">
        <v>16</v>
      </c>
      <c r="C579" s="11" t="s">
        <v>17</v>
      </c>
      <c r="D579" s="29" t="s">
        <v>545</v>
      </c>
      <c r="E579" s="12"/>
      <c r="F579" s="12"/>
      <c r="G579" s="12"/>
      <c r="H579" s="12"/>
      <c r="I579" s="12"/>
      <c r="J579" s="12"/>
      <c r="K579" s="13">
        <f>K612</f>
        <v>1</v>
      </c>
      <c r="L579" s="14">
        <f>L612</f>
        <v>0</v>
      </c>
      <c r="M579" s="14">
        <f>M612</f>
        <v>0</v>
      </c>
    </row>
    <row r="580" spans="1:13">
      <c r="A580" s="9"/>
      <c r="B580" s="9"/>
      <c r="C580" s="9"/>
      <c r="D580" s="18" t="s">
        <v>546</v>
      </c>
      <c r="E580" s="9"/>
      <c r="F580" s="9"/>
      <c r="G580" s="9"/>
      <c r="H580" s="9"/>
      <c r="I580" s="9"/>
      <c r="J580" s="9"/>
      <c r="K580" s="9"/>
      <c r="L580" s="9"/>
      <c r="M580" s="9"/>
    </row>
    <row r="581" spans="1:13" ht="22.5">
      <c r="A581" s="15" t="s">
        <v>547</v>
      </c>
      <c r="B581" s="10" t="s">
        <v>23</v>
      </c>
      <c r="C581" s="10" t="s">
        <v>4</v>
      </c>
      <c r="D581" s="18" t="s">
        <v>548</v>
      </c>
      <c r="E581" s="9"/>
      <c r="F581" s="9"/>
      <c r="G581" s="9"/>
      <c r="H581" s="9"/>
      <c r="I581" s="9"/>
      <c r="J581" s="9"/>
      <c r="K581" s="16">
        <f>K584</f>
        <v>1</v>
      </c>
      <c r="L581" s="17">
        <f>L584</f>
        <v>0</v>
      </c>
      <c r="M581" s="17">
        <f>M584</f>
        <v>0</v>
      </c>
    </row>
    <row r="582" spans="1:13">
      <c r="A582" s="9"/>
      <c r="B582" s="9"/>
      <c r="C582" s="9"/>
      <c r="D582" s="18" t="s">
        <v>549</v>
      </c>
      <c r="E582" s="9"/>
      <c r="F582" s="9"/>
      <c r="G582" s="9"/>
      <c r="H582" s="9"/>
      <c r="I582" s="9"/>
      <c r="J582" s="9"/>
      <c r="K582" s="9"/>
      <c r="L582" s="9"/>
      <c r="M582" s="9"/>
    </row>
    <row r="583" spans="1:13">
      <c r="A583" s="9"/>
      <c r="B583" s="9"/>
      <c r="C583" s="10" t="s">
        <v>27</v>
      </c>
      <c r="D583" s="30"/>
      <c r="E583" s="10" t="s">
        <v>286</v>
      </c>
      <c r="F583" s="19">
        <v>1</v>
      </c>
      <c r="G583" s="20">
        <v>0</v>
      </c>
      <c r="H583" s="20">
        <v>0</v>
      </c>
      <c r="I583" s="20">
        <v>0</v>
      </c>
      <c r="J583" s="16">
        <f>OR(F583&lt;&gt;0,G583&lt;&gt;0,H583&lt;&gt;0,I583&lt;&gt;0)*(F583 + (F583 = 0))*(G583 + (G583 = 0))*(H583 + (H583 = 0))*(I583 + (I583 = 0))</f>
        <v>1</v>
      </c>
      <c r="K583" s="9"/>
      <c r="L583" s="9"/>
      <c r="M583" s="9"/>
    </row>
    <row r="584" spans="1:13">
      <c r="A584" s="9"/>
      <c r="B584" s="9"/>
      <c r="C584" s="9"/>
      <c r="D584" s="30"/>
      <c r="E584" s="9"/>
      <c r="F584" s="9"/>
      <c r="G584" s="9"/>
      <c r="H584" s="9"/>
      <c r="I584" s="9"/>
      <c r="J584" s="21" t="s">
        <v>550</v>
      </c>
      <c r="K584" s="22">
        <f>J583</f>
        <v>1</v>
      </c>
      <c r="L584" s="23">
        <v>0</v>
      </c>
      <c r="M584" s="24">
        <f>ROUND(K584*L584,2)</f>
        <v>0</v>
      </c>
    </row>
    <row r="585" spans="1:13" ht="0.95" customHeight="1">
      <c r="A585" s="25"/>
      <c r="B585" s="25"/>
      <c r="C585" s="25"/>
      <c r="D585" s="31"/>
      <c r="E585" s="25"/>
      <c r="F585" s="25"/>
      <c r="G585" s="25"/>
      <c r="H585" s="25"/>
      <c r="I585" s="25"/>
      <c r="J585" s="25"/>
      <c r="K585" s="25"/>
      <c r="L585" s="25"/>
      <c r="M585" s="25"/>
    </row>
    <row r="586" spans="1:13" ht="22.5">
      <c r="A586" s="15" t="s">
        <v>551</v>
      </c>
      <c r="B586" s="10" t="s">
        <v>23</v>
      </c>
      <c r="C586" s="10" t="s">
        <v>4</v>
      </c>
      <c r="D586" s="18" t="s">
        <v>552</v>
      </c>
      <c r="E586" s="9"/>
      <c r="F586" s="9"/>
      <c r="G586" s="9"/>
      <c r="H586" s="9"/>
      <c r="I586" s="9"/>
      <c r="J586" s="9"/>
      <c r="K586" s="16">
        <f>K589</f>
        <v>1</v>
      </c>
      <c r="L586" s="17">
        <f>L589</f>
        <v>0</v>
      </c>
      <c r="M586" s="17">
        <f>M589</f>
        <v>0</v>
      </c>
    </row>
    <row r="587" spans="1:13">
      <c r="A587" s="9"/>
      <c r="B587" s="9"/>
      <c r="C587" s="9"/>
      <c r="D587" s="18" t="s">
        <v>553</v>
      </c>
      <c r="E587" s="9"/>
      <c r="F587" s="9"/>
      <c r="G587" s="9"/>
      <c r="H587" s="9"/>
      <c r="I587" s="9"/>
      <c r="J587" s="9"/>
      <c r="K587" s="9"/>
      <c r="L587" s="9"/>
      <c r="M587" s="9"/>
    </row>
    <row r="588" spans="1:13">
      <c r="A588" s="9"/>
      <c r="B588" s="9"/>
      <c r="C588" s="10" t="s">
        <v>27</v>
      </c>
      <c r="D588" s="30"/>
      <c r="E588" s="10" t="s">
        <v>300</v>
      </c>
      <c r="F588" s="19">
        <v>1</v>
      </c>
      <c r="G588" s="20">
        <v>0</v>
      </c>
      <c r="H588" s="20">
        <v>0</v>
      </c>
      <c r="I588" s="20">
        <v>0</v>
      </c>
      <c r="J588" s="16">
        <f>OR(F588&lt;&gt;0,G588&lt;&gt;0,H588&lt;&gt;0,I588&lt;&gt;0)*(F588 + (F588 = 0))*(G588 + (G588 = 0))*(H588 + (H588 = 0))*(I588 + (I588 = 0))</f>
        <v>1</v>
      </c>
      <c r="K588" s="9"/>
      <c r="L588" s="9"/>
      <c r="M588" s="9"/>
    </row>
    <row r="589" spans="1:13">
      <c r="A589" s="9"/>
      <c r="B589" s="9"/>
      <c r="C589" s="9"/>
      <c r="D589" s="30"/>
      <c r="E589" s="9"/>
      <c r="F589" s="9"/>
      <c r="G589" s="9"/>
      <c r="H589" s="9"/>
      <c r="I589" s="9"/>
      <c r="J589" s="21" t="s">
        <v>554</v>
      </c>
      <c r="K589" s="22">
        <f>J588</f>
        <v>1</v>
      </c>
      <c r="L589" s="23">
        <v>0</v>
      </c>
      <c r="M589" s="24">
        <f>ROUND(K589*L589,2)</f>
        <v>0</v>
      </c>
    </row>
    <row r="590" spans="1:13" ht="0.95" customHeight="1">
      <c r="A590" s="25"/>
      <c r="B590" s="25"/>
      <c r="C590" s="25"/>
      <c r="D590" s="31"/>
      <c r="E590" s="25"/>
      <c r="F590" s="25"/>
      <c r="G590" s="25"/>
      <c r="H590" s="25"/>
      <c r="I590" s="25"/>
      <c r="J590" s="25"/>
      <c r="K590" s="25"/>
      <c r="L590" s="25"/>
      <c r="M590" s="25"/>
    </row>
    <row r="591" spans="1:13" ht="22.5">
      <c r="A591" s="15" t="s">
        <v>555</v>
      </c>
      <c r="B591" s="10" t="s">
        <v>23</v>
      </c>
      <c r="C591" s="10" t="s">
        <v>4</v>
      </c>
      <c r="D591" s="18" t="s">
        <v>556</v>
      </c>
      <c r="E591" s="9"/>
      <c r="F591" s="9"/>
      <c r="G591" s="9"/>
      <c r="H591" s="9"/>
      <c r="I591" s="9"/>
      <c r="J591" s="9"/>
      <c r="K591" s="16">
        <f>K595</f>
        <v>2</v>
      </c>
      <c r="L591" s="17">
        <f>L595</f>
        <v>0</v>
      </c>
      <c r="M591" s="17">
        <f>M595</f>
        <v>0</v>
      </c>
    </row>
    <row r="592" spans="1:13">
      <c r="A592" s="9"/>
      <c r="B592" s="9"/>
      <c r="C592" s="9"/>
      <c r="D592" s="18" t="s">
        <v>557</v>
      </c>
      <c r="E592" s="9"/>
      <c r="F592" s="9"/>
      <c r="G592" s="9"/>
      <c r="H592" s="9"/>
      <c r="I592" s="9"/>
      <c r="J592" s="9"/>
      <c r="K592" s="9"/>
      <c r="L592" s="9"/>
      <c r="M592" s="9"/>
    </row>
    <row r="593" spans="1:13">
      <c r="A593" s="9"/>
      <c r="B593" s="9"/>
      <c r="C593" s="10" t="s">
        <v>27</v>
      </c>
      <c r="D593" s="30"/>
      <c r="E593" s="10" t="s">
        <v>558</v>
      </c>
      <c r="F593" s="19">
        <v>1</v>
      </c>
      <c r="G593" s="20">
        <v>0</v>
      </c>
      <c r="H593" s="20">
        <v>0</v>
      </c>
      <c r="I593" s="20">
        <v>0</v>
      </c>
      <c r="J593" s="16">
        <f>OR(F593&lt;&gt;0,G593&lt;&gt;0,H593&lt;&gt;0,I593&lt;&gt;0)*(F593 + (F593 = 0))*(G593 + (G593 = 0))*(H593 + (H593 = 0))*(I593 + (I593 = 0))</f>
        <v>1</v>
      </c>
      <c r="K593" s="9"/>
      <c r="L593" s="9"/>
      <c r="M593" s="9"/>
    </row>
    <row r="594" spans="1:13">
      <c r="A594" s="9"/>
      <c r="B594" s="9"/>
      <c r="C594" s="10" t="s">
        <v>27</v>
      </c>
      <c r="D594" s="30"/>
      <c r="E594" s="10" t="s">
        <v>559</v>
      </c>
      <c r="F594" s="19">
        <v>1</v>
      </c>
      <c r="G594" s="20">
        <v>0</v>
      </c>
      <c r="H594" s="20">
        <v>0</v>
      </c>
      <c r="I594" s="20">
        <v>0</v>
      </c>
      <c r="J594" s="16">
        <f>OR(F594&lt;&gt;0,G594&lt;&gt;0,H594&lt;&gt;0,I594&lt;&gt;0)*(F594 + (F594 = 0))*(G594 + (G594 = 0))*(H594 + (H594 = 0))*(I594 + (I594 = 0))</f>
        <v>1</v>
      </c>
      <c r="K594" s="9"/>
      <c r="L594" s="9"/>
      <c r="M594" s="9"/>
    </row>
    <row r="595" spans="1:13">
      <c r="A595" s="9"/>
      <c r="B595" s="9"/>
      <c r="C595" s="9"/>
      <c r="D595" s="30"/>
      <c r="E595" s="9"/>
      <c r="F595" s="9"/>
      <c r="G595" s="9"/>
      <c r="H595" s="9"/>
      <c r="I595" s="9"/>
      <c r="J595" s="21" t="s">
        <v>560</v>
      </c>
      <c r="K595" s="22">
        <f>SUM(J593:J594)</f>
        <v>2</v>
      </c>
      <c r="L595" s="23">
        <v>0</v>
      </c>
      <c r="M595" s="24">
        <f>ROUND(K595*L595,2)</f>
        <v>0</v>
      </c>
    </row>
    <row r="596" spans="1:13" ht="0.95" customHeight="1">
      <c r="A596" s="25"/>
      <c r="B596" s="25"/>
      <c r="C596" s="25"/>
      <c r="D596" s="31"/>
      <c r="E596" s="25"/>
      <c r="F596" s="25"/>
      <c r="G596" s="25"/>
      <c r="H596" s="25"/>
      <c r="I596" s="25"/>
      <c r="J596" s="25"/>
      <c r="K596" s="25"/>
      <c r="L596" s="25"/>
      <c r="M596" s="25"/>
    </row>
    <row r="597" spans="1:13" ht="22.5">
      <c r="A597" s="15" t="s">
        <v>561</v>
      </c>
      <c r="B597" s="10" t="s">
        <v>23</v>
      </c>
      <c r="C597" s="10" t="s">
        <v>4</v>
      </c>
      <c r="D597" s="18" t="s">
        <v>562</v>
      </c>
      <c r="E597" s="9"/>
      <c r="F597" s="9"/>
      <c r="G597" s="9"/>
      <c r="H597" s="9"/>
      <c r="I597" s="9"/>
      <c r="J597" s="9"/>
      <c r="K597" s="16">
        <f>K600</f>
        <v>1</v>
      </c>
      <c r="L597" s="17">
        <f>L600</f>
        <v>0</v>
      </c>
      <c r="M597" s="17">
        <f>M600</f>
        <v>0</v>
      </c>
    </row>
    <row r="598" spans="1:13">
      <c r="A598" s="9"/>
      <c r="B598" s="9"/>
      <c r="C598" s="9"/>
      <c r="D598" s="18" t="s">
        <v>563</v>
      </c>
      <c r="E598" s="9"/>
      <c r="F598" s="9"/>
      <c r="G598" s="9"/>
      <c r="H598" s="9"/>
      <c r="I598" s="9"/>
      <c r="J598" s="9"/>
      <c r="K598" s="9"/>
      <c r="L598" s="9"/>
      <c r="M598" s="9"/>
    </row>
    <row r="599" spans="1:13">
      <c r="A599" s="9"/>
      <c r="B599" s="9"/>
      <c r="C599" s="10" t="s">
        <v>27</v>
      </c>
      <c r="D599" s="30"/>
      <c r="E599" s="10" t="s">
        <v>564</v>
      </c>
      <c r="F599" s="19">
        <v>1</v>
      </c>
      <c r="G599" s="20">
        <v>0</v>
      </c>
      <c r="H599" s="20">
        <v>0</v>
      </c>
      <c r="I599" s="20">
        <v>0</v>
      </c>
      <c r="J599" s="16">
        <f>OR(F599&lt;&gt;0,G599&lt;&gt;0,H599&lt;&gt;0,I599&lt;&gt;0)*(F599 + (F599 = 0))*(G599 + (G599 = 0))*(H599 + (H599 = 0))*(I599 + (I599 = 0))</f>
        <v>1</v>
      </c>
      <c r="K599" s="9"/>
      <c r="L599" s="9"/>
      <c r="M599" s="9"/>
    </row>
    <row r="600" spans="1:13">
      <c r="A600" s="9"/>
      <c r="B600" s="9"/>
      <c r="C600" s="9"/>
      <c r="D600" s="30"/>
      <c r="E600" s="9"/>
      <c r="F600" s="9"/>
      <c r="G600" s="9"/>
      <c r="H600" s="9"/>
      <c r="I600" s="9"/>
      <c r="J600" s="21" t="s">
        <v>565</v>
      </c>
      <c r="K600" s="22">
        <f>J599</f>
        <v>1</v>
      </c>
      <c r="L600" s="23">
        <v>0</v>
      </c>
      <c r="M600" s="24">
        <f>ROUND(K600*L600,2)</f>
        <v>0</v>
      </c>
    </row>
    <row r="601" spans="1:13" ht="0.95" customHeight="1">
      <c r="A601" s="25"/>
      <c r="B601" s="25"/>
      <c r="C601" s="25"/>
      <c r="D601" s="31"/>
      <c r="E601" s="25"/>
      <c r="F601" s="25"/>
      <c r="G601" s="25"/>
      <c r="H601" s="25"/>
      <c r="I601" s="25"/>
      <c r="J601" s="25"/>
      <c r="K601" s="25"/>
      <c r="L601" s="25"/>
      <c r="M601" s="25"/>
    </row>
    <row r="602" spans="1:13">
      <c r="A602" s="15" t="s">
        <v>566</v>
      </c>
      <c r="B602" s="10" t="s">
        <v>23</v>
      </c>
      <c r="C602" s="10" t="s">
        <v>94</v>
      </c>
      <c r="D602" s="18" t="s">
        <v>567</v>
      </c>
      <c r="E602" s="9"/>
      <c r="F602" s="9"/>
      <c r="G602" s="9"/>
      <c r="H602" s="9"/>
      <c r="I602" s="9"/>
      <c r="J602" s="9"/>
      <c r="K602" s="16">
        <f>K605</f>
        <v>6.12</v>
      </c>
      <c r="L602" s="17">
        <f>L605</f>
        <v>0</v>
      </c>
      <c r="M602" s="17">
        <f>M605</f>
        <v>0</v>
      </c>
    </row>
    <row r="603" spans="1:13">
      <c r="A603" s="9"/>
      <c r="B603" s="9"/>
      <c r="C603" s="9"/>
      <c r="D603" s="18" t="s">
        <v>568</v>
      </c>
      <c r="E603" s="9"/>
      <c r="F603" s="9"/>
      <c r="G603" s="9"/>
      <c r="H603" s="9"/>
      <c r="I603" s="9"/>
      <c r="J603" s="9"/>
      <c r="K603" s="9"/>
      <c r="L603" s="9"/>
      <c r="M603" s="9"/>
    </row>
    <row r="604" spans="1:13">
      <c r="A604" s="9"/>
      <c r="B604" s="9"/>
      <c r="C604" s="10" t="s">
        <v>27</v>
      </c>
      <c r="D604" s="30"/>
      <c r="E604" s="10" t="s">
        <v>366</v>
      </c>
      <c r="F604" s="19">
        <v>1</v>
      </c>
      <c r="G604" s="23">
        <v>0</v>
      </c>
      <c r="H604" s="23">
        <v>2.5499999999999998</v>
      </c>
      <c r="I604" s="23">
        <v>2.4</v>
      </c>
      <c r="J604" s="17">
        <f>OR(F604&lt;&gt;0,G604&lt;&gt;0,H604&lt;&gt;0,I604&lt;&gt;0)*(F604 + (F604 = 0))*(G604 + (G604 = 0))*(H604 + (H604 = 0))*(I604 + (I604 = 0))</f>
        <v>6.12</v>
      </c>
      <c r="K604" s="9"/>
      <c r="L604" s="9"/>
      <c r="M604" s="9"/>
    </row>
    <row r="605" spans="1:13">
      <c r="A605" s="9"/>
      <c r="B605" s="9"/>
      <c r="C605" s="9"/>
      <c r="D605" s="30"/>
      <c r="E605" s="9"/>
      <c r="F605" s="9"/>
      <c r="G605" s="9"/>
      <c r="H605" s="9"/>
      <c r="I605" s="9"/>
      <c r="J605" s="21" t="s">
        <v>569</v>
      </c>
      <c r="K605" s="22">
        <f>J604</f>
        <v>6.12</v>
      </c>
      <c r="L605" s="23">
        <v>0</v>
      </c>
      <c r="M605" s="24">
        <f>ROUND(K605*L605,2)</f>
        <v>0</v>
      </c>
    </row>
    <row r="606" spans="1:13" ht="0.95" customHeight="1">
      <c r="A606" s="25"/>
      <c r="B606" s="25"/>
      <c r="C606" s="25"/>
      <c r="D606" s="31"/>
      <c r="E606" s="25"/>
      <c r="F606" s="25"/>
      <c r="G606" s="25"/>
      <c r="H606" s="25"/>
      <c r="I606" s="25"/>
      <c r="J606" s="25"/>
      <c r="K606" s="25"/>
      <c r="L606" s="25"/>
      <c r="M606" s="25"/>
    </row>
    <row r="607" spans="1:13" ht="22.5">
      <c r="A607" s="15" t="s">
        <v>570</v>
      </c>
      <c r="B607" s="10" t="s">
        <v>23</v>
      </c>
      <c r="C607" s="10" t="s">
        <v>4</v>
      </c>
      <c r="D607" s="18" t="s">
        <v>571</v>
      </c>
      <c r="E607" s="9"/>
      <c r="F607" s="9"/>
      <c r="G607" s="9"/>
      <c r="H607" s="9"/>
      <c r="I607" s="9"/>
      <c r="J607" s="9"/>
      <c r="K607" s="16">
        <f>K610</f>
        <v>1</v>
      </c>
      <c r="L607" s="17">
        <f>L610</f>
        <v>0</v>
      </c>
      <c r="M607" s="17">
        <f>M610</f>
        <v>0</v>
      </c>
    </row>
    <row r="608" spans="1:13">
      <c r="A608" s="9"/>
      <c r="B608" s="9"/>
      <c r="C608" s="9"/>
      <c r="D608" s="18" t="s">
        <v>572</v>
      </c>
      <c r="E608" s="9"/>
      <c r="F608" s="9"/>
      <c r="G608" s="9"/>
      <c r="H608" s="9"/>
      <c r="I608" s="9"/>
      <c r="J608" s="9"/>
      <c r="K608" s="9"/>
      <c r="L608" s="9"/>
      <c r="M608" s="9"/>
    </row>
    <row r="609" spans="1:13">
      <c r="A609" s="9"/>
      <c r="B609" s="9"/>
      <c r="C609" s="10" t="s">
        <v>27</v>
      </c>
      <c r="D609" s="30"/>
      <c r="E609" s="10" t="s">
        <v>435</v>
      </c>
      <c r="F609" s="19">
        <v>1</v>
      </c>
      <c r="G609" s="23">
        <v>0</v>
      </c>
      <c r="H609" s="23">
        <v>0</v>
      </c>
      <c r="I609" s="23">
        <v>0</v>
      </c>
      <c r="J609" s="17">
        <f>OR(F609&lt;&gt;0,G609&lt;&gt;0,H609&lt;&gt;0,I609&lt;&gt;0)*(F609 + (F609 = 0))*(G609 + (G609 = 0))*(H609 + (H609 = 0))*(I609 + (I609 = 0))</f>
        <v>1</v>
      </c>
      <c r="K609" s="9"/>
      <c r="L609" s="9"/>
      <c r="M609" s="9"/>
    </row>
    <row r="610" spans="1:13">
      <c r="A610" s="9"/>
      <c r="B610" s="9"/>
      <c r="C610" s="9"/>
      <c r="D610" s="30"/>
      <c r="E610" s="9"/>
      <c r="F610" s="9"/>
      <c r="G610" s="9"/>
      <c r="H610" s="9"/>
      <c r="I610" s="9"/>
      <c r="J610" s="21" t="s">
        <v>573</v>
      </c>
      <c r="K610" s="22">
        <f>J609</f>
        <v>1</v>
      </c>
      <c r="L610" s="23">
        <v>0</v>
      </c>
      <c r="M610" s="24">
        <f>ROUND(K610*L610,2)</f>
        <v>0</v>
      </c>
    </row>
    <row r="611" spans="1:13" ht="0.95" customHeight="1">
      <c r="A611" s="25"/>
      <c r="B611" s="25"/>
      <c r="C611" s="25"/>
      <c r="D611" s="31"/>
      <c r="E611" s="25"/>
      <c r="F611" s="25"/>
      <c r="G611" s="25"/>
      <c r="H611" s="25"/>
      <c r="I611" s="25"/>
      <c r="J611" s="25"/>
      <c r="K611" s="25"/>
      <c r="L611" s="25"/>
      <c r="M611" s="25"/>
    </row>
    <row r="612" spans="1:13">
      <c r="A612" s="9"/>
      <c r="B612" s="9"/>
      <c r="C612" s="9"/>
      <c r="D612" s="30"/>
      <c r="E612" s="9"/>
      <c r="F612" s="9"/>
      <c r="G612" s="9"/>
      <c r="H612" s="9"/>
      <c r="I612" s="9"/>
      <c r="J612" s="21" t="s">
        <v>574</v>
      </c>
      <c r="K612" s="20">
        <v>1</v>
      </c>
      <c r="L612" s="24">
        <f>M581+M586+M591+M597+M602+M607</f>
        <v>0</v>
      </c>
      <c r="M612" s="24">
        <f>ROUND(K612*L612,2)</f>
        <v>0</v>
      </c>
    </row>
    <row r="613" spans="1:13" ht="0.95" customHeight="1">
      <c r="A613" s="25"/>
      <c r="B613" s="25"/>
      <c r="C613" s="25"/>
      <c r="D613" s="31"/>
      <c r="E613" s="25"/>
      <c r="F613" s="25"/>
      <c r="G613" s="25"/>
      <c r="H613" s="25"/>
      <c r="I613" s="25"/>
      <c r="J613" s="25"/>
      <c r="K613" s="25"/>
      <c r="L613" s="25"/>
      <c r="M613" s="25"/>
    </row>
    <row r="614" spans="1:13">
      <c r="A614" s="11" t="s">
        <v>575</v>
      </c>
      <c r="B614" s="11" t="s">
        <v>16</v>
      </c>
      <c r="C614" s="11" t="s">
        <v>17</v>
      </c>
      <c r="D614" s="29" t="s">
        <v>576</v>
      </c>
      <c r="E614" s="12"/>
      <c r="F614" s="12"/>
      <c r="G614" s="12"/>
      <c r="H614" s="12"/>
      <c r="I614" s="12"/>
      <c r="J614" s="12"/>
      <c r="K614" s="13">
        <f>K689</f>
        <v>1</v>
      </c>
      <c r="L614" s="14">
        <f>L689</f>
        <v>0</v>
      </c>
      <c r="M614" s="14">
        <f>M689</f>
        <v>0</v>
      </c>
    </row>
    <row r="615" spans="1:13" ht="22.5">
      <c r="A615" s="15" t="s">
        <v>577</v>
      </c>
      <c r="B615" s="10" t="s">
        <v>23</v>
      </c>
      <c r="C615" s="10" t="s">
        <v>94</v>
      </c>
      <c r="D615" s="18" t="s">
        <v>578</v>
      </c>
      <c r="E615" s="9"/>
      <c r="F615" s="9"/>
      <c r="G615" s="9"/>
      <c r="H615" s="9"/>
      <c r="I615" s="9"/>
      <c r="J615" s="9"/>
      <c r="K615" s="16">
        <f>K620</f>
        <v>5.51</v>
      </c>
      <c r="L615" s="17">
        <f>L620</f>
        <v>0</v>
      </c>
      <c r="M615" s="17">
        <f>M620</f>
        <v>0</v>
      </c>
    </row>
    <row r="616" spans="1:13">
      <c r="A616" s="9"/>
      <c r="B616" s="9"/>
      <c r="C616" s="9"/>
      <c r="D616" s="18" t="s">
        <v>579</v>
      </c>
      <c r="E616" s="9"/>
      <c r="F616" s="9"/>
      <c r="G616" s="9"/>
      <c r="H616" s="9"/>
      <c r="I616" s="9"/>
      <c r="J616" s="9"/>
      <c r="K616" s="9"/>
      <c r="L616" s="9"/>
      <c r="M616" s="9"/>
    </row>
    <row r="617" spans="1:13">
      <c r="A617" s="9"/>
      <c r="B617" s="9"/>
      <c r="C617" s="10" t="s">
        <v>27</v>
      </c>
      <c r="D617" s="30"/>
      <c r="E617" s="10" t="s">
        <v>285</v>
      </c>
      <c r="F617" s="19">
        <v>1</v>
      </c>
      <c r="G617" s="23">
        <v>0</v>
      </c>
      <c r="H617" s="23">
        <v>0.84</v>
      </c>
      <c r="I617" s="23">
        <v>2.37</v>
      </c>
      <c r="J617" s="17">
        <f>OR(F617&lt;&gt;0,G617&lt;&gt;0,H617&lt;&gt;0,I617&lt;&gt;0)*(F617 + (F617 = 0))*(G617 + (G617 = 0))*(H617 + (H617 = 0))*(I617 + (I617 = 0))</f>
        <v>1.99</v>
      </c>
      <c r="K617" s="9"/>
      <c r="L617" s="9"/>
      <c r="M617" s="9"/>
    </row>
    <row r="618" spans="1:13">
      <c r="A618" s="9"/>
      <c r="B618" s="9"/>
      <c r="C618" s="10" t="s">
        <v>27</v>
      </c>
      <c r="D618" s="30"/>
      <c r="E618" s="10" t="s">
        <v>17</v>
      </c>
      <c r="F618" s="19">
        <v>1</v>
      </c>
      <c r="G618" s="23">
        <v>0</v>
      </c>
      <c r="H618" s="23">
        <v>0.25</v>
      </c>
      <c r="I618" s="23">
        <v>2.37</v>
      </c>
      <c r="J618" s="17">
        <f>OR(F618&lt;&gt;0,G618&lt;&gt;0,H618&lt;&gt;0,I618&lt;&gt;0)*(F618 + (F618 = 0))*(G618 + (G618 = 0))*(H618 + (H618 = 0))*(I618 + (I618 = 0))</f>
        <v>0.59</v>
      </c>
      <c r="K618" s="9"/>
      <c r="L618" s="9"/>
      <c r="M618" s="9"/>
    </row>
    <row r="619" spans="1:13">
      <c r="A619" s="9"/>
      <c r="B619" s="9"/>
      <c r="C619" s="10" t="s">
        <v>27</v>
      </c>
      <c r="D619" s="30"/>
      <c r="E619" s="10" t="s">
        <v>295</v>
      </c>
      <c r="F619" s="19">
        <v>2</v>
      </c>
      <c r="G619" s="23">
        <v>0</v>
      </c>
      <c r="H619" s="23">
        <v>0.99</v>
      </c>
      <c r="I619" s="23">
        <v>1.48</v>
      </c>
      <c r="J619" s="17">
        <f>OR(F619&lt;&gt;0,G619&lt;&gt;0,H619&lt;&gt;0,I619&lt;&gt;0)*(F619 + (F619 = 0))*(G619 + (G619 = 0))*(H619 + (H619 = 0))*(I619 + (I619 = 0))</f>
        <v>2.93</v>
      </c>
      <c r="K619" s="9"/>
      <c r="L619" s="9"/>
      <c r="M619" s="9"/>
    </row>
    <row r="620" spans="1:13">
      <c r="A620" s="9"/>
      <c r="B620" s="9"/>
      <c r="C620" s="9"/>
      <c r="D620" s="30"/>
      <c r="E620" s="9"/>
      <c r="F620" s="9"/>
      <c r="G620" s="9"/>
      <c r="H620" s="9"/>
      <c r="I620" s="9"/>
      <c r="J620" s="21" t="s">
        <v>580</v>
      </c>
      <c r="K620" s="22">
        <f>SUM(J617:J619)</f>
        <v>5.51</v>
      </c>
      <c r="L620" s="23">
        <v>0</v>
      </c>
      <c r="M620" s="24">
        <f>ROUND(K620*L620,2)</f>
        <v>0</v>
      </c>
    </row>
    <row r="621" spans="1:13" ht="0.95" customHeight="1">
      <c r="A621" s="25"/>
      <c r="B621" s="25"/>
      <c r="C621" s="25"/>
      <c r="D621" s="31"/>
      <c r="E621" s="25"/>
      <c r="F621" s="25"/>
      <c r="G621" s="25"/>
      <c r="H621" s="25"/>
      <c r="I621" s="25"/>
      <c r="J621" s="25"/>
      <c r="K621" s="25"/>
      <c r="L621" s="25"/>
      <c r="M621" s="25"/>
    </row>
    <row r="622" spans="1:13" ht="22.5">
      <c r="A622" s="15" t="s">
        <v>581</v>
      </c>
      <c r="B622" s="10" t="s">
        <v>23</v>
      </c>
      <c r="C622" s="10" t="s">
        <v>94</v>
      </c>
      <c r="D622" s="18" t="s">
        <v>582</v>
      </c>
      <c r="E622" s="9"/>
      <c r="F622" s="9"/>
      <c r="G622" s="9"/>
      <c r="H622" s="9"/>
      <c r="I622" s="9"/>
      <c r="J622" s="9"/>
      <c r="K622" s="16">
        <f>K627</f>
        <v>7.89</v>
      </c>
      <c r="L622" s="17">
        <f>L627</f>
        <v>0</v>
      </c>
      <c r="M622" s="17">
        <f>M627</f>
        <v>0</v>
      </c>
    </row>
    <row r="623" spans="1:13">
      <c r="A623" s="9"/>
      <c r="B623" s="9"/>
      <c r="C623" s="9"/>
      <c r="D623" s="18" t="s">
        <v>583</v>
      </c>
      <c r="E623" s="9"/>
      <c r="F623" s="9"/>
      <c r="G623" s="9"/>
      <c r="H623" s="9"/>
      <c r="I623" s="9"/>
      <c r="J623" s="9"/>
      <c r="K623" s="9"/>
      <c r="L623" s="9"/>
      <c r="M623" s="9"/>
    </row>
    <row r="624" spans="1:13">
      <c r="A624" s="9"/>
      <c r="B624" s="9"/>
      <c r="C624" s="10" t="s">
        <v>27</v>
      </c>
      <c r="D624" s="30"/>
      <c r="E624" s="10" t="s">
        <v>286</v>
      </c>
      <c r="F624" s="19">
        <v>1</v>
      </c>
      <c r="G624" s="23">
        <v>0</v>
      </c>
      <c r="H624" s="23">
        <v>0.25</v>
      </c>
      <c r="I624" s="23">
        <v>2.35</v>
      </c>
      <c r="J624" s="17">
        <f>OR(F624&lt;&gt;0,G624&lt;&gt;0,H624&lt;&gt;0,I624&lt;&gt;0)*(F624 + (F624 = 0))*(G624 + (G624 = 0))*(H624 + (H624 = 0))*(I624 + (I624 = 0))</f>
        <v>0.59</v>
      </c>
      <c r="K624" s="9"/>
      <c r="L624" s="9"/>
      <c r="M624" s="9"/>
    </row>
    <row r="625" spans="1:13">
      <c r="A625" s="9"/>
      <c r="B625" s="9"/>
      <c r="C625" s="10" t="s">
        <v>27</v>
      </c>
      <c r="D625" s="30"/>
      <c r="E625" s="10" t="s">
        <v>17</v>
      </c>
      <c r="F625" s="19">
        <v>1</v>
      </c>
      <c r="G625" s="23">
        <v>0</v>
      </c>
      <c r="H625" s="23">
        <v>0.83</v>
      </c>
      <c r="I625" s="23">
        <v>2.35</v>
      </c>
      <c r="J625" s="17">
        <f>OR(F625&lt;&gt;0,G625&lt;&gt;0,H625&lt;&gt;0,I625&lt;&gt;0)*(F625 + (F625 = 0))*(G625 + (G625 = 0))*(H625 + (H625 = 0))*(I625 + (I625 = 0))</f>
        <v>1.95</v>
      </c>
      <c r="K625" s="9"/>
      <c r="L625" s="9"/>
      <c r="M625" s="9"/>
    </row>
    <row r="626" spans="1:13">
      <c r="A626" s="9"/>
      <c r="B626" s="9"/>
      <c r="C626" s="10" t="s">
        <v>27</v>
      </c>
      <c r="D626" s="30"/>
      <c r="E626" s="10" t="s">
        <v>300</v>
      </c>
      <c r="F626" s="19">
        <v>2</v>
      </c>
      <c r="G626" s="23">
        <v>0</v>
      </c>
      <c r="H626" s="23">
        <v>1.1200000000000001</v>
      </c>
      <c r="I626" s="23">
        <v>2.39</v>
      </c>
      <c r="J626" s="17">
        <f>OR(F626&lt;&gt;0,G626&lt;&gt;0,H626&lt;&gt;0,I626&lt;&gt;0)*(F626 + (F626 = 0))*(G626 + (G626 = 0))*(H626 + (H626 = 0))*(I626 + (I626 = 0))</f>
        <v>5.35</v>
      </c>
      <c r="K626" s="9"/>
      <c r="L626" s="9"/>
      <c r="M626" s="9"/>
    </row>
    <row r="627" spans="1:13">
      <c r="A627" s="9"/>
      <c r="B627" s="9"/>
      <c r="C627" s="9"/>
      <c r="D627" s="30"/>
      <c r="E627" s="9"/>
      <c r="F627" s="9"/>
      <c r="G627" s="9"/>
      <c r="H627" s="9"/>
      <c r="I627" s="9"/>
      <c r="J627" s="21" t="s">
        <v>584</v>
      </c>
      <c r="K627" s="22">
        <f>SUM(J624:J626)</f>
        <v>7.89</v>
      </c>
      <c r="L627" s="23">
        <v>0</v>
      </c>
      <c r="M627" s="24">
        <f>ROUND(K627*L627,2)</f>
        <v>0</v>
      </c>
    </row>
    <row r="628" spans="1:13" ht="0.95" customHeight="1">
      <c r="A628" s="25"/>
      <c r="B628" s="25"/>
      <c r="C628" s="25"/>
      <c r="D628" s="31"/>
      <c r="E628" s="25"/>
      <c r="F628" s="25"/>
      <c r="G628" s="25"/>
      <c r="H628" s="25"/>
      <c r="I628" s="25"/>
      <c r="J628" s="25"/>
      <c r="K628" s="25"/>
      <c r="L628" s="25"/>
      <c r="M628" s="25"/>
    </row>
    <row r="629" spans="1:13" ht="22.5">
      <c r="A629" s="15" t="s">
        <v>585</v>
      </c>
      <c r="B629" s="10" t="s">
        <v>23</v>
      </c>
      <c r="C629" s="10" t="s">
        <v>94</v>
      </c>
      <c r="D629" s="18" t="s">
        <v>586</v>
      </c>
      <c r="E629" s="9"/>
      <c r="F629" s="9"/>
      <c r="G629" s="9"/>
      <c r="H629" s="9"/>
      <c r="I629" s="9"/>
      <c r="J629" s="9"/>
      <c r="K629" s="16">
        <f>K637</f>
        <v>18.309999999999999</v>
      </c>
      <c r="L629" s="17">
        <f>L637</f>
        <v>0</v>
      </c>
      <c r="M629" s="17">
        <f>M637</f>
        <v>0</v>
      </c>
    </row>
    <row r="630" spans="1:13">
      <c r="A630" s="9"/>
      <c r="B630" s="9"/>
      <c r="C630" s="9"/>
      <c r="D630" s="18" t="s">
        <v>587</v>
      </c>
      <c r="E630" s="9"/>
      <c r="F630" s="9"/>
      <c r="G630" s="9"/>
      <c r="H630" s="9"/>
      <c r="I630" s="9"/>
      <c r="J630" s="9"/>
      <c r="K630" s="9"/>
      <c r="L630" s="9"/>
      <c r="M630" s="9"/>
    </row>
    <row r="631" spans="1:13">
      <c r="A631" s="9"/>
      <c r="B631" s="9"/>
      <c r="C631" s="10" t="s">
        <v>27</v>
      </c>
      <c r="D631" s="30"/>
      <c r="E631" s="10" t="s">
        <v>305</v>
      </c>
      <c r="F631" s="19">
        <v>1</v>
      </c>
      <c r="G631" s="23">
        <v>0</v>
      </c>
      <c r="H631" s="23">
        <v>0.67</v>
      </c>
      <c r="I631" s="23">
        <v>2.37</v>
      </c>
      <c r="J631" s="17">
        <f>OR(F631&lt;&gt;0,G631&lt;&gt;0,H631&lt;&gt;0,I631&lt;&gt;0)*(F631 + (F631 = 0))*(G631 + (G631 = 0))*(H631 + (H631 = 0))*(I631 + (I631 = 0))</f>
        <v>1.59</v>
      </c>
      <c r="K631" s="9"/>
      <c r="L631" s="9"/>
      <c r="M631" s="9"/>
    </row>
    <row r="632" spans="1:13">
      <c r="A632" s="9"/>
      <c r="B632" s="9"/>
      <c r="C632" s="10" t="s">
        <v>27</v>
      </c>
      <c r="D632" s="30"/>
      <c r="E632" s="10" t="s">
        <v>310</v>
      </c>
      <c r="F632" s="19">
        <v>1</v>
      </c>
      <c r="G632" s="23">
        <v>0</v>
      </c>
      <c r="H632" s="23">
        <v>1.33</v>
      </c>
      <c r="I632" s="23">
        <v>2.5099999999999998</v>
      </c>
      <c r="J632" s="17">
        <f>OR(F632&lt;&gt;0,G632&lt;&gt;0,H632&lt;&gt;0,I632&lt;&gt;0)*(F632 + (F632 = 0))*(G632 + (G632 = 0))*(H632 + (H632 = 0))*(I632 + (I632 = 0))</f>
        <v>3.34</v>
      </c>
      <c r="K632" s="9"/>
      <c r="L632" s="9"/>
      <c r="M632" s="9"/>
    </row>
    <row r="633" spans="1:13">
      <c r="A633" s="9"/>
      <c r="B633" s="9"/>
      <c r="C633" s="10" t="s">
        <v>27</v>
      </c>
      <c r="D633" s="30"/>
      <c r="E633" s="10" t="s">
        <v>315</v>
      </c>
      <c r="F633" s="19">
        <v>1</v>
      </c>
      <c r="G633" s="23">
        <v>0</v>
      </c>
      <c r="H633" s="23">
        <v>2.0299999999999998</v>
      </c>
      <c r="I633" s="23">
        <v>2.5</v>
      </c>
      <c r="J633" s="17">
        <f>OR(F633&lt;&gt;0,G633&lt;&gt;0,H633&lt;&gt;0,I633&lt;&gt;0)*(F633 + (F633 = 0))*(G633 + (G633 = 0))*(H633 + (H633 = 0))*(I633 + (I633 = 0))</f>
        <v>5.08</v>
      </c>
      <c r="K633" s="9"/>
      <c r="L633" s="9"/>
      <c r="M633" s="9"/>
    </row>
    <row r="634" spans="1:13">
      <c r="A634" s="9"/>
      <c r="B634" s="9"/>
      <c r="C634" s="10" t="s">
        <v>27</v>
      </c>
      <c r="D634" s="30"/>
      <c r="E634" s="10" t="s">
        <v>320</v>
      </c>
      <c r="F634" s="19">
        <v>1</v>
      </c>
      <c r="G634" s="23">
        <v>0</v>
      </c>
      <c r="H634" s="23">
        <v>0.38</v>
      </c>
      <c r="I634" s="23">
        <v>1.57</v>
      </c>
      <c r="J634" s="17">
        <f>OR(F634&lt;&gt;0,G634&lt;&gt;0,H634&lt;&gt;0,I634&lt;&gt;0)*(F634 + (F634 = 0))*(G634 + (G634 = 0))*(H634 + (H634 = 0))*(I634 + (I634 = 0))</f>
        <v>0.6</v>
      </c>
      <c r="K634" s="9"/>
      <c r="L634" s="9"/>
      <c r="M634" s="9"/>
    </row>
    <row r="635" spans="1:13">
      <c r="A635" s="9"/>
      <c r="B635" s="9"/>
      <c r="C635" s="10" t="s">
        <v>27</v>
      </c>
      <c r="D635" s="30"/>
      <c r="E635" s="10" t="s">
        <v>330</v>
      </c>
      <c r="F635" s="19">
        <v>1</v>
      </c>
      <c r="G635" s="23">
        <v>0</v>
      </c>
      <c r="H635" s="23">
        <v>2.3199999999999998</v>
      </c>
      <c r="I635" s="23">
        <v>2.46</v>
      </c>
      <c r="J635" s="17">
        <f>OR(F635&lt;&gt;0,G635&lt;&gt;0,H635&lt;&gt;0,I635&lt;&gt;0)*(F635 + (F635 = 0))*(G635 + (G635 = 0))*(H635 + (H635 = 0))*(I635 + (I635 = 0))</f>
        <v>5.71</v>
      </c>
      <c r="K635" s="9"/>
      <c r="L635" s="9"/>
      <c r="M635" s="9"/>
    </row>
    <row r="636" spans="1:13">
      <c r="A636" s="9"/>
      <c r="B636" s="9"/>
      <c r="C636" s="10" t="s">
        <v>27</v>
      </c>
      <c r="D636" s="30"/>
      <c r="E636" s="10" t="s">
        <v>430</v>
      </c>
      <c r="F636" s="19">
        <v>1</v>
      </c>
      <c r="G636" s="23">
        <v>0</v>
      </c>
      <c r="H636" s="23">
        <v>0.79</v>
      </c>
      <c r="I636" s="23">
        <v>2.52</v>
      </c>
      <c r="J636" s="17">
        <f>OR(F636&lt;&gt;0,G636&lt;&gt;0,H636&lt;&gt;0,I636&lt;&gt;0)*(F636 + (F636 = 0))*(G636 + (G636 = 0))*(H636 + (H636 = 0))*(I636 + (I636 = 0))</f>
        <v>1.99</v>
      </c>
      <c r="K636" s="9"/>
      <c r="L636" s="9"/>
      <c r="M636" s="9"/>
    </row>
    <row r="637" spans="1:13">
      <c r="A637" s="9"/>
      <c r="B637" s="9"/>
      <c r="C637" s="9"/>
      <c r="D637" s="30"/>
      <c r="E637" s="9"/>
      <c r="F637" s="9"/>
      <c r="G637" s="9"/>
      <c r="H637" s="9"/>
      <c r="I637" s="9"/>
      <c r="J637" s="21" t="s">
        <v>588</v>
      </c>
      <c r="K637" s="22">
        <f>SUM(J631:J636)</f>
        <v>18.309999999999999</v>
      </c>
      <c r="L637" s="23">
        <v>0</v>
      </c>
      <c r="M637" s="24">
        <f>ROUND(K637*L637,2)</f>
        <v>0</v>
      </c>
    </row>
    <row r="638" spans="1:13" ht="0.95" customHeight="1">
      <c r="A638" s="25"/>
      <c r="B638" s="25"/>
      <c r="C638" s="25"/>
      <c r="D638" s="31"/>
      <c r="E638" s="25"/>
      <c r="F638" s="25"/>
      <c r="G638" s="25"/>
      <c r="H638" s="25"/>
      <c r="I638" s="25"/>
      <c r="J638" s="25"/>
      <c r="K638" s="25"/>
      <c r="L638" s="25"/>
      <c r="M638" s="25"/>
    </row>
    <row r="639" spans="1:13" ht="22.5">
      <c r="A639" s="15" t="s">
        <v>589</v>
      </c>
      <c r="B639" s="10" t="s">
        <v>23</v>
      </c>
      <c r="C639" s="10" t="s">
        <v>94</v>
      </c>
      <c r="D639" s="18" t="s">
        <v>590</v>
      </c>
      <c r="E639" s="9"/>
      <c r="F639" s="9"/>
      <c r="G639" s="9"/>
      <c r="H639" s="9"/>
      <c r="I639" s="9"/>
      <c r="J639" s="9"/>
      <c r="K639" s="16">
        <f>K643</f>
        <v>3.74</v>
      </c>
      <c r="L639" s="17">
        <f>L643</f>
        <v>0</v>
      </c>
      <c r="M639" s="17">
        <f>M643</f>
        <v>0</v>
      </c>
    </row>
    <row r="640" spans="1:13">
      <c r="A640" s="9"/>
      <c r="B640" s="9"/>
      <c r="C640" s="9"/>
      <c r="D640" s="18" t="s">
        <v>591</v>
      </c>
      <c r="E640" s="9"/>
      <c r="F640" s="9"/>
      <c r="G640" s="9"/>
      <c r="H640" s="9"/>
      <c r="I640" s="9"/>
      <c r="J640" s="9"/>
      <c r="K640" s="9"/>
      <c r="L640" s="9"/>
      <c r="M640" s="9"/>
    </row>
    <row r="641" spans="1:13">
      <c r="A641" s="9"/>
      <c r="B641" s="9"/>
      <c r="C641" s="10" t="s">
        <v>27</v>
      </c>
      <c r="D641" s="30"/>
      <c r="E641" s="10" t="s">
        <v>325</v>
      </c>
      <c r="F641" s="19">
        <v>1</v>
      </c>
      <c r="G641" s="23">
        <v>0</v>
      </c>
      <c r="H641" s="23">
        <v>1.52</v>
      </c>
      <c r="I641" s="23">
        <v>2.46</v>
      </c>
      <c r="J641" s="17">
        <f>OR(F641&lt;&gt;0,G641&lt;&gt;0,H641&lt;&gt;0,I641&lt;&gt;0)*(F641 + (F641 = 0))*(G641 + (G641 = 0))*(H641 + (H641 = 0))*(I641 + (I641 = 0))</f>
        <v>3.74</v>
      </c>
      <c r="K641" s="9"/>
      <c r="L641" s="9"/>
      <c r="M641" s="9"/>
    </row>
    <row r="642" spans="1:13">
      <c r="A642" s="9"/>
      <c r="B642" s="9"/>
      <c r="C642" s="10" t="s">
        <v>27</v>
      </c>
      <c r="D642" s="30"/>
      <c r="E642" s="10" t="s">
        <v>335</v>
      </c>
      <c r="F642" s="19"/>
      <c r="G642" s="23"/>
      <c r="H642" s="23"/>
      <c r="I642" s="23"/>
      <c r="J642" s="17">
        <f>OR(F642&lt;&gt;0,G642&lt;&gt;0,H642&lt;&gt;0,I642&lt;&gt;0)*(F642 + (F642 = 0))*(G642 + (G642 = 0))*(H642 + (H642 = 0))*(I642 + (I642 = 0))</f>
        <v>0</v>
      </c>
      <c r="K642" s="9"/>
      <c r="L642" s="9"/>
      <c r="M642" s="9"/>
    </row>
    <row r="643" spans="1:13">
      <c r="A643" s="9"/>
      <c r="B643" s="9"/>
      <c r="C643" s="9"/>
      <c r="D643" s="30"/>
      <c r="E643" s="9"/>
      <c r="F643" s="9"/>
      <c r="G643" s="9"/>
      <c r="H643" s="9"/>
      <c r="I643" s="9"/>
      <c r="J643" s="21" t="s">
        <v>592</v>
      </c>
      <c r="K643" s="22">
        <f>SUM(J641:J642)</f>
        <v>3.74</v>
      </c>
      <c r="L643" s="23">
        <v>0</v>
      </c>
      <c r="M643" s="24">
        <f>ROUND(K643*L643,2)</f>
        <v>0</v>
      </c>
    </row>
    <row r="644" spans="1:13" ht="0.95" customHeight="1">
      <c r="A644" s="25"/>
      <c r="B644" s="25"/>
      <c r="C644" s="25"/>
      <c r="D644" s="31"/>
      <c r="E644" s="25"/>
      <c r="F644" s="25"/>
      <c r="G644" s="25"/>
      <c r="H644" s="25"/>
      <c r="I644" s="25"/>
      <c r="J644" s="25"/>
      <c r="K644" s="25"/>
      <c r="L644" s="25"/>
      <c r="M644" s="25"/>
    </row>
    <row r="645" spans="1:13" ht="22.5">
      <c r="A645" s="15" t="s">
        <v>593</v>
      </c>
      <c r="B645" s="10" t="s">
        <v>23</v>
      </c>
      <c r="C645" s="10" t="s">
        <v>94</v>
      </c>
      <c r="D645" s="18" t="s">
        <v>594</v>
      </c>
      <c r="E645" s="9"/>
      <c r="F645" s="9"/>
      <c r="G645" s="9"/>
      <c r="H645" s="9"/>
      <c r="I645" s="9"/>
      <c r="J645" s="9"/>
      <c r="K645" s="16">
        <f>K649</f>
        <v>5.73</v>
      </c>
      <c r="L645" s="17">
        <f>L649</f>
        <v>0</v>
      </c>
      <c r="M645" s="17">
        <f>M649</f>
        <v>0</v>
      </c>
    </row>
    <row r="646" spans="1:13">
      <c r="A646" s="9"/>
      <c r="B646" s="9"/>
      <c r="C646" s="9"/>
      <c r="D646" s="18" t="s">
        <v>595</v>
      </c>
      <c r="E646" s="9"/>
      <c r="F646" s="9"/>
      <c r="G646" s="9"/>
      <c r="H646" s="9"/>
      <c r="I646" s="9"/>
      <c r="J646" s="9"/>
      <c r="K646" s="9"/>
      <c r="L646" s="9"/>
      <c r="M646" s="9"/>
    </row>
    <row r="647" spans="1:13">
      <c r="A647" s="9"/>
      <c r="B647" s="9"/>
      <c r="C647" s="10" t="s">
        <v>27</v>
      </c>
      <c r="D647" s="30"/>
      <c r="E647" s="10" t="s">
        <v>356</v>
      </c>
      <c r="F647" s="19">
        <v>1</v>
      </c>
      <c r="G647" s="23">
        <v>5.65</v>
      </c>
      <c r="H647" s="23">
        <v>0.87</v>
      </c>
      <c r="I647" s="23">
        <v>0</v>
      </c>
      <c r="J647" s="17">
        <f>OR(F647&lt;&gt;0,G647&lt;&gt;0,H647&lt;&gt;0,I647&lt;&gt;0)*(F647 + (F647 = 0))*(G647 + (G647 = 0))*(H647 + (H647 = 0))*(I647 + (I647 = 0))</f>
        <v>4.92</v>
      </c>
      <c r="K647" s="9"/>
      <c r="L647" s="9"/>
      <c r="M647" s="9"/>
    </row>
    <row r="648" spans="1:13">
      <c r="A648" s="9"/>
      <c r="B648" s="9"/>
      <c r="C648" s="10" t="s">
        <v>27</v>
      </c>
      <c r="D648" s="30"/>
      <c r="E648" s="10" t="s">
        <v>361</v>
      </c>
      <c r="F648" s="19">
        <v>1</v>
      </c>
      <c r="G648" s="23">
        <v>0.93</v>
      </c>
      <c r="H648" s="23">
        <v>0.87</v>
      </c>
      <c r="I648" s="23">
        <v>0</v>
      </c>
      <c r="J648" s="17">
        <f>OR(F648&lt;&gt;0,G648&lt;&gt;0,H648&lt;&gt;0,I648&lt;&gt;0)*(F648 + (F648 = 0))*(G648 + (G648 = 0))*(H648 + (H648 = 0))*(I648 + (I648 = 0))</f>
        <v>0.81</v>
      </c>
      <c r="K648" s="9"/>
      <c r="L648" s="9"/>
      <c r="M648" s="9"/>
    </row>
    <row r="649" spans="1:13">
      <c r="A649" s="9"/>
      <c r="B649" s="9"/>
      <c r="C649" s="9"/>
      <c r="D649" s="30"/>
      <c r="E649" s="9"/>
      <c r="F649" s="9"/>
      <c r="G649" s="9"/>
      <c r="H649" s="9"/>
      <c r="I649" s="9"/>
      <c r="J649" s="21" t="s">
        <v>596</v>
      </c>
      <c r="K649" s="22">
        <f>SUM(J647:J648)</f>
        <v>5.73</v>
      </c>
      <c r="L649" s="23">
        <v>0</v>
      </c>
      <c r="M649" s="24">
        <f>ROUND(K649*L649,2)</f>
        <v>0</v>
      </c>
    </row>
    <row r="650" spans="1:13" ht="0.95" customHeight="1">
      <c r="A650" s="25"/>
      <c r="B650" s="25"/>
      <c r="C650" s="25"/>
      <c r="D650" s="31"/>
      <c r="E650" s="25"/>
      <c r="F650" s="25"/>
      <c r="G650" s="25"/>
      <c r="H650" s="25"/>
      <c r="I650" s="25"/>
      <c r="J650" s="25"/>
      <c r="K650" s="25"/>
      <c r="L650" s="25"/>
      <c r="M650" s="25"/>
    </row>
    <row r="651" spans="1:13" ht="22.5">
      <c r="A651" s="15" t="s">
        <v>597</v>
      </c>
      <c r="B651" s="10" t="s">
        <v>23</v>
      </c>
      <c r="C651" s="10" t="s">
        <v>94</v>
      </c>
      <c r="D651" s="18" t="s">
        <v>598</v>
      </c>
      <c r="E651" s="9"/>
      <c r="F651" s="9"/>
      <c r="G651" s="9"/>
      <c r="H651" s="9"/>
      <c r="I651" s="9"/>
      <c r="J651" s="9"/>
      <c r="K651" s="16">
        <f>K655</f>
        <v>1.26</v>
      </c>
      <c r="L651" s="17">
        <f>L655</f>
        <v>0</v>
      </c>
      <c r="M651" s="17">
        <f>M655</f>
        <v>0</v>
      </c>
    </row>
    <row r="652" spans="1:13">
      <c r="A652" s="9"/>
      <c r="B652" s="9"/>
      <c r="C652" s="9"/>
      <c r="D652" s="18" t="s">
        <v>599</v>
      </c>
      <c r="E652" s="9"/>
      <c r="F652" s="9"/>
      <c r="G652" s="9"/>
      <c r="H652" s="9"/>
      <c r="I652" s="9"/>
      <c r="J652" s="9"/>
      <c r="K652" s="9"/>
      <c r="L652" s="9"/>
      <c r="M652" s="9"/>
    </row>
    <row r="653" spans="1:13">
      <c r="A653" s="9"/>
      <c r="B653" s="9"/>
      <c r="C653" s="10" t="s">
        <v>27</v>
      </c>
      <c r="D653" s="30"/>
      <c r="E653" s="10" t="s">
        <v>340</v>
      </c>
      <c r="F653" s="19">
        <v>1</v>
      </c>
      <c r="G653" s="23">
        <v>0</v>
      </c>
      <c r="H653" s="23">
        <v>0.46</v>
      </c>
      <c r="I653" s="23">
        <v>1.64</v>
      </c>
      <c r="J653" s="17">
        <f>OR(F653&lt;&gt;0,G653&lt;&gt;0,H653&lt;&gt;0,I653&lt;&gt;0)*(F653 + (F653 = 0))*(G653 + (G653 = 0))*(H653 + (H653 = 0))*(I653 + (I653 = 0))</f>
        <v>0.75</v>
      </c>
      <c r="K653" s="9"/>
      <c r="L653" s="9"/>
      <c r="M653" s="9"/>
    </row>
    <row r="654" spans="1:13">
      <c r="A654" s="9"/>
      <c r="B654" s="9"/>
      <c r="C654" s="10" t="s">
        <v>27</v>
      </c>
      <c r="D654" s="30"/>
      <c r="E654" s="10" t="s">
        <v>346</v>
      </c>
      <c r="F654" s="19">
        <v>1</v>
      </c>
      <c r="G654" s="23">
        <v>0</v>
      </c>
      <c r="H654" s="23">
        <v>0.33</v>
      </c>
      <c r="I654" s="23">
        <v>1.56</v>
      </c>
      <c r="J654" s="17">
        <f>OR(F654&lt;&gt;0,G654&lt;&gt;0,H654&lt;&gt;0,I654&lt;&gt;0)*(F654 + (F654 = 0))*(G654 + (G654 = 0))*(H654 + (H654 = 0))*(I654 + (I654 = 0))</f>
        <v>0.51</v>
      </c>
      <c r="K654" s="9"/>
      <c r="L654" s="9"/>
      <c r="M654" s="9"/>
    </row>
    <row r="655" spans="1:13">
      <c r="A655" s="9"/>
      <c r="B655" s="9"/>
      <c r="C655" s="9"/>
      <c r="D655" s="30"/>
      <c r="E655" s="9"/>
      <c r="F655" s="9"/>
      <c r="G655" s="9"/>
      <c r="H655" s="9"/>
      <c r="I655" s="9"/>
      <c r="J655" s="21" t="s">
        <v>600</v>
      </c>
      <c r="K655" s="22">
        <f>SUM(J653:J654)</f>
        <v>1.26</v>
      </c>
      <c r="L655" s="23">
        <v>0</v>
      </c>
      <c r="M655" s="24">
        <f>ROUND(K655*L655,2)</f>
        <v>0</v>
      </c>
    </row>
    <row r="656" spans="1:13" ht="0.95" customHeight="1">
      <c r="A656" s="25"/>
      <c r="B656" s="25"/>
      <c r="C656" s="25"/>
      <c r="D656" s="31"/>
      <c r="E656" s="25"/>
      <c r="F656" s="25"/>
      <c r="G656" s="25"/>
      <c r="H656" s="25"/>
      <c r="I656" s="25"/>
      <c r="J656" s="25"/>
      <c r="K656" s="25"/>
      <c r="L656" s="25"/>
      <c r="M656" s="25"/>
    </row>
    <row r="657" spans="1:13" ht="22.5">
      <c r="A657" s="15" t="s">
        <v>601</v>
      </c>
      <c r="B657" s="10" t="s">
        <v>23</v>
      </c>
      <c r="C657" s="10" t="s">
        <v>94</v>
      </c>
      <c r="D657" s="18" t="s">
        <v>602</v>
      </c>
      <c r="E657" s="9"/>
      <c r="F657" s="9"/>
      <c r="G657" s="9"/>
      <c r="H657" s="9"/>
      <c r="I657" s="9"/>
      <c r="J657" s="9"/>
      <c r="K657" s="16">
        <f>K661</f>
        <v>1.31</v>
      </c>
      <c r="L657" s="17">
        <f>L661</f>
        <v>0</v>
      </c>
      <c r="M657" s="17">
        <f>M661</f>
        <v>0</v>
      </c>
    </row>
    <row r="658" spans="1:13">
      <c r="A658" s="9"/>
      <c r="B658" s="9"/>
      <c r="C658" s="9"/>
      <c r="D658" s="18" t="s">
        <v>603</v>
      </c>
      <c r="E658" s="9"/>
      <c r="F658" s="9"/>
      <c r="G658" s="9"/>
      <c r="H658" s="9"/>
      <c r="I658" s="9"/>
      <c r="J658" s="9"/>
      <c r="K658" s="9"/>
      <c r="L658" s="9"/>
      <c r="M658" s="9"/>
    </row>
    <row r="659" spans="1:13">
      <c r="A659" s="9"/>
      <c r="B659" s="9"/>
      <c r="C659" s="10" t="s">
        <v>27</v>
      </c>
      <c r="D659" s="30"/>
      <c r="E659" s="10" t="s">
        <v>341</v>
      </c>
      <c r="F659" s="19">
        <v>1</v>
      </c>
      <c r="G659" s="23">
        <v>0</v>
      </c>
      <c r="H659" s="23">
        <v>0.46</v>
      </c>
      <c r="I659" s="23">
        <v>1.64</v>
      </c>
      <c r="J659" s="17">
        <f>OR(F659&lt;&gt;0,G659&lt;&gt;0,H659&lt;&gt;0,I659&lt;&gt;0)*(F659 + (F659 = 0))*(G659 + (G659 = 0))*(H659 + (H659 = 0))*(I659 + (I659 = 0))</f>
        <v>0.75</v>
      </c>
      <c r="K659" s="9"/>
      <c r="L659" s="9"/>
      <c r="M659" s="9"/>
    </row>
    <row r="660" spans="1:13">
      <c r="A660" s="9"/>
      <c r="B660" s="9"/>
      <c r="C660" s="10" t="s">
        <v>27</v>
      </c>
      <c r="D660" s="30"/>
      <c r="E660" s="10" t="s">
        <v>351</v>
      </c>
      <c r="F660" s="19">
        <v>1</v>
      </c>
      <c r="G660" s="23">
        <v>0</v>
      </c>
      <c r="H660" s="23">
        <v>0.33</v>
      </c>
      <c r="I660" s="23">
        <v>1.7</v>
      </c>
      <c r="J660" s="17">
        <f>OR(F660&lt;&gt;0,G660&lt;&gt;0,H660&lt;&gt;0,I660&lt;&gt;0)*(F660 + (F660 = 0))*(G660 + (G660 = 0))*(H660 + (H660 = 0))*(I660 + (I660 = 0))</f>
        <v>0.56000000000000005</v>
      </c>
      <c r="K660" s="9"/>
      <c r="L660" s="9"/>
      <c r="M660" s="9"/>
    </row>
    <row r="661" spans="1:13">
      <c r="A661" s="9"/>
      <c r="B661" s="9"/>
      <c r="C661" s="9"/>
      <c r="D661" s="30"/>
      <c r="E661" s="9"/>
      <c r="F661" s="9"/>
      <c r="G661" s="9"/>
      <c r="H661" s="9"/>
      <c r="I661" s="9"/>
      <c r="J661" s="21" t="s">
        <v>604</v>
      </c>
      <c r="K661" s="22">
        <f>SUM(J659:J660)</f>
        <v>1.31</v>
      </c>
      <c r="L661" s="23">
        <v>0</v>
      </c>
      <c r="M661" s="24">
        <f>ROUND(K661*L661,2)</f>
        <v>0</v>
      </c>
    </row>
    <row r="662" spans="1:13" ht="0.95" customHeight="1">
      <c r="A662" s="25"/>
      <c r="B662" s="25"/>
      <c r="C662" s="25"/>
      <c r="D662" s="31"/>
      <c r="E662" s="25"/>
      <c r="F662" s="25"/>
      <c r="G662" s="25"/>
      <c r="H662" s="25"/>
      <c r="I662" s="25"/>
      <c r="J662" s="25"/>
      <c r="K662" s="25"/>
      <c r="L662" s="25"/>
      <c r="M662" s="25"/>
    </row>
    <row r="663" spans="1:13" ht="22.5">
      <c r="A663" s="15" t="s">
        <v>605</v>
      </c>
      <c r="B663" s="10" t="s">
        <v>23</v>
      </c>
      <c r="C663" s="10" t="s">
        <v>94</v>
      </c>
      <c r="D663" s="18" t="s">
        <v>606</v>
      </c>
      <c r="E663" s="9"/>
      <c r="F663" s="9"/>
      <c r="G663" s="9"/>
      <c r="H663" s="9"/>
      <c r="I663" s="9"/>
      <c r="J663" s="9"/>
      <c r="K663" s="16">
        <f>K667</f>
        <v>8</v>
      </c>
      <c r="L663" s="17">
        <f>L667</f>
        <v>0</v>
      </c>
      <c r="M663" s="17">
        <f>M667</f>
        <v>0</v>
      </c>
    </row>
    <row r="664" spans="1:13">
      <c r="A664" s="9"/>
      <c r="B664" s="9"/>
      <c r="C664" s="9"/>
      <c r="D664" s="18" t="s">
        <v>607</v>
      </c>
      <c r="E664" s="9"/>
      <c r="F664" s="9"/>
      <c r="G664" s="9"/>
      <c r="H664" s="9"/>
      <c r="I664" s="9"/>
      <c r="J664" s="9"/>
      <c r="K664" s="9"/>
      <c r="L664" s="9"/>
      <c r="M664" s="9"/>
    </row>
    <row r="665" spans="1:13">
      <c r="A665" s="9"/>
      <c r="B665" s="9"/>
      <c r="C665" s="10" t="s">
        <v>27</v>
      </c>
      <c r="D665" s="30"/>
      <c r="E665" s="10" t="s">
        <v>366</v>
      </c>
      <c r="F665" s="19">
        <v>2</v>
      </c>
      <c r="G665" s="23">
        <v>0</v>
      </c>
      <c r="H665" s="23">
        <v>1.1499999999999999</v>
      </c>
      <c r="I665" s="23">
        <v>2.2200000000000002</v>
      </c>
      <c r="J665" s="17">
        <f>OR(F665&lt;&gt;0,G665&lt;&gt;0,H665&lt;&gt;0,I665&lt;&gt;0)*(F665 + (F665 = 0))*(G665 + (G665 = 0))*(H665 + (H665 = 0))*(I665 + (I665 = 0))</f>
        <v>5.1100000000000003</v>
      </c>
      <c r="K665" s="9"/>
      <c r="L665" s="9"/>
      <c r="M665" s="9"/>
    </row>
    <row r="666" spans="1:13">
      <c r="A666" s="9"/>
      <c r="B666" s="9"/>
      <c r="C666" s="10" t="s">
        <v>27</v>
      </c>
      <c r="D666" s="30"/>
      <c r="E666" s="10" t="s">
        <v>435</v>
      </c>
      <c r="F666" s="19">
        <v>1</v>
      </c>
      <c r="G666" s="23">
        <v>0</v>
      </c>
      <c r="H666" s="23">
        <v>1.23</v>
      </c>
      <c r="I666" s="23">
        <v>2.35</v>
      </c>
      <c r="J666" s="17">
        <f>OR(F666&lt;&gt;0,G666&lt;&gt;0,H666&lt;&gt;0,I666&lt;&gt;0)*(F666 + (F666 = 0))*(G666 + (G666 = 0))*(H666 + (H666 = 0))*(I666 + (I666 = 0))</f>
        <v>2.89</v>
      </c>
      <c r="K666" s="9"/>
      <c r="L666" s="9"/>
      <c r="M666" s="9"/>
    </row>
    <row r="667" spans="1:13">
      <c r="A667" s="9"/>
      <c r="B667" s="9"/>
      <c r="C667" s="9"/>
      <c r="D667" s="30"/>
      <c r="E667" s="9"/>
      <c r="F667" s="9"/>
      <c r="G667" s="9"/>
      <c r="H667" s="9"/>
      <c r="I667" s="9"/>
      <c r="J667" s="21" t="s">
        <v>608</v>
      </c>
      <c r="K667" s="22">
        <f>SUM(J665:J666)</f>
        <v>8</v>
      </c>
      <c r="L667" s="23">
        <v>0</v>
      </c>
      <c r="M667" s="24">
        <f>ROUND(K667*L667,2)</f>
        <v>0</v>
      </c>
    </row>
    <row r="668" spans="1:13" ht="0.95" customHeight="1">
      <c r="A668" s="25"/>
      <c r="B668" s="25"/>
      <c r="C668" s="25"/>
      <c r="D668" s="31"/>
      <c r="E668" s="25"/>
      <c r="F668" s="25"/>
      <c r="G668" s="25"/>
      <c r="H668" s="25"/>
      <c r="I668" s="25"/>
      <c r="J668" s="25"/>
      <c r="K668" s="25"/>
      <c r="L668" s="25"/>
      <c r="M668" s="25"/>
    </row>
    <row r="669" spans="1:13" ht="22.5">
      <c r="A669" s="15" t="s">
        <v>609</v>
      </c>
      <c r="B669" s="10" t="s">
        <v>23</v>
      </c>
      <c r="C669" s="10" t="s">
        <v>94</v>
      </c>
      <c r="D669" s="18" t="s">
        <v>598</v>
      </c>
      <c r="E669" s="9"/>
      <c r="F669" s="9"/>
      <c r="G669" s="9"/>
      <c r="H669" s="9"/>
      <c r="I669" s="9"/>
      <c r="J669" s="9"/>
      <c r="K669" s="16">
        <f>K673</f>
        <v>1.56</v>
      </c>
      <c r="L669" s="17">
        <f>L673</f>
        <v>0</v>
      </c>
      <c r="M669" s="17">
        <f>M673</f>
        <v>0</v>
      </c>
    </row>
    <row r="670" spans="1:13">
      <c r="A670" s="9"/>
      <c r="B670" s="9"/>
      <c r="C670" s="9"/>
      <c r="D670" s="18" t="s">
        <v>599</v>
      </c>
      <c r="E670" s="9"/>
      <c r="F670" s="9"/>
      <c r="G670" s="9"/>
      <c r="H670" s="9"/>
      <c r="I670" s="9"/>
      <c r="J670" s="9"/>
      <c r="K670" s="9"/>
      <c r="L670" s="9"/>
      <c r="M670" s="9"/>
    </row>
    <row r="671" spans="1:13">
      <c r="A671" s="9"/>
      <c r="B671" s="9"/>
      <c r="C671" s="10" t="s">
        <v>27</v>
      </c>
      <c r="D671" s="30"/>
      <c r="E671" s="10" t="s">
        <v>371</v>
      </c>
      <c r="F671" s="19">
        <v>1</v>
      </c>
      <c r="G671" s="23">
        <v>0</v>
      </c>
      <c r="H671" s="23">
        <v>0.25</v>
      </c>
      <c r="I671" s="23">
        <v>1.47</v>
      </c>
      <c r="J671" s="17">
        <f>OR(F671&lt;&gt;0,G671&lt;&gt;0,H671&lt;&gt;0,I671&lt;&gt;0)*(F671 + (F671 = 0))*(G671 + (G671 = 0))*(H671 + (H671 = 0))*(I671 + (I671 = 0))</f>
        <v>0.37</v>
      </c>
      <c r="K671" s="9"/>
      <c r="L671" s="9"/>
      <c r="M671" s="9"/>
    </row>
    <row r="672" spans="1:13">
      <c r="A672" s="9"/>
      <c r="B672" s="9"/>
      <c r="C672" s="10" t="s">
        <v>27</v>
      </c>
      <c r="D672" s="30"/>
      <c r="E672" s="10" t="s">
        <v>17</v>
      </c>
      <c r="F672" s="19">
        <v>1</v>
      </c>
      <c r="G672" s="23">
        <v>0</v>
      </c>
      <c r="H672" s="23">
        <v>0.84</v>
      </c>
      <c r="I672" s="23">
        <v>1.42</v>
      </c>
      <c r="J672" s="17">
        <f>OR(F672&lt;&gt;0,G672&lt;&gt;0,H672&lt;&gt;0,I672&lt;&gt;0)*(F672 + (F672 = 0))*(G672 + (G672 = 0))*(H672 + (H672 = 0))*(I672 + (I672 = 0))</f>
        <v>1.19</v>
      </c>
      <c r="K672" s="9"/>
      <c r="L672" s="9"/>
      <c r="M672" s="9"/>
    </row>
    <row r="673" spans="1:13">
      <c r="A673" s="9"/>
      <c r="B673" s="9"/>
      <c r="C673" s="9"/>
      <c r="D673" s="30"/>
      <c r="E673" s="9"/>
      <c r="F673" s="9"/>
      <c r="G673" s="9"/>
      <c r="H673" s="9"/>
      <c r="I673" s="9"/>
      <c r="J673" s="21" t="s">
        <v>610</v>
      </c>
      <c r="K673" s="22">
        <f>SUM(J671:J672)</f>
        <v>1.56</v>
      </c>
      <c r="L673" s="23">
        <v>0</v>
      </c>
      <c r="M673" s="24">
        <f>ROUND(K673*L673,2)</f>
        <v>0</v>
      </c>
    </row>
    <row r="674" spans="1:13" ht="0.95" customHeight="1">
      <c r="A674" s="25"/>
      <c r="B674" s="25"/>
      <c r="C674" s="25"/>
      <c r="D674" s="31"/>
      <c r="E674" s="25"/>
      <c r="F674" s="25"/>
      <c r="G674" s="25"/>
      <c r="H674" s="25"/>
      <c r="I674" s="25"/>
      <c r="J674" s="25"/>
      <c r="K674" s="25"/>
      <c r="L674" s="25"/>
      <c r="M674" s="25"/>
    </row>
    <row r="675" spans="1:13" ht="22.5">
      <c r="A675" s="10" t="s">
        <v>611</v>
      </c>
      <c r="B675" s="10" t="s">
        <v>23</v>
      </c>
      <c r="C675" s="10" t="s">
        <v>94</v>
      </c>
      <c r="D675" s="18" t="s">
        <v>612</v>
      </c>
      <c r="E675" s="9"/>
      <c r="F675" s="9"/>
      <c r="G675" s="9"/>
      <c r="H675" s="9"/>
      <c r="I675" s="9"/>
      <c r="J675" s="9"/>
      <c r="K675" s="16">
        <f>K687</f>
        <v>11.34</v>
      </c>
      <c r="L675" s="17">
        <f>L687</f>
        <v>0</v>
      </c>
      <c r="M675" s="17">
        <f>M687</f>
        <v>0</v>
      </c>
    </row>
    <row r="676" spans="1:13">
      <c r="A676" s="9"/>
      <c r="B676" s="9"/>
      <c r="C676" s="9"/>
      <c r="D676" s="18" t="s">
        <v>613</v>
      </c>
      <c r="E676" s="9"/>
      <c r="F676" s="9"/>
      <c r="G676" s="9"/>
      <c r="H676" s="9"/>
      <c r="I676" s="9"/>
      <c r="J676" s="9"/>
      <c r="K676" s="9"/>
      <c r="L676" s="9"/>
      <c r="M676" s="9"/>
    </row>
    <row r="677" spans="1:13">
      <c r="A677" s="9"/>
      <c r="B677" s="9"/>
      <c r="C677" s="10" t="s">
        <v>27</v>
      </c>
      <c r="D677" s="30"/>
      <c r="E677" s="10" t="s">
        <v>380</v>
      </c>
      <c r="F677" s="19">
        <v>1</v>
      </c>
      <c r="G677" s="23">
        <v>0</v>
      </c>
      <c r="H677" s="23">
        <v>0.44</v>
      </c>
      <c r="I677" s="23">
        <v>0.41</v>
      </c>
      <c r="J677" s="17">
        <f>OR(F677&lt;&gt;0,G677&lt;&gt;0,H677&lt;&gt;0,I677&lt;&gt;0)*(F677 + (F677 = 0))*(G677 + (G677 = 0))*(H677 + (H677 = 0))*(I677 + (I677 = 0))</f>
        <v>0.18</v>
      </c>
      <c r="K677" s="9"/>
      <c r="L677" s="9"/>
      <c r="M677" s="9"/>
    </row>
    <row r="678" spans="1:13">
      <c r="A678" s="9"/>
      <c r="B678" s="9"/>
      <c r="C678" s="10" t="s">
        <v>27</v>
      </c>
      <c r="D678" s="30"/>
      <c r="E678" s="10" t="s">
        <v>385</v>
      </c>
      <c r="F678" s="19">
        <v>2</v>
      </c>
      <c r="G678" s="23">
        <v>0</v>
      </c>
      <c r="H678" s="23">
        <v>2.1</v>
      </c>
      <c r="I678" s="23">
        <v>0.41</v>
      </c>
      <c r="J678" s="17">
        <f>OR(F678&lt;&gt;0,G678&lt;&gt;0,H678&lt;&gt;0,I678&lt;&gt;0)*(F678 + (F678 = 0))*(G678 + (G678 = 0))*(H678 + (H678 = 0))*(I678 + (I678 = 0))</f>
        <v>1.72</v>
      </c>
      <c r="K678" s="9"/>
      <c r="L678" s="9"/>
      <c r="M678" s="9"/>
    </row>
    <row r="679" spans="1:13">
      <c r="A679" s="9"/>
      <c r="B679" s="9"/>
      <c r="C679" s="10" t="s">
        <v>27</v>
      </c>
      <c r="D679" s="30"/>
      <c r="E679" s="10" t="s">
        <v>390</v>
      </c>
      <c r="F679" s="19">
        <v>1</v>
      </c>
      <c r="G679" s="23">
        <v>0</v>
      </c>
      <c r="H679" s="23">
        <v>0.54</v>
      </c>
      <c r="I679" s="23">
        <v>0.41</v>
      </c>
      <c r="J679" s="17">
        <f>OR(F679&lt;&gt;0,G679&lt;&gt;0,H679&lt;&gt;0,I679&lt;&gt;0)*(F679 + (F679 = 0))*(G679 + (G679 = 0))*(H679 + (H679 = 0))*(I679 + (I679 = 0))</f>
        <v>0.22</v>
      </c>
      <c r="K679" s="9"/>
      <c r="L679" s="9"/>
      <c r="M679" s="9"/>
    </row>
    <row r="680" spans="1:13">
      <c r="A680" s="9"/>
      <c r="B680" s="9"/>
      <c r="C680" s="10" t="s">
        <v>27</v>
      </c>
      <c r="D680" s="30"/>
      <c r="E680" s="10" t="s">
        <v>395</v>
      </c>
      <c r="F680" s="19">
        <v>1</v>
      </c>
      <c r="G680" s="23">
        <v>0</v>
      </c>
      <c r="H680" s="23">
        <v>0.89</v>
      </c>
      <c r="I680" s="23">
        <v>1.18</v>
      </c>
      <c r="J680" s="17">
        <f>OR(F680&lt;&gt;0,G680&lt;&gt;0,H680&lt;&gt;0,I680&lt;&gt;0)*(F680 + (F680 = 0))*(G680 + (G680 = 0))*(H680 + (H680 = 0))*(I680 + (I680 = 0))</f>
        <v>1.05</v>
      </c>
      <c r="K680" s="9"/>
      <c r="L680" s="9"/>
      <c r="M680" s="9"/>
    </row>
    <row r="681" spans="1:13">
      <c r="A681" s="9"/>
      <c r="B681" s="9"/>
      <c r="C681" s="10" t="s">
        <v>27</v>
      </c>
      <c r="D681" s="30"/>
      <c r="E681" s="10" t="s">
        <v>400</v>
      </c>
      <c r="F681" s="19">
        <v>1</v>
      </c>
      <c r="G681" s="23">
        <v>0</v>
      </c>
      <c r="H681" s="23">
        <v>0.95</v>
      </c>
      <c r="I681" s="23">
        <v>1.18</v>
      </c>
      <c r="J681" s="17">
        <f>OR(F681&lt;&gt;0,G681&lt;&gt;0,H681&lt;&gt;0,I681&lt;&gt;0)*(F681 + (F681 = 0))*(G681 + (G681 = 0))*(H681 + (H681 = 0))*(I681 + (I681 = 0))</f>
        <v>1.1200000000000001</v>
      </c>
      <c r="K681" s="9"/>
      <c r="L681" s="9"/>
      <c r="M681" s="9"/>
    </row>
    <row r="682" spans="1:13">
      <c r="A682" s="9"/>
      <c r="B682" s="9"/>
      <c r="C682" s="10" t="s">
        <v>27</v>
      </c>
      <c r="D682" s="30"/>
      <c r="E682" s="10" t="s">
        <v>405</v>
      </c>
      <c r="F682" s="19">
        <v>1</v>
      </c>
      <c r="G682" s="23">
        <v>0</v>
      </c>
      <c r="H682" s="23">
        <v>1.6</v>
      </c>
      <c r="I682" s="23">
        <v>1.18</v>
      </c>
      <c r="J682" s="17">
        <f>OR(F682&lt;&gt;0,G682&lt;&gt;0,H682&lt;&gt;0,I682&lt;&gt;0)*(F682 + (F682 = 0))*(G682 + (G682 = 0))*(H682 + (H682 = 0))*(I682 + (I682 = 0))</f>
        <v>1.89</v>
      </c>
      <c r="K682" s="9"/>
      <c r="L682" s="9"/>
      <c r="M682" s="9"/>
    </row>
    <row r="683" spans="1:13">
      <c r="A683" s="9"/>
      <c r="B683" s="9"/>
      <c r="C683" s="10" t="s">
        <v>27</v>
      </c>
      <c r="D683" s="30"/>
      <c r="E683" s="10" t="s">
        <v>410</v>
      </c>
      <c r="F683" s="19">
        <v>1</v>
      </c>
      <c r="G683" s="23">
        <v>0</v>
      </c>
      <c r="H683" s="23">
        <v>1.6</v>
      </c>
      <c r="I683" s="23">
        <v>1.18</v>
      </c>
      <c r="J683" s="17">
        <f>OR(F683&lt;&gt;0,G683&lt;&gt;0,H683&lt;&gt;0,I683&lt;&gt;0)*(F683 + (F683 = 0))*(G683 + (G683 = 0))*(H683 + (H683 = 0))*(I683 + (I683 = 0))</f>
        <v>1.89</v>
      </c>
      <c r="K683" s="9"/>
      <c r="L683" s="9"/>
      <c r="M683" s="9"/>
    </row>
    <row r="684" spans="1:13">
      <c r="A684" s="9"/>
      <c r="B684" s="9"/>
      <c r="C684" s="10" t="s">
        <v>27</v>
      </c>
      <c r="D684" s="30"/>
      <c r="E684" s="10" t="s">
        <v>415</v>
      </c>
      <c r="F684" s="19">
        <v>1</v>
      </c>
      <c r="G684" s="23">
        <v>0</v>
      </c>
      <c r="H684" s="23">
        <v>0.84</v>
      </c>
      <c r="I684" s="23">
        <v>1.18</v>
      </c>
      <c r="J684" s="17">
        <f>OR(F684&lt;&gt;0,G684&lt;&gt;0,H684&lt;&gt;0,I684&lt;&gt;0)*(F684 + (F684 = 0))*(G684 + (G684 = 0))*(H684 + (H684 = 0))*(I684 + (I684 = 0))</f>
        <v>0.99</v>
      </c>
      <c r="K684" s="9"/>
      <c r="L684" s="9"/>
      <c r="M684" s="9"/>
    </row>
    <row r="685" spans="1:13">
      <c r="A685" s="9"/>
      <c r="B685" s="9"/>
      <c r="C685" s="10" t="s">
        <v>27</v>
      </c>
      <c r="D685" s="30"/>
      <c r="E685" s="10" t="s">
        <v>420</v>
      </c>
      <c r="F685" s="19">
        <v>1</v>
      </c>
      <c r="G685" s="23">
        <v>0</v>
      </c>
      <c r="H685" s="23">
        <v>1</v>
      </c>
      <c r="I685" s="23">
        <v>0.75</v>
      </c>
      <c r="J685" s="17">
        <f>OR(F685&lt;&gt;0,G685&lt;&gt;0,H685&lt;&gt;0,I685&lt;&gt;0)*(F685 + (F685 = 0))*(G685 + (G685 = 0))*(H685 + (H685 = 0))*(I685 + (I685 = 0))</f>
        <v>0.75</v>
      </c>
      <c r="K685" s="9"/>
      <c r="L685" s="9"/>
      <c r="M685" s="9"/>
    </row>
    <row r="686" spans="1:13">
      <c r="A686" s="9"/>
      <c r="B686" s="9"/>
      <c r="C686" s="10" t="s">
        <v>27</v>
      </c>
      <c r="D686" s="30"/>
      <c r="E686" s="10" t="s">
        <v>425</v>
      </c>
      <c r="F686" s="19">
        <v>1</v>
      </c>
      <c r="G686" s="23">
        <v>0</v>
      </c>
      <c r="H686" s="23">
        <v>2.04</v>
      </c>
      <c r="I686" s="23">
        <v>0.75</v>
      </c>
      <c r="J686" s="17">
        <f>OR(F686&lt;&gt;0,G686&lt;&gt;0,H686&lt;&gt;0,I686&lt;&gt;0)*(F686 + (F686 = 0))*(G686 + (G686 = 0))*(H686 + (H686 = 0))*(I686 + (I686 = 0))</f>
        <v>1.53</v>
      </c>
      <c r="K686" s="9"/>
      <c r="L686" s="9"/>
      <c r="M686" s="9"/>
    </row>
    <row r="687" spans="1:13">
      <c r="A687" s="9"/>
      <c r="B687" s="9"/>
      <c r="C687" s="9"/>
      <c r="D687" s="30"/>
      <c r="E687" s="9"/>
      <c r="F687" s="9"/>
      <c r="G687" s="9"/>
      <c r="H687" s="9"/>
      <c r="I687" s="9"/>
      <c r="J687" s="21" t="s">
        <v>614</v>
      </c>
      <c r="K687" s="22">
        <f>SUM(J677:J686)</f>
        <v>11.34</v>
      </c>
      <c r="L687" s="23">
        <v>0</v>
      </c>
      <c r="M687" s="24">
        <f>ROUND(K687*L687,2)</f>
        <v>0</v>
      </c>
    </row>
    <row r="688" spans="1:13" ht="0.95" customHeight="1">
      <c r="A688" s="25"/>
      <c r="B688" s="25"/>
      <c r="C688" s="25"/>
      <c r="D688" s="31"/>
      <c r="E688" s="25"/>
      <c r="F688" s="25"/>
      <c r="G688" s="25"/>
      <c r="H688" s="25"/>
      <c r="I688" s="25"/>
      <c r="J688" s="25"/>
      <c r="K688" s="25"/>
      <c r="L688" s="25"/>
      <c r="M688" s="25"/>
    </row>
    <row r="689" spans="1:13">
      <c r="A689" s="9"/>
      <c r="B689" s="9"/>
      <c r="C689" s="9"/>
      <c r="D689" s="30"/>
      <c r="E689" s="9"/>
      <c r="F689" s="9"/>
      <c r="G689" s="9"/>
      <c r="H689" s="9"/>
      <c r="I689" s="9"/>
      <c r="J689" s="21" t="s">
        <v>615</v>
      </c>
      <c r="K689" s="20">
        <v>1</v>
      </c>
      <c r="L689" s="24">
        <f>M615+M622+M629+M639+M645+M651+M657+M663+M669+M675</f>
        <v>0</v>
      </c>
      <c r="M689" s="24">
        <f>ROUND(K689*L689,2)</f>
        <v>0</v>
      </c>
    </row>
    <row r="690" spans="1:13" ht="0.95" customHeight="1">
      <c r="A690" s="25"/>
      <c r="B690" s="25"/>
      <c r="C690" s="25"/>
      <c r="D690" s="31"/>
      <c r="E690" s="25"/>
      <c r="F690" s="25"/>
      <c r="G690" s="25"/>
      <c r="H690" s="25"/>
      <c r="I690" s="25"/>
      <c r="J690" s="25"/>
      <c r="K690" s="25"/>
      <c r="L690" s="25"/>
      <c r="M690" s="25"/>
    </row>
    <row r="691" spans="1:13">
      <c r="A691" s="9"/>
      <c r="B691" s="9"/>
      <c r="C691" s="9"/>
      <c r="D691" s="30"/>
      <c r="E691" s="9"/>
      <c r="F691" s="9"/>
      <c r="G691" s="9"/>
      <c r="H691" s="9"/>
      <c r="I691" s="9"/>
      <c r="J691" s="21" t="s">
        <v>616</v>
      </c>
      <c r="K691" s="26">
        <v>1</v>
      </c>
      <c r="L691" s="24">
        <f>M317+M483+M491+M549+M558+M563+M579+M614</f>
        <v>0</v>
      </c>
      <c r="M691" s="24">
        <f>ROUND(K691*L691,2)</f>
        <v>0</v>
      </c>
    </row>
    <row r="692" spans="1:13" ht="0.95" customHeight="1">
      <c r="A692" s="25"/>
      <c r="B692" s="25"/>
      <c r="C692" s="25"/>
      <c r="D692" s="31"/>
      <c r="E692" s="25"/>
      <c r="F692" s="25"/>
      <c r="G692" s="25"/>
      <c r="H692" s="25"/>
      <c r="I692" s="25"/>
      <c r="J692" s="25"/>
      <c r="K692" s="25"/>
      <c r="L692" s="25"/>
      <c r="M692" s="25"/>
    </row>
    <row r="693" spans="1:13">
      <c r="A693" s="5" t="s">
        <v>617</v>
      </c>
      <c r="B693" s="5" t="s">
        <v>16</v>
      </c>
      <c r="C693" s="5" t="s">
        <v>17</v>
      </c>
      <c r="D693" s="28" t="s">
        <v>618</v>
      </c>
      <c r="E693" s="6"/>
      <c r="F693" s="6"/>
      <c r="G693" s="6"/>
      <c r="H693" s="6"/>
      <c r="I693" s="6"/>
      <c r="J693" s="6"/>
      <c r="K693" s="7">
        <f>K805</f>
        <v>1</v>
      </c>
      <c r="L693" s="8">
        <f>L805</f>
        <v>0</v>
      </c>
      <c r="M693" s="8">
        <f>M805</f>
        <v>0</v>
      </c>
    </row>
    <row r="694" spans="1:13">
      <c r="A694" s="11" t="s">
        <v>619</v>
      </c>
      <c r="B694" s="11" t="s">
        <v>16</v>
      </c>
      <c r="C694" s="11" t="s">
        <v>17</v>
      </c>
      <c r="D694" s="29" t="s">
        <v>620</v>
      </c>
      <c r="E694" s="12"/>
      <c r="F694" s="12"/>
      <c r="G694" s="12"/>
      <c r="H694" s="12"/>
      <c r="I694" s="12"/>
      <c r="J694" s="12"/>
      <c r="K694" s="13">
        <f>K726</f>
        <v>1</v>
      </c>
      <c r="L694" s="14">
        <f>L726</f>
        <v>0</v>
      </c>
      <c r="M694" s="14">
        <f>M726</f>
        <v>0</v>
      </c>
    </row>
    <row r="695" spans="1:13" ht="22.5">
      <c r="A695" s="15" t="s">
        <v>621</v>
      </c>
      <c r="B695" s="10" t="s">
        <v>23</v>
      </c>
      <c r="C695" s="10" t="s">
        <v>94</v>
      </c>
      <c r="D695" s="18" t="s">
        <v>622</v>
      </c>
      <c r="E695" s="9"/>
      <c r="F695" s="9"/>
      <c r="G695" s="9"/>
      <c r="H695" s="9"/>
      <c r="I695" s="9"/>
      <c r="J695" s="9"/>
      <c r="K695" s="16">
        <f>K719</f>
        <v>32.942999999999998</v>
      </c>
      <c r="L695" s="17">
        <f>L719</f>
        <v>0</v>
      </c>
      <c r="M695" s="17">
        <f>M719</f>
        <v>0</v>
      </c>
    </row>
    <row r="696" spans="1:13">
      <c r="A696" s="9"/>
      <c r="B696" s="9"/>
      <c r="C696" s="9"/>
      <c r="D696" s="18" t="s">
        <v>623</v>
      </c>
      <c r="E696" s="9"/>
      <c r="F696" s="9"/>
      <c r="G696" s="9"/>
      <c r="H696" s="9"/>
      <c r="I696" s="9"/>
      <c r="J696" s="9"/>
      <c r="K696" s="9"/>
      <c r="L696" s="9"/>
      <c r="M696" s="9"/>
    </row>
    <row r="697" spans="1:13">
      <c r="A697" s="9"/>
      <c r="B697" s="9"/>
      <c r="C697" s="10" t="s">
        <v>27</v>
      </c>
      <c r="D697" s="30"/>
      <c r="E697" s="10" t="s">
        <v>227</v>
      </c>
      <c r="F697" s="19"/>
      <c r="G697" s="20"/>
      <c r="H697" s="20"/>
      <c r="I697" s="20"/>
      <c r="J697" s="16">
        <f>OR(F697&lt;&gt;0,G697&lt;&gt;0,H697&lt;&gt;0,I697&lt;&gt;0)*(F697 + (F697 = 0))*(G697 + (G697 = 0))*(H697 + (H697 = 0))*(I697 + (I697 = 0))</f>
        <v>0</v>
      </c>
      <c r="K697" s="9"/>
      <c r="L697" s="9"/>
      <c r="M697" s="9"/>
    </row>
    <row r="698" spans="1:13">
      <c r="A698" s="9"/>
      <c r="B698" s="9"/>
      <c r="C698" s="10" t="s">
        <v>27</v>
      </c>
      <c r="D698" s="30"/>
      <c r="E698" s="10" t="s">
        <v>624</v>
      </c>
      <c r="F698" s="19">
        <v>1</v>
      </c>
      <c r="G698" s="20">
        <v>6.4</v>
      </c>
      <c r="H698" s="20">
        <v>0.65</v>
      </c>
      <c r="I698" s="20">
        <v>0</v>
      </c>
      <c r="J698" s="16">
        <f>OR(F698&lt;&gt;0,G698&lt;&gt;0,H698&lt;&gt;0,I698&lt;&gt;0)*(F698 + (F698 = 0))*(G698 + (G698 = 0))*(H698 + (H698 = 0))*(I698 + (I698 = 0))</f>
        <v>4.16</v>
      </c>
      <c r="K698" s="9"/>
      <c r="L698" s="9"/>
      <c r="M698" s="9"/>
    </row>
    <row r="699" spans="1:13">
      <c r="A699" s="9"/>
      <c r="B699" s="9"/>
      <c r="C699" s="10" t="s">
        <v>27</v>
      </c>
      <c r="D699" s="30"/>
      <c r="E699" s="10" t="s">
        <v>17</v>
      </c>
      <c r="F699" s="19">
        <v>1</v>
      </c>
      <c r="G699" s="20">
        <v>0</v>
      </c>
      <c r="H699" s="20">
        <v>0.45</v>
      </c>
      <c r="I699" s="20">
        <v>2.5</v>
      </c>
      <c r="J699" s="16">
        <f>OR(F699&lt;&gt;0,G699&lt;&gt;0,H699&lt;&gt;0,I699&lt;&gt;0)*(F699 + (F699 = 0))*(G699 + (G699 = 0))*(H699 + (H699 = 0))*(I699 + (I699 = 0))</f>
        <v>1.125</v>
      </c>
      <c r="K699" s="9"/>
      <c r="L699" s="9"/>
      <c r="M699" s="9"/>
    </row>
    <row r="700" spans="1:13">
      <c r="A700" s="9"/>
      <c r="B700" s="9"/>
      <c r="C700" s="10" t="s">
        <v>27</v>
      </c>
      <c r="D700" s="30"/>
      <c r="E700" s="10" t="s">
        <v>625</v>
      </c>
      <c r="F700" s="19">
        <v>1</v>
      </c>
      <c r="G700" s="20">
        <v>6.35</v>
      </c>
      <c r="H700" s="20">
        <v>0.25</v>
      </c>
      <c r="I700" s="20">
        <v>0</v>
      </c>
      <c r="J700" s="16">
        <f>OR(F700&lt;&gt;0,G700&lt;&gt;0,H700&lt;&gt;0,I700&lt;&gt;0)*(F700 + (F700 = 0))*(G700 + (G700 = 0))*(H700 + (H700 = 0))*(I700 + (I700 = 0))</f>
        <v>1.5880000000000001</v>
      </c>
      <c r="K700" s="9"/>
      <c r="L700" s="9"/>
      <c r="M700" s="9"/>
    </row>
    <row r="701" spans="1:13">
      <c r="A701" s="9"/>
      <c r="B701" s="9"/>
      <c r="C701" s="10" t="s">
        <v>27</v>
      </c>
      <c r="D701" s="30"/>
      <c r="E701" s="10" t="s">
        <v>626</v>
      </c>
      <c r="F701" s="19">
        <v>1</v>
      </c>
      <c r="G701" s="20">
        <v>6.6</v>
      </c>
      <c r="H701" s="20">
        <v>0.3</v>
      </c>
      <c r="I701" s="20">
        <v>0</v>
      </c>
      <c r="J701" s="16">
        <f>OR(F701&lt;&gt;0,G701&lt;&gt;0,H701&lt;&gt;0,I701&lt;&gt;0)*(F701 + (F701 = 0))*(G701 + (G701 = 0))*(H701 + (H701 = 0))*(I701 + (I701 = 0))</f>
        <v>1.98</v>
      </c>
      <c r="K701" s="9"/>
      <c r="L701" s="9"/>
      <c r="M701" s="9"/>
    </row>
    <row r="702" spans="1:13">
      <c r="A702" s="9"/>
      <c r="B702" s="9"/>
      <c r="C702" s="10" t="s">
        <v>27</v>
      </c>
      <c r="D702" s="30"/>
      <c r="E702" s="10" t="s">
        <v>627</v>
      </c>
      <c r="F702" s="19">
        <v>1</v>
      </c>
      <c r="G702" s="20">
        <v>4.2300000000000004</v>
      </c>
      <c r="H702" s="20">
        <v>0.3</v>
      </c>
      <c r="I702" s="20">
        <v>0</v>
      </c>
      <c r="J702" s="16">
        <f>OR(F702&lt;&gt;0,G702&lt;&gt;0,H702&lt;&gt;0,I702&lt;&gt;0)*(F702 + (F702 = 0))*(G702 + (G702 = 0))*(H702 + (H702 = 0))*(I702 + (I702 = 0))</f>
        <v>1.2689999999999999</v>
      </c>
      <c r="K702" s="9"/>
      <c r="L702" s="9"/>
      <c r="M702" s="9"/>
    </row>
    <row r="703" spans="1:13">
      <c r="A703" s="9"/>
      <c r="B703" s="9"/>
      <c r="C703" s="10" t="s">
        <v>27</v>
      </c>
      <c r="D703" s="30"/>
      <c r="E703" s="10" t="s">
        <v>17</v>
      </c>
      <c r="F703" s="19">
        <v>1</v>
      </c>
      <c r="G703" s="20">
        <v>9.3000000000000007</v>
      </c>
      <c r="H703" s="20">
        <v>0.3</v>
      </c>
      <c r="I703" s="20">
        <v>0</v>
      </c>
      <c r="J703" s="16">
        <f>OR(F703&lt;&gt;0,G703&lt;&gt;0,H703&lt;&gt;0,I703&lt;&gt;0)*(F703 + (F703 = 0))*(G703 + (G703 = 0))*(H703 + (H703 = 0))*(I703 + (I703 = 0))</f>
        <v>2.79</v>
      </c>
      <c r="K703" s="9"/>
      <c r="L703" s="9"/>
      <c r="M703" s="9"/>
    </row>
    <row r="704" spans="1:13">
      <c r="A704" s="9"/>
      <c r="B704" s="9"/>
      <c r="C704" s="10" t="s">
        <v>27</v>
      </c>
      <c r="D704" s="30"/>
      <c r="E704" s="10" t="s">
        <v>17</v>
      </c>
      <c r="F704" s="19">
        <v>1</v>
      </c>
      <c r="G704" s="20">
        <v>8</v>
      </c>
      <c r="H704" s="20">
        <v>0.2</v>
      </c>
      <c r="I704" s="20">
        <v>0</v>
      </c>
      <c r="J704" s="16">
        <f>OR(F704&lt;&gt;0,G704&lt;&gt;0,H704&lt;&gt;0,I704&lt;&gt;0)*(F704 + (F704 = 0))*(G704 + (G704 = 0))*(H704 + (H704 = 0))*(I704 + (I704 = 0))</f>
        <v>1.6</v>
      </c>
      <c r="K704" s="9"/>
      <c r="L704" s="9"/>
      <c r="M704" s="9"/>
    </row>
    <row r="705" spans="1:13">
      <c r="A705" s="9"/>
      <c r="B705" s="9"/>
      <c r="C705" s="10" t="s">
        <v>27</v>
      </c>
      <c r="D705" s="30"/>
      <c r="E705" s="10" t="s">
        <v>628</v>
      </c>
      <c r="F705" s="19">
        <v>1</v>
      </c>
      <c r="G705" s="20">
        <v>6.6</v>
      </c>
      <c r="H705" s="20">
        <v>0.3</v>
      </c>
      <c r="I705" s="20">
        <v>0</v>
      </c>
      <c r="J705" s="16">
        <f>OR(F705&lt;&gt;0,G705&lt;&gt;0,H705&lt;&gt;0,I705&lt;&gt;0)*(F705 + (F705 = 0))*(G705 + (G705 = 0))*(H705 + (H705 = 0))*(I705 + (I705 = 0))</f>
        <v>1.98</v>
      </c>
      <c r="K705" s="9"/>
      <c r="L705" s="9"/>
      <c r="M705" s="9"/>
    </row>
    <row r="706" spans="1:13">
      <c r="A706" s="9"/>
      <c r="B706" s="9"/>
      <c r="C706" s="10" t="s">
        <v>27</v>
      </c>
      <c r="D706" s="30"/>
      <c r="E706" s="10" t="s">
        <v>629</v>
      </c>
      <c r="F706" s="19">
        <v>1</v>
      </c>
      <c r="G706" s="20">
        <v>0</v>
      </c>
      <c r="H706" s="20">
        <v>0.35</v>
      </c>
      <c r="I706" s="20">
        <v>2.65</v>
      </c>
      <c r="J706" s="16">
        <f>OR(F706&lt;&gt;0,G706&lt;&gt;0,H706&lt;&gt;0,I706&lt;&gt;0)*(F706 + (F706 = 0))*(G706 + (G706 = 0))*(H706 + (H706 = 0))*(I706 + (I706 = 0))</f>
        <v>0.92800000000000005</v>
      </c>
      <c r="K706" s="9"/>
      <c r="L706" s="9"/>
      <c r="M706" s="9"/>
    </row>
    <row r="707" spans="1:13">
      <c r="A707" s="9"/>
      <c r="B707" s="9"/>
      <c r="C707" s="10" t="s">
        <v>27</v>
      </c>
      <c r="D707" s="30"/>
      <c r="E707" s="10" t="s">
        <v>228</v>
      </c>
      <c r="F707" s="19"/>
      <c r="G707" s="20"/>
      <c r="H707" s="20"/>
      <c r="I707" s="20"/>
      <c r="J707" s="16">
        <f>OR(F707&lt;&gt;0,G707&lt;&gt;0,H707&lt;&gt;0,I707&lt;&gt;0)*(F707 + (F707 = 0))*(G707 + (G707 = 0))*(H707 + (H707 = 0))*(I707 + (I707 = 0))</f>
        <v>0</v>
      </c>
      <c r="K707" s="9"/>
      <c r="L707" s="9"/>
      <c r="M707" s="9"/>
    </row>
    <row r="708" spans="1:13">
      <c r="A708" s="9"/>
      <c r="B708" s="9"/>
      <c r="C708" s="10" t="s">
        <v>27</v>
      </c>
      <c r="D708" s="30"/>
      <c r="E708" s="10" t="s">
        <v>628</v>
      </c>
      <c r="F708" s="19">
        <v>1</v>
      </c>
      <c r="G708" s="20">
        <v>8.35</v>
      </c>
      <c r="H708" s="20">
        <v>0.15</v>
      </c>
      <c r="I708" s="20">
        <v>0</v>
      </c>
      <c r="J708" s="16">
        <f>OR(F708&lt;&gt;0,G708&lt;&gt;0,H708&lt;&gt;0,I708&lt;&gt;0)*(F708 + (F708 = 0))*(G708 + (G708 = 0))*(H708 + (H708 = 0))*(I708 + (I708 = 0))</f>
        <v>1.2529999999999999</v>
      </c>
      <c r="K708" s="9"/>
      <c r="L708" s="9"/>
      <c r="M708" s="9"/>
    </row>
    <row r="709" spans="1:13">
      <c r="A709" s="9"/>
      <c r="B709" s="9"/>
      <c r="C709" s="10" t="s">
        <v>27</v>
      </c>
      <c r="D709" s="30"/>
      <c r="E709" s="10" t="s">
        <v>17</v>
      </c>
      <c r="F709" s="19">
        <v>1</v>
      </c>
      <c r="G709" s="20">
        <v>10</v>
      </c>
      <c r="H709" s="20">
        <v>0.15</v>
      </c>
      <c r="I709" s="20">
        <v>0</v>
      </c>
      <c r="J709" s="16">
        <f>OR(F709&lt;&gt;0,G709&lt;&gt;0,H709&lt;&gt;0,I709&lt;&gt;0)*(F709 + (F709 = 0))*(G709 + (G709 = 0))*(H709 + (H709 = 0))*(I709 + (I709 = 0))</f>
        <v>1.5</v>
      </c>
      <c r="K709" s="9"/>
      <c r="L709" s="9"/>
      <c r="M709" s="9"/>
    </row>
    <row r="710" spans="1:13">
      <c r="A710" s="9"/>
      <c r="B710" s="9"/>
      <c r="C710" s="10" t="s">
        <v>27</v>
      </c>
      <c r="D710" s="30"/>
      <c r="E710" s="10" t="s">
        <v>17</v>
      </c>
      <c r="F710" s="19">
        <v>2</v>
      </c>
      <c r="G710" s="20">
        <v>0</v>
      </c>
      <c r="H710" s="20">
        <v>0.15</v>
      </c>
      <c r="I710" s="20">
        <v>2.4500000000000002</v>
      </c>
      <c r="J710" s="16">
        <f>OR(F710&lt;&gt;0,G710&lt;&gt;0,H710&lt;&gt;0,I710&lt;&gt;0)*(F710 + (F710 = 0))*(G710 + (G710 = 0))*(H710 + (H710 = 0))*(I710 + (I710 = 0))</f>
        <v>0.73499999999999999</v>
      </c>
      <c r="K710" s="9"/>
      <c r="L710" s="9"/>
      <c r="M710" s="9"/>
    </row>
    <row r="711" spans="1:13">
      <c r="A711" s="9"/>
      <c r="B711" s="9"/>
      <c r="C711" s="10" t="s">
        <v>27</v>
      </c>
      <c r="D711" s="30"/>
      <c r="E711" s="10" t="s">
        <v>17</v>
      </c>
      <c r="F711" s="19">
        <v>2</v>
      </c>
      <c r="G711" s="20">
        <v>0</v>
      </c>
      <c r="H711" s="20">
        <v>0.3</v>
      </c>
      <c r="I711" s="20">
        <v>2</v>
      </c>
      <c r="J711" s="16">
        <f>OR(F711&lt;&gt;0,G711&lt;&gt;0,H711&lt;&gt;0,I711&lt;&gt;0)*(F711 + (F711 = 0))*(G711 + (G711 = 0))*(H711 + (H711 = 0))*(I711 + (I711 = 0))</f>
        <v>1.2</v>
      </c>
      <c r="K711" s="9"/>
      <c r="L711" s="9"/>
      <c r="M711" s="9"/>
    </row>
    <row r="712" spans="1:13">
      <c r="A712" s="9"/>
      <c r="B712" s="9"/>
      <c r="C712" s="10" t="s">
        <v>27</v>
      </c>
      <c r="D712" s="30"/>
      <c r="E712" s="10" t="s">
        <v>17</v>
      </c>
      <c r="F712" s="19">
        <v>4</v>
      </c>
      <c r="G712" s="20">
        <v>2.5499999999999998</v>
      </c>
      <c r="H712" s="20">
        <v>0.25</v>
      </c>
      <c r="I712" s="20">
        <v>0</v>
      </c>
      <c r="J712" s="16">
        <f>OR(F712&lt;&gt;0,G712&lt;&gt;0,H712&lt;&gt;0,I712&lt;&gt;0)*(F712 + (F712 = 0))*(G712 + (G712 = 0))*(H712 + (H712 = 0))*(I712 + (I712 = 0))</f>
        <v>2.5499999999999998</v>
      </c>
      <c r="K712" s="9"/>
      <c r="L712" s="9"/>
      <c r="M712" s="9"/>
    </row>
    <row r="713" spans="1:13">
      <c r="A713" s="9"/>
      <c r="B713" s="9"/>
      <c r="C713" s="10" t="s">
        <v>27</v>
      </c>
      <c r="D713" s="30"/>
      <c r="E713" s="10" t="s">
        <v>630</v>
      </c>
      <c r="F713" s="19">
        <v>1</v>
      </c>
      <c r="G713" s="20">
        <v>5.75</v>
      </c>
      <c r="H713" s="20">
        <v>0.3</v>
      </c>
      <c r="I713" s="20">
        <v>0</v>
      </c>
      <c r="J713" s="16">
        <f>OR(F713&lt;&gt;0,G713&lt;&gt;0,H713&lt;&gt;0,I713&lt;&gt;0)*(F713 + (F713 = 0))*(G713 + (G713 = 0))*(H713 + (H713 = 0))*(I713 + (I713 = 0))</f>
        <v>1.7250000000000001</v>
      </c>
      <c r="K713" s="9"/>
      <c r="L713" s="9"/>
      <c r="M713" s="9"/>
    </row>
    <row r="714" spans="1:13">
      <c r="A714" s="9"/>
      <c r="B714" s="9"/>
      <c r="C714" s="10" t="s">
        <v>27</v>
      </c>
      <c r="D714" s="30"/>
      <c r="E714" s="10" t="s">
        <v>631</v>
      </c>
      <c r="F714" s="19">
        <v>1</v>
      </c>
      <c r="G714" s="20">
        <v>7.27</v>
      </c>
      <c r="H714" s="20">
        <v>0.2</v>
      </c>
      <c r="I714" s="20">
        <v>0</v>
      </c>
      <c r="J714" s="16">
        <f>OR(F714&lt;&gt;0,G714&lt;&gt;0,H714&lt;&gt;0,I714&lt;&gt;0)*(F714 + (F714 = 0))*(G714 + (G714 = 0))*(H714 + (H714 = 0))*(I714 + (I714 = 0))</f>
        <v>1.454</v>
      </c>
      <c r="K714" s="9"/>
      <c r="L714" s="9"/>
      <c r="M714" s="9"/>
    </row>
    <row r="715" spans="1:13">
      <c r="A715" s="9"/>
      <c r="B715" s="9"/>
      <c r="C715" s="10" t="s">
        <v>27</v>
      </c>
      <c r="D715" s="30"/>
      <c r="E715" s="10" t="s">
        <v>632</v>
      </c>
      <c r="F715" s="19">
        <v>1</v>
      </c>
      <c r="G715" s="20">
        <v>4.75</v>
      </c>
      <c r="H715" s="20">
        <v>0.25</v>
      </c>
      <c r="I715" s="20">
        <v>0</v>
      </c>
      <c r="J715" s="16">
        <f>OR(F715&lt;&gt;0,G715&lt;&gt;0,H715&lt;&gt;0,I715&lt;&gt;0)*(F715 + (F715 = 0))*(G715 + (G715 = 0))*(H715 + (H715 = 0))*(I715 + (I715 = 0))</f>
        <v>1.1879999999999999</v>
      </c>
      <c r="K715" s="9"/>
      <c r="L715" s="9"/>
      <c r="M715" s="9"/>
    </row>
    <row r="716" spans="1:13">
      <c r="A716" s="9"/>
      <c r="B716" s="9"/>
      <c r="C716" s="10" t="s">
        <v>27</v>
      </c>
      <c r="D716" s="30"/>
      <c r="E716" s="10" t="s">
        <v>17</v>
      </c>
      <c r="F716" s="19">
        <v>1</v>
      </c>
      <c r="G716" s="20">
        <v>4.55</v>
      </c>
      <c r="H716" s="20">
        <v>0.3</v>
      </c>
      <c r="I716" s="20">
        <v>0</v>
      </c>
      <c r="J716" s="16">
        <f>OR(F716&lt;&gt;0,G716&lt;&gt;0,H716&lt;&gt;0,I716&lt;&gt;0)*(F716 + (F716 = 0))*(G716 + (G716 = 0))*(H716 + (H716 = 0))*(I716 + (I716 = 0))</f>
        <v>1.365</v>
      </c>
      <c r="K716" s="9"/>
      <c r="L716" s="9"/>
      <c r="M716" s="9"/>
    </row>
    <row r="717" spans="1:13">
      <c r="A717" s="9"/>
      <c r="B717" s="9"/>
      <c r="C717" s="10" t="s">
        <v>27</v>
      </c>
      <c r="D717" s="30"/>
      <c r="E717" s="10" t="s">
        <v>633</v>
      </c>
      <c r="F717" s="19">
        <v>1</v>
      </c>
      <c r="G717" s="20">
        <v>4.75</v>
      </c>
      <c r="H717" s="20">
        <v>0.25</v>
      </c>
      <c r="I717" s="20">
        <v>0</v>
      </c>
      <c r="J717" s="16">
        <f>OR(F717&lt;&gt;0,G717&lt;&gt;0,H717&lt;&gt;0,I717&lt;&gt;0)*(F717 + (F717 = 0))*(G717 + (G717 = 0))*(H717 + (H717 = 0))*(I717 + (I717 = 0))</f>
        <v>1.1879999999999999</v>
      </c>
      <c r="K717" s="9"/>
      <c r="L717" s="9"/>
      <c r="M717" s="9"/>
    </row>
    <row r="718" spans="1:13">
      <c r="A718" s="9"/>
      <c r="B718" s="9"/>
      <c r="C718" s="10" t="s">
        <v>27</v>
      </c>
      <c r="D718" s="30"/>
      <c r="E718" s="10" t="s">
        <v>17</v>
      </c>
      <c r="F718" s="19">
        <v>1</v>
      </c>
      <c r="G718" s="20">
        <v>4.55</v>
      </c>
      <c r="H718" s="20">
        <v>0.3</v>
      </c>
      <c r="I718" s="20">
        <v>0</v>
      </c>
      <c r="J718" s="16">
        <f>OR(F718&lt;&gt;0,G718&lt;&gt;0,H718&lt;&gt;0,I718&lt;&gt;0)*(F718 + (F718 = 0))*(G718 + (G718 = 0))*(H718 + (H718 = 0))*(I718 + (I718 = 0))</f>
        <v>1.365</v>
      </c>
      <c r="K718" s="9"/>
      <c r="L718" s="9"/>
      <c r="M718" s="9"/>
    </row>
    <row r="719" spans="1:13">
      <c r="A719" s="9"/>
      <c r="B719" s="9"/>
      <c r="C719" s="9"/>
      <c r="D719" s="30"/>
      <c r="E719" s="9"/>
      <c r="F719" s="9"/>
      <c r="G719" s="9"/>
      <c r="H719" s="9"/>
      <c r="I719" s="9"/>
      <c r="J719" s="21" t="s">
        <v>634</v>
      </c>
      <c r="K719" s="22">
        <f>SUM(J697:J718)</f>
        <v>32.942999999999998</v>
      </c>
      <c r="L719" s="23">
        <v>0</v>
      </c>
      <c r="M719" s="24">
        <f>ROUND(K719*L719,2)</f>
        <v>0</v>
      </c>
    </row>
    <row r="720" spans="1:13" ht="0.95" customHeight="1">
      <c r="A720" s="25"/>
      <c r="B720" s="25"/>
      <c r="C720" s="25"/>
      <c r="D720" s="31"/>
      <c r="E720" s="25"/>
      <c r="F720" s="25"/>
      <c r="G720" s="25"/>
      <c r="H720" s="25"/>
      <c r="I720" s="25"/>
      <c r="J720" s="25"/>
      <c r="K720" s="25"/>
      <c r="L720" s="25"/>
      <c r="M720" s="25"/>
    </row>
    <row r="721" spans="1:13">
      <c r="A721" s="15" t="s">
        <v>635</v>
      </c>
      <c r="B721" s="10" t="s">
        <v>23</v>
      </c>
      <c r="C721" s="10" t="s">
        <v>636</v>
      </c>
      <c r="D721" s="18" t="s">
        <v>637</v>
      </c>
      <c r="E721" s="9"/>
      <c r="F721" s="9"/>
      <c r="G721" s="9"/>
      <c r="H721" s="9"/>
      <c r="I721" s="9"/>
      <c r="J721" s="9"/>
      <c r="K721" s="16">
        <f>K724</f>
        <v>1</v>
      </c>
      <c r="L721" s="17">
        <f>L724</f>
        <v>0</v>
      </c>
      <c r="M721" s="17">
        <f>M724</f>
        <v>0</v>
      </c>
    </row>
    <row r="722" spans="1:13">
      <c r="A722" s="9"/>
      <c r="B722" s="9"/>
      <c r="C722" s="9"/>
      <c r="D722" s="18" t="s">
        <v>638</v>
      </c>
      <c r="E722" s="9"/>
      <c r="F722" s="9"/>
      <c r="G722" s="9"/>
      <c r="H722" s="9"/>
      <c r="I722" s="9"/>
      <c r="J722" s="9"/>
      <c r="K722" s="9"/>
      <c r="L722" s="9"/>
      <c r="M722" s="9"/>
    </row>
    <row r="723" spans="1:13">
      <c r="A723" s="9"/>
      <c r="B723" s="9"/>
      <c r="C723" s="10" t="s">
        <v>27</v>
      </c>
      <c r="D723" s="30"/>
      <c r="E723" s="10" t="s">
        <v>639</v>
      </c>
      <c r="F723" s="19">
        <v>1</v>
      </c>
      <c r="G723" s="23">
        <v>0</v>
      </c>
      <c r="H723" s="23">
        <v>0</v>
      </c>
      <c r="I723" s="23">
        <v>0</v>
      </c>
      <c r="J723" s="17">
        <f>OR(F723&lt;&gt;0,G723&lt;&gt;0,H723&lt;&gt;0,I723&lt;&gt;0)*(F723 + (F723 = 0))*(G723 + (G723 = 0))*(H723 + (H723 = 0))*(I723 + (I723 = 0))</f>
        <v>1</v>
      </c>
      <c r="K723" s="9"/>
      <c r="L723" s="9"/>
      <c r="M723" s="9"/>
    </row>
    <row r="724" spans="1:13">
      <c r="A724" s="9"/>
      <c r="B724" s="9"/>
      <c r="C724" s="9"/>
      <c r="D724" s="30"/>
      <c r="E724" s="9"/>
      <c r="F724" s="9"/>
      <c r="G724" s="9"/>
      <c r="H724" s="9"/>
      <c r="I724" s="9"/>
      <c r="J724" s="21" t="s">
        <v>640</v>
      </c>
      <c r="K724" s="22">
        <f>J723</f>
        <v>1</v>
      </c>
      <c r="L724" s="23">
        <v>0</v>
      </c>
      <c r="M724" s="24">
        <f>ROUND(K724*L724,2)</f>
        <v>0</v>
      </c>
    </row>
    <row r="725" spans="1:13" ht="0.95" customHeight="1">
      <c r="A725" s="25"/>
      <c r="B725" s="25"/>
      <c r="C725" s="25"/>
      <c r="D725" s="31"/>
      <c r="E725" s="25"/>
      <c r="F725" s="25"/>
      <c r="G725" s="25"/>
      <c r="H725" s="25"/>
      <c r="I725" s="25"/>
      <c r="J725" s="25"/>
      <c r="K725" s="25"/>
      <c r="L725" s="25"/>
      <c r="M725" s="25"/>
    </row>
    <row r="726" spans="1:13">
      <c r="A726" s="9"/>
      <c r="B726" s="9"/>
      <c r="C726" s="9"/>
      <c r="D726" s="30"/>
      <c r="E726" s="9"/>
      <c r="F726" s="9"/>
      <c r="G726" s="9"/>
      <c r="H726" s="9"/>
      <c r="I726" s="9"/>
      <c r="J726" s="21" t="s">
        <v>641</v>
      </c>
      <c r="K726" s="20">
        <v>1</v>
      </c>
      <c r="L726" s="24">
        <f>M695+M721</f>
        <v>0</v>
      </c>
      <c r="M726" s="24">
        <f>ROUND(K726*L726,2)</f>
        <v>0</v>
      </c>
    </row>
    <row r="727" spans="1:13" ht="0.95" customHeight="1">
      <c r="A727" s="25"/>
      <c r="B727" s="25"/>
      <c r="C727" s="25"/>
      <c r="D727" s="31"/>
      <c r="E727" s="25"/>
      <c r="F727" s="25"/>
      <c r="G727" s="25"/>
      <c r="H727" s="25"/>
      <c r="I727" s="25"/>
      <c r="J727" s="25"/>
      <c r="K727" s="25"/>
      <c r="L727" s="25"/>
      <c r="M727" s="25"/>
    </row>
    <row r="728" spans="1:13">
      <c r="A728" s="11" t="s">
        <v>642</v>
      </c>
      <c r="B728" s="11" t="s">
        <v>16</v>
      </c>
      <c r="C728" s="11" t="s">
        <v>17</v>
      </c>
      <c r="D728" s="29" t="s">
        <v>643</v>
      </c>
      <c r="E728" s="12"/>
      <c r="F728" s="12"/>
      <c r="G728" s="12"/>
      <c r="H728" s="12"/>
      <c r="I728" s="12"/>
      <c r="J728" s="12"/>
      <c r="K728" s="13">
        <f>K743</f>
        <v>1</v>
      </c>
      <c r="L728" s="14">
        <f>L743</f>
        <v>0</v>
      </c>
      <c r="M728" s="14">
        <f>M743</f>
        <v>0</v>
      </c>
    </row>
    <row r="729" spans="1:13" ht="33.75">
      <c r="A729" s="15" t="s">
        <v>644</v>
      </c>
      <c r="B729" s="10" t="s">
        <v>23</v>
      </c>
      <c r="C729" s="10" t="s">
        <v>94</v>
      </c>
      <c r="D729" s="18" t="s">
        <v>645</v>
      </c>
      <c r="E729" s="9"/>
      <c r="F729" s="9"/>
      <c r="G729" s="9"/>
      <c r="H729" s="9"/>
      <c r="I729" s="9"/>
      <c r="J729" s="9"/>
      <c r="K729" s="20">
        <v>279.33</v>
      </c>
      <c r="L729" s="23">
        <v>0</v>
      </c>
      <c r="M729" s="17">
        <f>ROUND(K729*L729,2)</f>
        <v>0</v>
      </c>
    </row>
    <row r="730" spans="1:13">
      <c r="A730" s="9"/>
      <c r="B730" s="9"/>
      <c r="C730" s="9"/>
      <c r="D730" s="18" t="s">
        <v>646</v>
      </c>
      <c r="E730" s="9"/>
      <c r="F730" s="9"/>
      <c r="G730" s="9"/>
      <c r="H730" s="9"/>
      <c r="I730" s="9"/>
      <c r="J730" s="9"/>
      <c r="K730" s="9"/>
      <c r="L730" s="9"/>
      <c r="M730" s="9"/>
    </row>
    <row r="731" spans="1:13" ht="33.75">
      <c r="A731" s="15" t="s">
        <v>647</v>
      </c>
      <c r="B731" s="10" t="s">
        <v>23</v>
      </c>
      <c r="C731" s="10" t="s">
        <v>94</v>
      </c>
      <c r="D731" s="18" t="s">
        <v>645</v>
      </c>
      <c r="E731" s="9"/>
      <c r="F731" s="9"/>
      <c r="G731" s="9"/>
      <c r="H731" s="9"/>
      <c r="I731" s="9"/>
      <c r="J731" s="9"/>
      <c r="K731" s="20">
        <v>279.33</v>
      </c>
      <c r="L731" s="23">
        <v>0</v>
      </c>
      <c r="M731" s="17">
        <f>ROUND(K731*L731,2)</f>
        <v>0</v>
      </c>
    </row>
    <row r="732" spans="1:13">
      <c r="A732" s="9"/>
      <c r="B732" s="9"/>
      <c r="C732" s="9"/>
      <c r="D732" s="18" t="s">
        <v>648</v>
      </c>
      <c r="E732" s="9"/>
      <c r="F732" s="9"/>
      <c r="G732" s="9"/>
      <c r="H732" s="9"/>
      <c r="I732" s="9"/>
      <c r="J732" s="9"/>
      <c r="K732" s="9"/>
      <c r="L732" s="9"/>
      <c r="M732" s="9"/>
    </row>
    <row r="733" spans="1:13" ht="33.75">
      <c r="A733" s="15" t="s">
        <v>649</v>
      </c>
      <c r="B733" s="10" t="s">
        <v>23</v>
      </c>
      <c r="C733" s="10" t="s">
        <v>94</v>
      </c>
      <c r="D733" s="18" t="s">
        <v>645</v>
      </c>
      <c r="E733" s="9"/>
      <c r="F733" s="9"/>
      <c r="G733" s="9"/>
      <c r="H733" s="9"/>
      <c r="I733" s="9"/>
      <c r="J733" s="9"/>
      <c r="K733" s="20">
        <v>279.33</v>
      </c>
      <c r="L733" s="23">
        <v>0</v>
      </c>
      <c r="M733" s="17">
        <f>ROUND(K733*L733,2)</f>
        <v>0</v>
      </c>
    </row>
    <row r="734" spans="1:13">
      <c r="A734" s="9"/>
      <c r="B734" s="9"/>
      <c r="C734" s="9"/>
      <c r="D734" s="18" t="s">
        <v>650</v>
      </c>
      <c r="E734" s="9"/>
      <c r="F734" s="9"/>
      <c r="G734" s="9"/>
      <c r="H734" s="9"/>
      <c r="I734" s="9"/>
      <c r="J734" s="9"/>
      <c r="K734" s="9"/>
      <c r="L734" s="9"/>
      <c r="M734" s="9"/>
    </row>
    <row r="735" spans="1:13" ht="33.75">
      <c r="A735" s="15" t="s">
        <v>651</v>
      </c>
      <c r="B735" s="10" t="s">
        <v>23</v>
      </c>
      <c r="C735" s="10" t="s">
        <v>94</v>
      </c>
      <c r="D735" s="18" t="s">
        <v>645</v>
      </c>
      <c r="E735" s="9"/>
      <c r="F735" s="9"/>
      <c r="G735" s="9"/>
      <c r="H735" s="9"/>
      <c r="I735" s="9"/>
      <c r="J735" s="9"/>
      <c r="K735" s="20">
        <v>279.33</v>
      </c>
      <c r="L735" s="23">
        <v>0</v>
      </c>
      <c r="M735" s="17">
        <f>ROUND(K735*L735,2)</f>
        <v>0</v>
      </c>
    </row>
    <row r="736" spans="1:13">
      <c r="A736" s="9"/>
      <c r="B736" s="9"/>
      <c r="C736" s="9"/>
      <c r="D736" s="18" t="s">
        <v>652</v>
      </c>
      <c r="E736" s="9"/>
      <c r="F736" s="9"/>
      <c r="G736" s="9"/>
      <c r="H736" s="9"/>
      <c r="I736" s="9"/>
      <c r="J736" s="9"/>
      <c r="K736" s="9"/>
      <c r="L736" s="9"/>
      <c r="M736" s="9"/>
    </row>
    <row r="737" spans="1:13" ht="33.75">
      <c r="A737" s="15" t="s">
        <v>653</v>
      </c>
      <c r="B737" s="10" t="s">
        <v>23</v>
      </c>
      <c r="C737" s="10" t="s">
        <v>94</v>
      </c>
      <c r="D737" s="18" t="s">
        <v>645</v>
      </c>
      <c r="E737" s="9"/>
      <c r="F737" s="9"/>
      <c r="G737" s="9"/>
      <c r="H737" s="9"/>
      <c r="I737" s="9"/>
      <c r="J737" s="9"/>
      <c r="K737" s="20">
        <v>279.33</v>
      </c>
      <c r="L737" s="23">
        <v>0</v>
      </c>
      <c r="M737" s="17">
        <f>ROUND(K737*L737,2)</f>
        <v>0</v>
      </c>
    </row>
    <row r="738" spans="1:13">
      <c r="A738" s="9"/>
      <c r="B738" s="9"/>
      <c r="C738" s="9"/>
      <c r="D738" s="18" t="s">
        <v>654</v>
      </c>
      <c r="E738" s="9"/>
      <c r="F738" s="9"/>
      <c r="G738" s="9"/>
      <c r="H738" s="9"/>
      <c r="I738" s="9"/>
      <c r="J738" s="9"/>
      <c r="K738" s="9"/>
      <c r="L738" s="9"/>
      <c r="M738" s="9"/>
    </row>
    <row r="739" spans="1:13" ht="33.75">
      <c r="A739" s="15" t="s">
        <v>655</v>
      </c>
      <c r="B739" s="10" t="s">
        <v>23</v>
      </c>
      <c r="C739" s="10" t="s">
        <v>94</v>
      </c>
      <c r="D739" s="18" t="s">
        <v>645</v>
      </c>
      <c r="E739" s="9"/>
      <c r="F739" s="9"/>
      <c r="G739" s="9"/>
      <c r="H739" s="9"/>
      <c r="I739" s="9"/>
      <c r="J739" s="9"/>
      <c r="K739" s="20">
        <v>279.33</v>
      </c>
      <c r="L739" s="23">
        <v>0</v>
      </c>
      <c r="M739" s="17">
        <f>ROUND(K739*L739,2)</f>
        <v>0</v>
      </c>
    </row>
    <row r="740" spans="1:13">
      <c r="A740" s="9"/>
      <c r="B740" s="9"/>
      <c r="C740" s="9"/>
      <c r="D740" s="18" t="s">
        <v>656</v>
      </c>
      <c r="E740" s="9"/>
      <c r="F740" s="9"/>
      <c r="G740" s="9"/>
      <c r="H740" s="9"/>
      <c r="I740" s="9"/>
      <c r="J740" s="9"/>
      <c r="K740" s="9"/>
      <c r="L740" s="9"/>
      <c r="M740" s="9"/>
    </row>
    <row r="741" spans="1:13" ht="33.75">
      <c r="A741" s="15" t="s">
        <v>657</v>
      </c>
      <c r="B741" s="10" t="s">
        <v>23</v>
      </c>
      <c r="C741" s="10" t="s">
        <v>94</v>
      </c>
      <c r="D741" s="18" t="s">
        <v>645</v>
      </c>
      <c r="E741" s="9"/>
      <c r="F741" s="9"/>
      <c r="G741" s="9"/>
      <c r="H741" s="9"/>
      <c r="I741" s="9"/>
      <c r="J741" s="9"/>
      <c r="K741" s="20">
        <v>279.33</v>
      </c>
      <c r="L741" s="23">
        <v>0</v>
      </c>
      <c r="M741" s="17">
        <f>ROUND(K741*L741,2)</f>
        <v>0</v>
      </c>
    </row>
    <row r="742" spans="1:13">
      <c r="A742" s="9"/>
      <c r="B742" s="9"/>
      <c r="C742" s="9"/>
      <c r="D742" s="18" t="s">
        <v>658</v>
      </c>
      <c r="E742" s="9"/>
      <c r="F742" s="9"/>
      <c r="G742" s="9"/>
      <c r="H742" s="9"/>
      <c r="I742" s="9"/>
      <c r="J742" s="9"/>
      <c r="K742" s="9"/>
      <c r="L742" s="9"/>
      <c r="M742" s="9"/>
    </row>
    <row r="743" spans="1:13">
      <c r="A743" s="9"/>
      <c r="B743" s="9"/>
      <c r="C743" s="9"/>
      <c r="D743" s="30"/>
      <c r="E743" s="9"/>
      <c r="F743" s="9"/>
      <c r="G743" s="9"/>
      <c r="H743" s="9"/>
      <c r="I743" s="9"/>
      <c r="J743" s="21" t="s">
        <v>659</v>
      </c>
      <c r="K743" s="20">
        <v>1</v>
      </c>
      <c r="L743" s="24">
        <f>M729+M731+M733+M735+M737+M739+M741</f>
        <v>0</v>
      </c>
      <c r="M743" s="24">
        <f>ROUND(K743*L743,2)</f>
        <v>0</v>
      </c>
    </row>
    <row r="744" spans="1:13" ht="0.95" customHeight="1">
      <c r="A744" s="25"/>
      <c r="B744" s="25"/>
      <c r="C744" s="25"/>
      <c r="D744" s="31"/>
      <c r="E744" s="25"/>
      <c r="F744" s="25"/>
      <c r="G744" s="25"/>
      <c r="H744" s="25"/>
      <c r="I744" s="25"/>
      <c r="J744" s="25"/>
      <c r="K744" s="25"/>
      <c r="L744" s="25"/>
      <c r="M744" s="25"/>
    </row>
    <row r="745" spans="1:13">
      <c r="A745" s="11" t="s">
        <v>660</v>
      </c>
      <c r="B745" s="11" t="s">
        <v>16</v>
      </c>
      <c r="C745" s="11" t="s">
        <v>17</v>
      </c>
      <c r="D745" s="29" t="s">
        <v>661</v>
      </c>
      <c r="E745" s="12"/>
      <c r="F745" s="12"/>
      <c r="G745" s="12"/>
      <c r="H745" s="12"/>
      <c r="I745" s="12"/>
      <c r="J745" s="12"/>
      <c r="K745" s="13">
        <f>K748</f>
        <v>1</v>
      </c>
      <c r="L745" s="14">
        <f>L748</f>
        <v>0</v>
      </c>
      <c r="M745" s="14">
        <f>M748</f>
        <v>0</v>
      </c>
    </row>
    <row r="746" spans="1:13" ht="33.75">
      <c r="A746" s="15" t="s">
        <v>662</v>
      </c>
      <c r="B746" s="10" t="s">
        <v>23</v>
      </c>
      <c r="C746" s="10" t="s">
        <v>4</v>
      </c>
      <c r="D746" s="18" t="s">
        <v>663</v>
      </c>
      <c r="E746" s="9"/>
      <c r="F746" s="9"/>
      <c r="G746" s="9"/>
      <c r="H746" s="9"/>
      <c r="I746" s="9"/>
      <c r="J746" s="9"/>
      <c r="K746" s="20">
        <v>1</v>
      </c>
      <c r="L746" s="23">
        <v>0</v>
      </c>
      <c r="M746" s="17">
        <f>ROUND(K746*L746,2)</f>
        <v>0</v>
      </c>
    </row>
    <row r="747" spans="1:13">
      <c r="A747" s="9"/>
      <c r="B747" s="9"/>
      <c r="C747" s="9"/>
      <c r="D747" s="18" t="s">
        <v>664</v>
      </c>
      <c r="E747" s="9"/>
      <c r="F747" s="9"/>
      <c r="G747" s="9"/>
      <c r="H747" s="9"/>
      <c r="I747" s="9"/>
      <c r="J747" s="9"/>
      <c r="K747" s="9"/>
      <c r="L747" s="9"/>
      <c r="M747" s="9"/>
    </row>
    <row r="748" spans="1:13">
      <c r="A748" s="9"/>
      <c r="B748" s="9"/>
      <c r="C748" s="9"/>
      <c r="D748" s="30"/>
      <c r="E748" s="9"/>
      <c r="F748" s="9"/>
      <c r="G748" s="9"/>
      <c r="H748" s="9"/>
      <c r="I748" s="9"/>
      <c r="J748" s="21" t="s">
        <v>665</v>
      </c>
      <c r="K748" s="20">
        <v>1</v>
      </c>
      <c r="L748" s="24">
        <f>M746</f>
        <v>0</v>
      </c>
      <c r="M748" s="24">
        <f>ROUND(K748*L748,2)</f>
        <v>0</v>
      </c>
    </row>
    <row r="749" spans="1:13" ht="0.95" customHeight="1">
      <c r="A749" s="25"/>
      <c r="B749" s="25"/>
      <c r="C749" s="25"/>
      <c r="D749" s="31"/>
      <c r="E749" s="25"/>
      <c r="F749" s="25"/>
      <c r="G749" s="25"/>
      <c r="H749" s="25"/>
      <c r="I749" s="25"/>
      <c r="J749" s="25"/>
      <c r="K749" s="25"/>
      <c r="L749" s="25"/>
      <c r="M749" s="25"/>
    </row>
    <row r="750" spans="1:13">
      <c r="A750" s="11" t="s">
        <v>666</v>
      </c>
      <c r="B750" s="11" t="s">
        <v>16</v>
      </c>
      <c r="C750" s="11" t="s">
        <v>17</v>
      </c>
      <c r="D750" s="29" t="s">
        <v>667</v>
      </c>
      <c r="E750" s="12"/>
      <c r="F750" s="12"/>
      <c r="G750" s="12"/>
      <c r="H750" s="12"/>
      <c r="I750" s="12"/>
      <c r="J750" s="12"/>
      <c r="K750" s="13">
        <f>K763</f>
        <v>1</v>
      </c>
      <c r="L750" s="14">
        <f>L763</f>
        <v>0</v>
      </c>
      <c r="M750" s="14">
        <f>M763</f>
        <v>0</v>
      </c>
    </row>
    <row r="751" spans="1:13" ht="45">
      <c r="A751" s="15" t="s">
        <v>668</v>
      </c>
      <c r="B751" s="10" t="s">
        <v>23</v>
      </c>
      <c r="C751" s="10" t="s">
        <v>4</v>
      </c>
      <c r="D751" s="18" t="s">
        <v>669</v>
      </c>
      <c r="E751" s="9"/>
      <c r="F751" s="9"/>
      <c r="G751" s="9"/>
      <c r="H751" s="9"/>
      <c r="I751" s="9"/>
      <c r="J751" s="9"/>
      <c r="K751" s="16">
        <f>K754</f>
        <v>2</v>
      </c>
      <c r="L751" s="17">
        <f>L754</f>
        <v>0</v>
      </c>
      <c r="M751" s="17">
        <f>M754</f>
        <v>0</v>
      </c>
    </row>
    <row r="752" spans="1:13" ht="78.75">
      <c r="A752" s="9"/>
      <c r="B752" s="9"/>
      <c r="C752" s="9"/>
      <c r="D752" s="18" t="s">
        <v>670</v>
      </c>
      <c r="E752" s="9"/>
      <c r="F752" s="9"/>
      <c r="G752" s="9"/>
      <c r="H752" s="9"/>
      <c r="I752" s="9"/>
      <c r="J752" s="9"/>
      <c r="K752" s="9"/>
      <c r="L752" s="9"/>
      <c r="M752" s="9"/>
    </row>
    <row r="753" spans="1:13">
      <c r="A753" s="9"/>
      <c r="B753" s="9"/>
      <c r="C753" s="10" t="s">
        <v>27</v>
      </c>
      <c r="D753" s="30"/>
      <c r="E753" s="10" t="s">
        <v>17</v>
      </c>
      <c r="F753" s="19">
        <v>2</v>
      </c>
      <c r="G753" s="20">
        <v>0</v>
      </c>
      <c r="H753" s="20">
        <v>0</v>
      </c>
      <c r="I753" s="20">
        <v>0</v>
      </c>
      <c r="J753" s="16">
        <f>OR(F753&lt;&gt;0,G753&lt;&gt;0,H753&lt;&gt;0,I753&lt;&gt;0)*(F753 + (F753 = 0))*(G753 + (G753 = 0))*(H753 + (H753 = 0))*(I753 + (I753 = 0))</f>
        <v>2</v>
      </c>
      <c r="K753" s="9"/>
      <c r="L753" s="9"/>
      <c r="M753" s="9"/>
    </row>
    <row r="754" spans="1:13">
      <c r="A754" s="9"/>
      <c r="B754" s="9"/>
      <c r="C754" s="9"/>
      <c r="D754" s="30"/>
      <c r="E754" s="9"/>
      <c r="F754" s="9"/>
      <c r="G754" s="9"/>
      <c r="H754" s="9"/>
      <c r="I754" s="9"/>
      <c r="J754" s="21" t="s">
        <v>671</v>
      </c>
      <c r="K754" s="22">
        <f>J753</f>
        <v>2</v>
      </c>
      <c r="L754" s="23">
        <v>0</v>
      </c>
      <c r="M754" s="24">
        <f>ROUND(K754*L754,2)</f>
        <v>0</v>
      </c>
    </row>
    <row r="755" spans="1:13" ht="0.95" customHeight="1">
      <c r="A755" s="25"/>
      <c r="B755" s="25"/>
      <c r="C755" s="25"/>
      <c r="D755" s="31"/>
      <c r="E755" s="25"/>
      <c r="F755" s="25"/>
      <c r="G755" s="25"/>
      <c r="H755" s="25"/>
      <c r="I755" s="25"/>
      <c r="J755" s="25"/>
      <c r="K755" s="25"/>
      <c r="L755" s="25"/>
      <c r="M755" s="25"/>
    </row>
    <row r="756" spans="1:13" ht="33.75">
      <c r="A756" s="15" t="s">
        <v>672</v>
      </c>
      <c r="B756" s="10" t="s">
        <v>23</v>
      </c>
      <c r="C756" s="10" t="s">
        <v>4</v>
      </c>
      <c r="D756" s="18" t="s">
        <v>673</v>
      </c>
      <c r="E756" s="9"/>
      <c r="F756" s="9"/>
      <c r="G756" s="9"/>
      <c r="H756" s="9"/>
      <c r="I756" s="9"/>
      <c r="J756" s="9"/>
      <c r="K756" s="20">
        <v>26</v>
      </c>
      <c r="L756" s="23">
        <v>0</v>
      </c>
      <c r="M756" s="17">
        <f>ROUND(K756*L756,2)</f>
        <v>0</v>
      </c>
    </row>
    <row r="757" spans="1:13">
      <c r="A757" s="9"/>
      <c r="B757" s="9"/>
      <c r="C757" s="9"/>
      <c r="D757" s="18" t="s">
        <v>674</v>
      </c>
      <c r="E757" s="9"/>
      <c r="F757" s="9"/>
      <c r="G757" s="9"/>
      <c r="H757" s="9"/>
      <c r="I757" s="9"/>
      <c r="J757" s="9"/>
      <c r="K757" s="9"/>
      <c r="L757" s="9"/>
      <c r="M757" s="9"/>
    </row>
    <row r="758" spans="1:13">
      <c r="A758" s="15" t="s">
        <v>675</v>
      </c>
      <c r="B758" s="10" t="s">
        <v>23</v>
      </c>
      <c r="C758" s="10" t="s">
        <v>4</v>
      </c>
      <c r="D758" s="18" t="s">
        <v>676</v>
      </c>
      <c r="E758" s="9"/>
      <c r="F758" s="9"/>
      <c r="G758" s="9"/>
      <c r="H758" s="9"/>
      <c r="I758" s="9"/>
      <c r="J758" s="9"/>
      <c r="K758" s="16">
        <f>K761</f>
        <v>1</v>
      </c>
      <c r="L758" s="17">
        <f>L761</f>
        <v>0</v>
      </c>
      <c r="M758" s="17">
        <f>M761</f>
        <v>0</v>
      </c>
    </row>
    <row r="759" spans="1:13">
      <c r="A759" s="9"/>
      <c r="B759" s="9"/>
      <c r="C759" s="9"/>
      <c r="D759" s="18" t="s">
        <v>677</v>
      </c>
      <c r="E759" s="9"/>
      <c r="F759" s="9"/>
      <c r="G759" s="9"/>
      <c r="H759" s="9"/>
      <c r="I759" s="9"/>
      <c r="J759" s="9"/>
      <c r="K759" s="9"/>
      <c r="L759" s="9"/>
      <c r="M759" s="9"/>
    </row>
    <row r="760" spans="1:13">
      <c r="A760" s="9"/>
      <c r="B760" s="9"/>
      <c r="C760" s="10" t="s">
        <v>27</v>
      </c>
      <c r="D760" s="30"/>
      <c r="E760" s="10" t="s">
        <v>17</v>
      </c>
      <c r="F760" s="19">
        <v>1</v>
      </c>
      <c r="G760" s="23">
        <v>0</v>
      </c>
      <c r="H760" s="23">
        <v>0</v>
      </c>
      <c r="I760" s="23">
        <v>0</v>
      </c>
      <c r="J760" s="17">
        <f>OR(F760&lt;&gt;0,G760&lt;&gt;0,H760&lt;&gt;0,I760&lt;&gt;0)*(F760 + (F760 = 0))*(G760 + (G760 = 0))*(H760 + (H760 = 0))*(I760 + (I760 = 0))</f>
        <v>1</v>
      </c>
      <c r="K760" s="9"/>
      <c r="L760" s="9"/>
      <c r="M760" s="9"/>
    </row>
    <row r="761" spans="1:13">
      <c r="A761" s="9"/>
      <c r="B761" s="9"/>
      <c r="C761" s="9"/>
      <c r="D761" s="30"/>
      <c r="E761" s="9"/>
      <c r="F761" s="9"/>
      <c r="G761" s="9"/>
      <c r="H761" s="9"/>
      <c r="I761" s="9"/>
      <c r="J761" s="21" t="s">
        <v>678</v>
      </c>
      <c r="K761" s="22">
        <f>J760</f>
        <v>1</v>
      </c>
      <c r="L761" s="23">
        <v>0</v>
      </c>
      <c r="M761" s="24">
        <f>ROUND(K761*L761,2)</f>
        <v>0</v>
      </c>
    </row>
    <row r="762" spans="1:13" ht="0.95" customHeight="1">
      <c r="A762" s="25"/>
      <c r="B762" s="25"/>
      <c r="C762" s="25"/>
      <c r="D762" s="31"/>
      <c r="E762" s="25"/>
      <c r="F762" s="25"/>
      <c r="G762" s="25"/>
      <c r="H762" s="25"/>
      <c r="I762" s="25"/>
      <c r="J762" s="25"/>
      <c r="K762" s="25"/>
      <c r="L762" s="25"/>
      <c r="M762" s="25"/>
    </row>
    <row r="763" spans="1:13">
      <c r="A763" s="9"/>
      <c r="B763" s="9"/>
      <c r="C763" s="9"/>
      <c r="D763" s="30"/>
      <c r="E763" s="9"/>
      <c r="F763" s="9"/>
      <c r="G763" s="9"/>
      <c r="H763" s="9"/>
      <c r="I763" s="9"/>
      <c r="J763" s="21" t="s">
        <v>679</v>
      </c>
      <c r="K763" s="20">
        <v>1</v>
      </c>
      <c r="L763" s="24">
        <f>M751+M756+M758</f>
        <v>0</v>
      </c>
      <c r="M763" s="24">
        <f>ROUND(K763*L763,2)</f>
        <v>0</v>
      </c>
    </row>
    <row r="764" spans="1:13" ht="0.95" customHeight="1">
      <c r="A764" s="25"/>
      <c r="B764" s="25"/>
      <c r="C764" s="25"/>
      <c r="D764" s="31"/>
      <c r="E764" s="25"/>
      <c r="F764" s="25"/>
      <c r="G764" s="25"/>
      <c r="H764" s="25"/>
      <c r="I764" s="25"/>
      <c r="J764" s="25"/>
      <c r="K764" s="25"/>
      <c r="L764" s="25"/>
      <c r="M764" s="25"/>
    </row>
    <row r="765" spans="1:13">
      <c r="A765" s="11" t="s">
        <v>680</v>
      </c>
      <c r="B765" s="11" t="s">
        <v>16</v>
      </c>
      <c r="C765" s="11" t="s">
        <v>17</v>
      </c>
      <c r="D765" s="29" t="s">
        <v>681</v>
      </c>
      <c r="E765" s="12"/>
      <c r="F765" s="12"/>
      <c r="G765" s="12"/>
      <c r="H765" s="12"/>
      <c r="I765" s="12"/>
      <c r="J765" s="12"/>
      <c r="K765" s="13">
        <f>K771</f>
        <v>1</v>
      </c>
      <c r="L765" s="14">
        <f>L771</f>
        <v>0</v>
      </c>
      <c r="M765" s="14">
        <f>M771</f>
        <v>0</v>
      </c>
    </row>
    <row r="766" spans="1:13">
      <c r="A766" s="15" t="s">
        <v>682</v>
      </c>
      <c r="B766" s="10" t="s">
        <v>23</v>
      </c>
      <c r="C766" s="10" t="s">
        <v>204</v>
      </c>
      <c r="D766" s="18" t="s">
        <v>683</v>
      </c>
      <c r="E766" s="9"/>
      <c r="F766" s="9"/>
      <c r="G766" s="9"/>
      <c r="H766" s="9"/>
      <c r="I766" s="9"/>
      <c r="J766" s="9"/>
      <c r="K766" s="16">
        <f>K769</f>
        <v>3.75</v>
      </c>
      <c r="L766" s="17">
        <f>L769</f>
        <v>0</v>
      </c>
      <c r="M766" s="17">
        <f>M769</f>
        <v>0</v>
      </c>
    </row>
    <row r="767" spans="1:13" ht="67.5">
      <c r="A767" s="9"/>
      <c r="B767" s="9"/>
      <c r="C767" s="9"/>
      <c r="D767" s="18" t="s">
        <v>684</v>
      </c>
      <c r="E767" s="9"/>
      <c r="F767" s="9"/>
      <c r="G767" s="9"/>
      <c r="H767" s="9"/>
      <c r="I767" s="9"/>
      <c r="J767" s="9"/>
      <c r="K767" s="9"/>
      <c r="L767" s="9"/>
      <c r="M767" s="9"/>
    </row>
    <row r="768" spans="1:13">
      <c r="A768" s="9"/>
      <c r="B768" s="9"/>
      <c r="C768" s="10" t="s">
        <v>27</v>
      </c>
      <c r="D768" s="30"/>
      <c r="E768" s="10" t="s">
        <v>685</v>
      </c>
      <c r="F768" s="19">
        <v>1</v>
      </c>
      <c r="G768" s="23">
        <v>2.5</v>
      </c>
      <c r="H768" s="23">
        <v>1.5</v>
      </c>
      <c r="I768" s="23">
        <v>0</v>
      </c>
      <c r="J768" s="17">
        <f>OR(F768&lt;&gt;0,G768&lt;&gt;0,H768&lt;&gt;0,I768&lt;&gt;0)*(F768 + (F768 = 0))*(G768 + (G768 = 0))*(H768 + (H768 = 0))*(I768 + (I768 = 0))</f>
        <v>3.75</v>
      </c>
      <c r="K768" s="9"/>
      <c r="L768" s="9"/>
      <c r="M768" s="9"/>
    </row>
    <row r="769" spans="1:13">
      <c r="A769" s="9"/>
      <c r="B769" s="9"/>
      <c r="C769" s="9"/>
      <c r="D769" s="30"/>
      <c r="E769" s="9"/>
      <c r="F769" s="9"/>
      <c r="G769" s="9"/>
      <c r="H769" s="9"/>
      <c r="I769" s="9"/>
      <c r="J769" s="21" t="s">
        <v>686</v>
      </c>
      <c r="K769" s="22">
        <f>J768</f>
        <v>3.75</v>
      </c>
      <c r="L769" s="23">
        <v>0</v>
      </c>
      <c r="M769" s="24">
        <f>ROUND(K769*L769,2)</f>
        <v>0</v>
      </c>
    </row>
    <row r="770" spans="1:13" ht="0.95" customHeight="1">
      <c r="A770" s="25"/>
      <c r="B770" s="25"/>
      <c r="C770" s="25"/>
      <c r="D770" s="31"/>
      <c r="E770" s="25"/>
      <c r="F770" s="25"/>
      <c r="G770" s="25"/>
      <c r="H770" s="25"/>
      <c r="I770" s="25"/>
      <c r="J770" s="25"/>
      <c r="K770" s="25"/>
      <c r="L770" s="25"/>
      <c r="M770" s="25"/>
    </row>
    <row r="771" spans="1:13">
      <c r="A771" s="9"/>
      <c r="B771" s="9"/>
      <c r="C771" s="9"/>
      <c r="D771" s="30"/>
      <c r="E771" s="9"/>
      <c r="F771" s="9"/>
      <c r="G771" s="9"/>
      <c r="H771" s="9"/>
      <c r="I771" s="9"/>
      <c r="J771" s="21" t="s">
        <v>687</v>
      </c>
      <c r="K771" s="20">
        <v>1</v>
      </c>
      <c r="L771" s="24">
        <f>M766</f>
        <v>0</v>
      </c>
      <c r="M771" s="24">
        <f>ROUND(K771*L771,2)</f>
        <v>0</v>
      </c>
    </row>
    <row r="772" spans="1:13" ht="0.95" customHeight="1">
      <c r="A772" s="25"/>
      <c r="B772" s="25"/>
      <c r="C772" s="25"/>
      <c r="D772" s="31"/>
      <c r="E772" s="25"/>
      <c r="F772" s="25"/>
      <c r="G772" s="25"/>
      <c r="H772" s="25"/>
      <c r="I772" s="25"/>
      <c r="J772" s="25"/>
      <c r="K772" s="25"/>
      <c r="L772" s="25"/>
      <c r="M772" s="25"/>
    </row>
    <row r="773" spans="1:13">
      <c r="A773" s="11" t="s">
        <v>688</v>
      </c>
      <c r="B773" s="11" t="s">
        <v>16</v>
      </c>
      <c r="C773" s="11" t="s">
        <v>17</v>
      </c>
      <c r="D773" s="29" t="s">
        <v>689</v>
      </c>
      <c r="E773" s="12"/>
      <c r="F773" s="12"/>
      <c r="G773" s="12"/>
      <c r="H773" s="12"/>
      <c r="I773" s="12"/>
      <c r="J773" s="12"/>
      <c r="K773" s="13">
        <f>K803</f>
        <v>1</v>
      </c>
      <c r="L773" s="14">
        <f>L803</f>
        <v>0</v>
      </c>
      <c r="M773" s="14">
        <f>M803</f>
        <v>0</v>
      </c>
    </row>
    <row r="774" spans="1:13">
      <c r="A774" s="15" t="s">
        <v>690</v>
      </c>
      <c r="B774" s="10" t="s">
        <v>23</v>
      </c>
      <c r="C774" s="10" t="s">
        <v>204</v>
      </c>
      <c r="D774" s="18" t="s">
        <v>691</v>
      </c>
      <c r="E774" s="9"/>
      <c r="F774" s="9"/>
      <c r="G774" s="9"/>
      <c r="H774" s="9"/>
      <c r="I774" s="9"/>
      <c r="J774" s="9"/>
      <c r="K774" s="16">
        <f>K801</f>
        <v>171.57</v>
      </c>
      <c r="L774" s="17">
        <f>L801</f>
        <v>0</v>
      </c>
      <c r="M774" s="17">
        <f>M801</f>
        <v>0</v>
      </c>
    </row>
    <row r="775" spans="1:13">
      <c r="A775" s="9"/>
      <c r="B775" s="9"/>
      <c r="C775" s="9"/>
      <c r="D775" s="18" t="s">
        <v>692</v>
      </c>
      <c r="E775" s="9"/>
      <c r="F775" s="9"/>
      <c r="G775" s="9"/>
      <c r="H775" s="9"/>
      <c r="I775" s="9"/>
      <c r="J775" s="9"/>
      <c r="K775" s="9"/>
      <c r="L775" s="9"/>
      <c r="M775" s="9"/>
    </row>
    <row r="776" spans="1:13">
      <c r="A776" s="9"/>
      <c r="B776" s="9"/>
      <c r="C776" s="10" t="s">
        <v>27</v>
      </c>
      <c r="D776" s="30"/>
      <c r="E776" s="10" t="s">
        <v>693</v>
      </c>
      <c r="F776" s="19"/>
      <c r="G776" s="23"/>
      <c r="H776" s="23"/>
      <c r="I776" s="23"/>
      <c r="J776" s="17">
        <f>OR(F776&lt;&gt;0,G776&lt;&gt;0,H776&lt;&gt;0,I776&lt;&gt;0)*(F776 + (F776 = 0))*(G776 + (G776 = 0))*(H776 + (H776 = 0))*(I776 + (I776 = 0))</f>
        <v>0</v>
      </c>
      <c r="K776" s="9"/>
      <c r="L776" s="9"/>
      <c r="M776" s="9"/>
    </row>
    <row r="777" spans="1:13">
      <c r="A777" s="9"/>
      <c r="B777" s="9"/>
      <c r="C777" s="10" t="s">
        <v>27</v>
      </c>
      <c r="D777" s="30"/>
      <c r="E777" s="10" t="s">
        <v>694</v>
      </c>
      <c r="F777" s="19">
        <v>1</v>
      </c>
      <c r="G777" s="23">
        <v>78.099999999999994</v>
      </c>
      <c r="H777" s="23">
        <v>0.25</v>
      </c>
      <c r="I777" s="23">
        <v>0</v>
      </c>
      <c r="J777" s="17">
        <f>OR(F777&lt;&gt;0,G777&lt;&gt;0,H777&lt;&gt;0,I777&lt;&gt;0)*(F777 + (F777 = 0))*(G777 + (G777 = 0))*(H777 + (H777 = 0))*(I777 + (I777 = 0))</f>
        <v>19.53</v>
      </c>
      <c r="K777" s="9"/>
      <c r="L777" s="9"/>
      <c r="M777" s="9"/>
    </row>
    <row r="778" spans="1:13">
      <c r="A778" s="9"/>
      <c r="B778" s="9"/>
      <c r="C778" s="10" t="s">
        <v>27</v>
      </c>
      <c r="D778" s="30"/>
      <c r="E778" s="10" t="s">
        <v>17</v>
      </c>
      <c r="F778" s="19">
        <v>1</v>
      </c>
      <c r="G778" s="23">
        <v>1.2</v>
      </c>
      <c r="H778" s="23">
        <v>0.25</v>
      </c>
      <c r="I778" s="23">
        <v>2.85</v>
      </c>
      <c r="J778" s="17">
        <f>OR(F778&lt;&gt;0,G778&lt;&gt;0,H778&lt;&gt;0,I778&lt;&gt;0)*(F778 + (F778 = 0))*(G778 + (G778 = 0))*(H778 + (H778 = 0))*(I778 + (I778 = 0))</f>
        <v>0.86</v>
      </c>
      <c r="K778" s="9"/>
      <c r="L778" s="9"/>
      <c r="M778" s="9"/>
    </row>
    <row r="779" spans="1:13">
      <c r="A779" s="9"/>
      <c r="B779" s="9"/>
      <c r="C779" s="10" t="s">
        <v>27</v>
      </c>
      <c r="D779" s="30"/>
      <c r="E779" s="10" t="s">
        <v>17</v>
      </c>
      <c r="F779" s="19">
        <v>-1</v>
      </c>
      <c r="G779" s="23">
        <v>15.13</v>
      </c>
      <c r="H779" s="23">
        <v>0.25</v>
      </c>
      <c r="I779" s="23">
        <v>0</v>
      </c>
      <c r="J779" s="17">
        <f>OR(F779&lt;&gt;0,G779&lt;&gt;0,H779&lt;&gt;0,I779&lt;&gt;0)*(F779 + (F779 = 0))*(G779 + (G779 = 0))*(H779 + (H779 = 0))*(I779 + (I779 = 0))</f>
        <v>-3.78</v>
      </c>
      <c r="K779" s="9"/>
      <c r="L779" s="9"/>
      <c r="M779" s="9"/>
    </row>
    <row r="780" spans="1:13">
      <c r="A780" s="9"/>
      <c r="B780" s="9"/>
      <c r="C780" s="10" t="s">
        <v>27</v>
      </c>
      <c r="D780" s="30"/>
      <c r="E780" s="10" t="s">
        <v>695</v>
      </c>
      <c r="F780" s="19">
        <v>1</v>
      </c>
      <c r="G780" s="23">
        <v>91.4</v>
      </c>
      <c r="H780" s="23">
        <v>0.25</v>
      </c>
      <c r="I780" s="23">
        <v>0</v>
      </c>
      <c r="J780" s="17">
        <f>OR(F780&lt;&gt;0,G780&lt;&gt;0,H780&lt;&gt;0,I780&lt;&gt;0)*(F780 + (F780 = 0))*(G780 + (G780 = 0))*(H780 + (H780 = 0))*(I780 + (I780 = 0))</f>
        <v>22.85</v>
      </c>
      <c r="K780" s="9"/>
      <c r="L780" s="9"/>
      <c r="M780" s="9"/>
    </row>
    <row r="781" spans="1:13">
      <c r="A781" s="9"/>
      <c r="B781" s="9"/>
      <c r="C781" s="10" t="s">
        <v>27</v>
      </c>
      <c r="D781" s="30"/>
      <c r="E781" s="10" t="s">
        <v>17</v>
      </c>
      <c r="F781" s="19">
        <v>-1</v>
      </c>
      <c r="G781" s="23">
        <v>13.43</v>
      </c>
      <c r="H781" s="23">
        <v>0.25</v>
      </c>
      <c r="I781" s="23">
        <v>0</v>
      </c>
      <c r="J781" s="17">
        <f>OR(F781&lt;&gt;0,G781&lt;&gt;0,H781&lt;&gt;0,I781&lt;&gt;0)*(F781 + (F781 = 0))*(G781 + (G781 = 0))*(H781 + (H781 = 0))*(I781 + (I781 = 0))</f>
        <v>-3.36</v>
      </c>
      <c r="K781" s="9"/>
      <c r="L781" s="9"/>
      <c r="M781" s="9"/>
    </row>
    <row r="782" spans="1:13">
      <c r="A782" s="9"/>
      <c r="B782" s="9"/>
      <c r="C782" s="10" t="s">
        <v>27</v>
      </c>
      <c r="D782" s="30"/>
      <c r="E782" s="10" t="s">
        <v>696</v>
      </c>
      <c r="F782" s="19">
        <v>1</v>
      </c>
      <c r="G782" s="23">
        <v>25.44</v>
      </c>
      <c r="H782" s="23">
        <v>0.25</v>
      </c>
      <c r="I782" s="23">
        <v>0</v>
      </c>
      <c r="J782" s="17">
        <f>OR(F782&lt;&gt;0,G782&lt;&gt;0,H782&lt;&gt;0,I782&lt;&gt;0)*(F782 + (F782 = 0))*(G782 + (G782 = 0))*(H782 + (H782 = 0))*(I782 + (I782 = 0))</f>
        <v>6.36</v>
      </c>
      <c r="K782" s="9"/>
      <c r="L782" s="9"/>
      <c r="M782" s="9"/>
    </row>
    <row r="783" spans="1:13">
      <c r="A783" s="9"/>
      <c r="B783" s="9"/>
      <c r="C783" s="10" t="s">
        <v>27</v>
      </c>
      <c r="D783" s="30"/>
      <c r="E783" s="10" t="s">
        <v>17</v>
      </c>
      <c r="F783" s="19">
        <v>-1</v>
      </c>
      <c r="G783" s="23">
        <v>1.86</v>
      </c>
      <c r="H783" s="23">
        <v>0.25</v>
      </c>
      <c r="I783" s="23">
        <v>0</v>
      </c>
      <c r="J783" s="17">
        <f>OR(F783&lt;&gt;0,G783&lt;&gt;0,H783&lt;&gt;0,I783&lt;&gt;0)*(F783 + (F783 = 0))*(G783 + (G783 = 0))*(H783 + (H783 = 0))*(I783 + (I783 = 0))</f>
        <v>-0.47</v>
      </c>
      <c r="K783" s="9"/>
      <c r="L783" s="9"/>
      <c r="M783" s="9"/>
    </row>
    <row r="784" spans="1:13">
      <c r="A784" s="9"/>
      <c r="B784" s="9"/>
      <c r="C784" s="10" t="s">
        <v>27</v>
      </c>
      <c r="D784" s="30"/>
      <c r="E784" s="10" t="s">
        <v>697</v>
      </c>
      <c r="F784" s="19">
        <v>1</v>
      </c>
      <c r="G784" s="23">
        <v>10.9</v>
      </c>
      <c r="H784" s="23">
        <v>0.25</v>
      </c>
      <c r="I784" s="23">
        <v>0</v>
      </c>
      <c r="J784" s="17">
        <f>OR(F784&lt;&gt;0,G784&lt;&gt;0,H784&lt;&gt;0,I784&lt;&gt;0)*(F784 + (F784 = 0))*(G784 + (G784 = 0))*(H784 + (H784 = 0))*(I784 + (I784 = 0))</f>
        <v>2.73</v>
      </c>
      <c r="K784" s="9"/>
      <c r="L784" s="9"/>
      <c r="M784" s="9"/>
    </row>
    <row r="785" spans="1:13">
      <c r="A785" s="9"/>
      <c r="B785" s="9"/>
      <c r="C785" s="10" t="s">
        <v>27</v>
      </c>
      <c r="D785" s="30"/>
      <c r="E785" s="10" t="s">
        <v>698</v>
      </c>
      <c r="F785" s="19"/>
      <c r="G785" s="23"/>
      <c r="H785" s="23"/>
      <c r="I785" s="23"/>
      <c r="J785" s="17">
        <f>OR(F785&lt;&gt;0,G785&lt;&gt;0,H785&lt;&gt;0,I785&lt;&gt;0)*(F785 + (F785 = 0))*(G785 + (G785 = 0))*(H785 + (H785 = 0))*(I785 + (I785 = 0))</f>
        <v>0</v>
      </c>
      <c r="K785" s="9"/>
      <c r="L785" s="9"/>
      <c r="M785" s="9"/>
    </row>
    <row r="786" spans="1:13">
      <c r="A786" s="9"/>
      <c r="B786" s="9"/>
      <c r="C786" s="10" t="s">
        <v>27</v>
      </c>
      <c r="D786" s="30"/>
      <c r="E786" s="10" t="s">
        <v>699</v>
      </c>
      <c r="F786" s="19">
        <v>1</v>
      </c>
      <c r="G786" s="23">
        <v>4.4000000000000004</v>
      </c>
      <c r="H786" s="23">
        <v>0.2</v>
      </c>
      <c r="I786" s="23">
        <v>5.3</v>
      </c>
      <c r="J786" s="17">
        <f>OR(F786&lt;&gt;0,G786&lt;&gt;0,H786&lt;&gt;0,I786&lt;&gt;0)*(F786 + (F786 = 0))*(G786 + (G786 = 0))*(H786 + (H786 = 0))*(I786 + (I786 = 0))</f>
        <v>4.66</v>
      </c>
      <c r="K786" s="9"/>
      <c r="L786" s="9"/>
      <c r="M786" s="9"/>
    </row>
    <row r="787" spans="1:13">
      <c r="A787" s="9"/>
      <c r="B787" s="9"/>
      <c r="C787" s="10" t="s">
        <v>27</v>
      </c>
      <c r="D787" s="30"/>
      <c r="E787" s="10" t="s">
        <v>17</v>
      </c>
      <c r="F787" s="19">
        <v>1</v>
      </c>
      <c r="G787" s="23">
        <v>1.2</v>
      </c>
      <c r="H787" s="23">
        <v>0.2</v>
      </c>
      <c r="I787" s="23">
        <v>2.85</v>
      </c>
      <c r="J787" s="17">
        <f>OR(F787&lt;&gt;0,G787&lt;&gt;0,H787&lt;&gt;0,I787&lt;&gt;0)*(F787 + (F787 = 0))*(G787 + (G787 = 0))*(H787 + (H787 = 0))*(I787 + (I787 = 0))</f>
        <v>0.68</v>
      </c>
      <c r="K787" s="9"/>
      <c r="L787" s="9"/>
      <c r="M787" s="9"/>
    </row>
    <row r="788" spans="1:13">
      <c r="A788" s="9"/>
      <c r="B788" s="9"/>
      <c r="C788" s="10" t="s">
        <v>27</v>
      </c>
      <c r="D788" s="30"/>
      <c r="E788" s="10" t="s">
        <v>700</v>
      </c>
      <c r="F788" s="19">
        <v>1</v>
      </c>
      <c r="G788" s="23">
        <v>3.9</v>
      </c>
      <c r="H788" s="23">
        <v>0.15</v>
      </c>
      <c r="I788" s="23">
        <v>2.85</v>
      </c>
      <c r="J788" s="17">
        <f>OR(F788&lt;&gt;0,G788&lt;&gt;0,H788&lt;&gt;0,I788&lt;&gt;0)*(F788 + (F788 = 0))*(G788 + (G788 = 0))*(H788 + (H788 = 0))*(I788 + (I788 = 0))</f>
        <v>1.67</v>
      </c>
      <c r="K788" s="9"/>
      <c r="L788" s="9"/>
      <c r="M788" s="9"/>
    </row>
    <row r="789" spans="1:13">
      <c r="A789" s="9"/>
      <c r="B789" s="9"/>
      <c r="C789" s="10" t="s">
        <v>27</v>
      </c>
      <c r="D789" s="30"/>
      <c r="E789" s="10" t="s">
        <v>17</v>
      </c>
      <c r="F789" s="19">
        <v>1</v>
      </c>
      <c r="G789" s="23">
        <v>1.75</v>
      </c>
      <c r="H789" s="23">
        <v>0.25</v>
      </c>
      <c r="I789" s="23">
        <v>2.85</v>
      </c>
      <c r="J789" s="17">
        <f>OR(F789&lt;&gt;0,G789&lt;&gt;0,H789&lt;&gt;0,I789&lt;&gt;0)*(F789 + (F789 = 0))*(G789 + (G789 = 0))*(H789 + (H789 = 0))*(I789 + (I789 = 0))</f>
        <v>1.25</v>
      </c>
      <c r="K789" s="9"/>
      <c r="L789" s="9"/>
      <c r="M789" s="9"/>
    </row>
    <row r="790" spans="1:13">
      <c r="A790" s="9"/>
      <c r="B790" s="9"/>
      <c r="C790" s="10" t="s">
        <v>27</v>
      </c>
      <c r="D790" s="30"/>
      <c r="E790" s="10" t="s">
        <v>701</v>
      </c>
      <c r="F790" s="19"/>
      <c r="G790" s="23"/>
      <c r="H790" s="23"/>
      <c r="I790" s="23"/>
      <c r="J790" s="17">
        <f>OR(F790&lt;&gt;0,G790&lt;&gt;0,H790&lt;&gt;0,I790&lt;&gt;0)*(F790 + (F790 = 0))*(G790 + (G790 = 0))*(H790 + (H790 = 0))*(I790 + (I790 = 0))</f>
        <v>0</v>
      </c>
      <c r="K790" s="9"/>
      <c r="L790" s="9"/>
      <c r="M790" s="9"/>
    </row>
    <row r="791" spans="1:13">
      <c r="A791" s="9"/>
      <c r="B791" s="9"/>
      <c r="C791" s="10" t="s">
        <v>27</v>
      </c>
      <c r="D791" s="30"/>
      <c r="E791" s="10" t="s">
        <v>227</v>
      </c>
      <c r="F791" s="19">
        <v>1</v>
      </c>
      <c r="G791" s="23">
        <v>79.8</v>
      </c>
      <c r="H791" s="23">
        <v>0</v>
      </c>
      <c r="I791" s="23">
        <v>0</v>
      </c>
      <c r="J791" s="17">
        <f>OR(F791&lt;&gt;0,G791&lt;&gt;0,H791&lt;&gt;0,I791&lt;&gt;0)*(F791 + (F791 = 0))*(G791 + (G791 = 0))*(H791 + (H791 = 0))*(I791 + (I791 = 0))</f>
        <v>79.8</v>
      </c>
      <c r="K791" s="9"/>
      <c r="L791" s="9"/>
      <c r="M791" s="9"/>
    </row>
    <row r="792" spans="1:13">
      <c r="A792" s="9"/>
      <c r="B792" s="9"/>
      <c r="C792" s="10" t="s">
        <v>27</v>
      </c>
      <c r="D792" s="30"/>
      <c r="E792" s="10" t="s">
        <v>17</v>
      </c>
      <c r="F792" s="19">
        <v>-1</v>
      </c>
      <c r="G792" s="23">
        <v>31.43</v>
      </c>
      <c r="H792" s="23">
        <v>0</v>
      </c>
      <c r="I792" s="23">
        <v>0</v>
      </c>
      <c r="J792" s="17">
        <f>OR(F792&lt;&gt;0,G792&lt;&gt;0,H792&lt;&gt;0,I792&lt;&gt;0)*(F792 + (F792 = 0))*(G792 + (G792 = 0))*(H792 + (H792 = 0))*(I792 + (I792 = 0))</f>
        <v>-31.43</v>
      </c>
      <c r="K792" s="9"/>
      <c r="L792" s="9"/>
      <c r="M792" s="9"/>
    </row>
    <row r="793" spans="1:13">
      <c r="A793" s="9"/>
      <c r="B793" s="9"/>
      <c r="C793" s="10" t="s">
        <v>27</v>
      </c>
      <c r="D793" s="30"/>
      <c r="E793" s="10" t="s">
        <v>17</v>
      </c>
      <c r="F793" s="19">
        <v>-1</v>
      </c>
      <c r="G793" s="23">
        <v>1.65</v>
      </c>
      <c r="H793" s="23">
        <v>0</v>
      </c>
      <c r="I793" s="23">
        <v>0</v>
      </c>
      <c r="J793" s="17">
        <f>OR(F793&lt;&gt;0,G793&lt;&gt;0,H793&lt;&gt;0,I793&lt;&gt;0)*(F793 + (F793 = 0))*(G793 + (G793 = 0))*(H793 + (H793 = 0))*(I793 + (I793 = 0))</f>
        <v>-1.65</v>
      </c>
      <c r="K793" s="9"/>
      <c r="L793" s="9"/>
      <c r="M793" s="9"/>
    </row>
    <row r="794" spans="1:13">
      <c r="A794" s="9"/>
      <c r="B794" s="9"/>
      <c r="C794" s="10" t="s">
        <v>27</v>
      </c>
      <c r="D794" s="30"/>
      <c r="E794" s="10" t="s">
        <v>17</v>
      </c>
      <c r="F794" s="19">
        <v>-1</v>
      </c>
      <c r="G794" s="23">
        <v>3.13</v>
      </c>
      <c r="H794" s="23">
        <v>0</v>
      </c>
      <c r="I794" s="23">
        <v>0</v>
      </c>
      <c r="J794" s="17">
        <f>OR(F794&lt;&gt;0,G794&lt;&gt;0,H794&lt;&gt;0,I794&lt;&gt;0)*(F794 + (F794 = 0))*(G794 + (G794 = 0))*(H794 + (H794 = 0))*(I794 + (I794 = 0))</f>
        <v>-3.13</v>
      </c>
      <c r="K794" s="9"/>
      <c r="L794" s="9"/>
      <c r="M794" s="9"/>
    </row>
    <row r="795" spans="1:13">
      <c r="A795" s="9"/>
      <c r="B795" s="9"/>
      <c r="C795" s="10" t="s">
        <v>27</v>
      </c>
      <c r="D795" s="30"/>
      <c r="E795" s="10" t="s">
        <v>228</v>
      </c>
      <c r="F795" s="19">
        <v>1</v>
      </c>
      <c r="G795" s="23">
        <v>69.55</v>
      </c>
      <c r="H795" s="23">
        <v>0</v>
      </c>
      <c r="I795" s="23">
        <v>0</v>
      </c>
      <c r="J795" s="17">
        <f>OR(F795&lt;&gt;0,G795&lt;&gt;0,H795&lt;&gt;0,I795&lt;&gt;0)*(F795 + (F795 = 0))*(G795 + (G795 = 0))*(H795 + (H795 = 0))*(I795 + (I795 = 0))</f>
        <v>69.55</v>
      </c>
      <c r="K795" s="9"/>
      <c r="L795" s="9"/>
      <c r="M795" s="9"/>
    </row>
    <row r="796" spans="1:13">
      <c r="A796" s="9"/>
      <c r="B796" s="9"/>
      <c r="C796" s="10" t="s">
        <v>27</v>
      </c>
      <c r="D796" s="30"/>
      <c r="E796" s="10" t="s">
        <v>17</v>
      </c>
      <c r="F796" s="19">
        <v>1</v>
      </c>
      <c r="G796" s="23">
        <v>5.25</v>
      </c>
      <c r="H796" s="23">
        <v>0</v>
      </c>
      <c r="I796" s="23">
        <v>0</v>
      </c>
      <c r="J796" s="17">
        <f>OR(F796&lt;&gt;0,G796&lt;&gt;0,H796&lt;&gt;0,I796&lt;&gt;0)*(F796 + (F796 = 0))*(G796 + (G796 = 0))*(H796 + (H796 = 0))*(I796 + (I796 = 0))</f>
        <v>5.25</v>
      </c>
      <c r="K796" s="9"/>
      <c r="L796" s="9"/>
      <c r="M796" s="9"/>
    </row>
    <row r="797" spans="1:13">
      <c r="A797" s="9"/>
      <c r="B797" s="9"/>
      <c r="C797" s="10" t="s">
        <v>27</v>
      </c>
      <c r="D797" s="30"/>
      <c r="E797" s="10" t="s">
        <v>17</v>
      </c>
      <c r="F797" s="19">
        <v>-1</v>
      </c>
      <c r="G797" s="23">
        <v>3.63</v>
      </c>
      <c r="H797" s="23">
        <v>0</v>
      </c>
      <c r="I797" s="23">
        <v>0</v>
      </c>
      <c r="J797" s="17">
        <f>OR(F797&lt;&gt;0,G797&lt;&gt;0,H797&lt;&gt;0,I797&lt;&gt;0)*(F797 + (F797 = 0))*(G797 + (G797 = 0))*(H797 + (H797 = 0))*(I797 + (I797 = 0))</f>
        <v>-3.63</v>
      </c>
      <c r="K797" s="9"/>
      <c r="L797" s="9"/>
      <c r="M797" s="9"/>
    </row>
    <row r="798" spans="1:13">
      <c r="A798" s="9"/>
      <c r="B798" s="9"/>
      <c r="C798" s="10" t="s">
        <v>27</v>
      </c>
      <c r="D798" s="30"/>
      <c r="E798" s="10" t="s">
        <v>702</v>
      </c>
      <c r="F798" s="19"/>
      <c r="G798" s="23"/>
      <c r="H798" s="23"/>
      <c r="I798" s="23"/>
      <c r="J798" s="17">
        <f>OR(F798&lt;&gt;0,G798&lt;&gt;0,H798&lt;&gt;0,I798&lt;&gt;0)*(F798 + (F798 = 0))*(G798 + (G798 = 0))*(H798 + (H798 = 0))*(I798 + (I798 = 0))</f>
        <v>0</v>
      </c>
      <c r="K798" s="9"/>
      <c r="L798" s="9"/>
      <c r="M798" s="9"/>
    </row>
    <row r="799" spans="1:13">
      <c r="A799" s="9"/>
      <c r="B799" s="9"/>
      <c r="C799" s="10" t="s">
        <v>27</v>
      </c>
      <c r="D799" s="30"/>
      <c r="E799" s="10" t="s">
        <v>703</v>
      </c>
      <c r="F799" s="19">
        <v>1</v>
      </c>
      <c r="G799" s="23">
        <v>0.25</v>
      </c>
      <c r="H799" s="23">
        <v>0</v>
      </c>
      <c r="I799" s="23">
        <v>2.5</v>
      </c>
      <c r="J799" s="17">
        <f>OR(F799&lt;&gt;0,G799&lt;&gt;0,H799&lt;&gt;0,I799&lt;&gt;0)*(F799 + (F799 = 0))*(G799 + (G799 = 0))*(H799 + (H799 = 0))*(I799 + (I799 = 0))</f>
        <v>0.63</v>
      </c>
      <c r="K799" s="9"/>
      <c r="L799" s="9"/>
      <c r="M799" s="9"/>
    </row>
    <row r="800" spans="1:13">
      <c r="A800" s="9"/>
      <c r="B800" s="9"/>
      <c r="C800" s="10" t="s">
        <v>27</v>
      </c>
      <c r="D800" s="30"/>
      <c r="E800" s="10" t="s">
        <v>704</v>
      </c>
      <c r="F800" s="19">
        <v>1</v>
      </c>
      <c r="G800" s="23">
        <v>1.28</v>
      </c>
      <c r="H800" s="23">
        <v>0</v>
      </c>
      <c r="I800" s="23">
        <v>2.5</v>
      </c>
      <c r="J800" s="17">
        <f>OR(F800&lt;&gt;0,G800&lt;&gt;0,H800&lt;&gt;0,I800&lt;&gt;0)*(F800 + (F800 = 0))*(G800 + (G800 = 0))*(H800 + (H800 = 0))*(I800 + (I800 = 0))</f>
        <v>3.2</v>
      </c>
      <c r="K800" s="9"/>
      <c r="L800" s="9"/>
      <c r="M800" s="9"/>
    </row>
    <row r="801" spans="1:13">
      <c r="A801" s="9"/>
      <c r="B801" s="9"/>
      <c r="C801" s="9"/>
      <c r="D801" s="30"/>
      <c r="E801" s="9"/>
      <c r="F801" s="9"/>
      <c r="G801" s="9"/>
      <c r="H801" s="9"/>
      <c r="I801" s="9"/>
      <c r="J801" s="21" t="s">
        <v>705</v>
      </c>
      <c r="K801" s="22">
        <f>SUM(J776:J800)</f>
        <v>171.57</v>
      </c>
      <c r="L801" s="23">
        <v>0</v>
      </c>
      <c r="M801" s="24">
        <f>ROUND(K801*L801,2)</f>
        <v>0</v>
      </c>
    </row>
    <row r="802" spans="1:13" ht="0.95" customHeight="1">
      <c r="A802" s="25"/>
      <c r="B802" s="25"/>
      <c r="C802" s="25"/>
      <c r="D802" s="31"/>
      <c r="E802" s="25"/>
      <c r="F802" s="25"/>
      <c r="G802" s="25"/>
      <c r="H802" s="25"/>
      <c r="I802" s="25"/>
      <c r="J802" s="25"/>
      <c r="K802" s="25"/>
      <c r="L802" s="25"/>
      <c r="M802" s="25"/>
    </row>
    <row r="803" spans="1:13">
      <c r="A803" s="9"/>
      <c r="B803" s="9"/>
      <c r="C803" s="9"/>
      <c r="D803" s="30"/>
      <c r="E803" s="9"/>
      <c r="F803" s="9"/>
      <c r="G803" s="9"/>
      <c r="H803" s="9"/>
      <c r="I803" s="9"/>
      <c r="J803" s="21" t="s">
        <v>706</v>
      </c>
      <c r="K803" s="20">
        <v>1</v>
      </c>
      <c r="L803" s="24">
        <f>M774</f>
        <v>0</v>
      </c>
      <c r="M803" s="24">
        <f>ROUND(K803*L803,2)</f>
        <v>0</v>
      </c>
    </row>
    <row r="804" spans="1:13" ht="0.95" customHeight="1">
      <c r="A804" s="25"/>
      <c r="B804" s="25"/>
      <c r="C804" s="25"/>
      <c r="D804" s="31"/>
      <c r="E804" s="25"/>
      <c r="F804" s="25"/>
      <c r="G804" s="25"/>
      <c r="H804" s="25"/>
      <c r="I804" s="25"/>
      <c r="J804" s="25"/>
      <c r="K804" s="25"/>
      <c r="L804" s="25"/>
      <c r="M804" s="25"/>
    </row>
    <row r="805" spans="1:13">
      <c r="A805" s="9"/>
      <c r="B805" s="9"/>
      <c r="C805" s="9"/>
      <c r="D805" s="30"/>
      <c r="E805" s="9"/>
      <c r="F805" s="9"/>
      <c r="G805" s="9"/>
      <c r="H805" s="9"/>
      <c r="I805" s="9"/>
      <c r="J805" s="21" t="s">
        <v>707</v>
      </c>
      <c r="K805" s="26">
        <v>1</v>
      </c>
      <c r="L805" s="24">
        <f>M694+M728+M745+M750+M765+M773</f>
        <v>0</v>
      </c>
      <c r="M805" s="24">
        <f>ROUND(K805*L805,2)</f>
        <v>0</v>
      </c>
    </row>
    <row r="806" spans="1:13" ht="0.95" customHeight="1">
      <c r="A806" s="25"/>
      <c r="B806" s="25"/>
      <c r="C806" s="25"/>
      <c r="D806" s="31"/>
      <c r="E806" s="25"/>
      <c r="F806" s="25"/>
      <c r="G806" s="25"/>
      <c r="H806" s="25"/>
      <c r="I806" s="25"/>
      <c r="J806" s="25"/>
      <c r="K806" s="25"/>
      <c r="L806" s="25"/>
      <c r="M806" s="25"/>
    </row>
    <row r="807" spans="1:13">
      <c r="A807" s="5" t="s">
        <v>708</v>
      </c>
      <c r="B807" s="5" t="s">
        <v>16</v>
      </c>
      <c r="C807" s="5" t="s">
        <v>17</v>
      </c>
      <c r="D807" s="28" t="s">
        <v>709</v>
      </c>
      <c r="E807" s="6"/>
      <c r="F807" s="6"/>
      <c r="G807" s="6"/>
      <c r="H807" s="6"/>
      <c r="I807" s="6"/>
      <c r="J807" s="6"/>
      <c r="K807" s="7">
        <f>K1205</f>
        <v>1</v>
      </c>
      <c r="L807" s="8">
        <f>L1205</f>
        <v>0</v>
      </c>
      <c r="M807" s="8">
        <f>M1205</f>
        <v>0</v>
      </c>
    </row>
    <row r="808" spans="1:13">
      <c r="A808" s="11" t="s">
        <v>710</v>
      </c>
      <c r="B808" s="11" t="s">
        <v>16</v>
      </c>
      <c r="C808" s="11" t="s">
        <v>17</v>
      </c>
      <c r="D808" s="29" t="s">
        <v>711</v>
      </c>
      <c r="E808" s="12"/>
      <c r="F808" s="12"/>
      <c r="G808" s="12"/>
      <c r="H808" s="12"/>
      <c r="I808" s="12"/>
      <c r="J808" s="12"/>
      <c r="K808" s="13">
        <f>K817</f>
        <v>1</v>
      </c>
      <c r="L808" s="14">
        <f>L817</f>
        <v>0</v>
      </c>
      <c r="M808" s="14">
        <f>M817</f>
        <v>0</v>
      </c>
    </row>
    <row r="809" spans="1:13" ht="33.75">
      <c r="A809" s="15" t="s">
        <v>712</v>
      </c>
      <c r="B809" s="10" t="s">
        <v>23</v>
      </c>
      <c r="C809" s="10" t="s">
        <v>66</v>
      </c>
      <c r="D809" s="18" t="s">
        <v>713</v>
      </c>
      <c r="E809" s="9"/>
      <c r="F809" s="9"/>
      <c r="G809" s="9"/>
      <c r="H809" s="9"/>
      <c r="I809" s="9"/>
      <c r="J809" s="9"/>
      <c r="K809" s="20">
        <v>5</v>
      </c>
      <c r="L809" s="23">
        <v>0</v>
      </c>
      <c r="M809" s="17">
        <f>ROUND(K809*L809,2)</f>
        <v>0</v>
      </c>
    </row>
    <row r="810" spans="1:13">
      <c r="A810" s="9"/>
      <c r="B810" s="9"/>
      <c r="C810" s="9"/>
      <c r="D810" s="18" t="s">
        <v>714</v>
      </c>
      <c r="E810" s="9"/>
      <c r="F810" s="9"/>
      <c r="G810" s="9"/>
      <c r="H810" s="9"/>
      <c r="I810" s="9"/>
      <c r="J810" s="9"/>
      <c r="K810" s="9"/>
      <c r="L810" s="9"/>
      <c r="M810" s="9"/>
    </row>
    <row r="811" spans="1:13" ht="33.75">
      <c r="A811" s="15" t="s">
        <v>715</v>
      </c>
      <c r="B811" s="10" t="s">
        <v>23</v>
      </c>
      <c r="C811" s="10" t="s">
        <v>66</v>
      </c>
      <c r="D811" s="18" t="s">
        <v>716</v>
      </c>
      <c r="E811" s="9"/>
      <c r="F811" s="9"/>
      <c r="G811" s="9"/>
      <c r="H811" s="9"/>
      <c r="I811" s="9"/>
      <c r="J811" s="9"/>
      <c r="K811" s="20">
        <v>3</v>
      </c>
      <c r="L811" s="23">
        <v>0</v>
      </c>
      <c r="M811" s="17">
        <f>ROUND(K811*L811,2)</f>
        <v>0</v>
      </c>
    </row>
    <row r="812" spans="1:13">
      <c r="A812" s="9"/>
      <c r="B812" s="9"/>
      <c r="C812" s="9"/>
      <c r="D812" s="18" t="s">
        <v>717</v>
      </c>
      <c r="E812" s="9"/>
      <c r="F812" s="9"/>
      <c r="G812" s="9"/>
      <c r="H812" s="9"/>
      <c r="I812" s="9"/>
      <c r="J812" s="9"/>
      <c r="K812" s="9"/>
      <c r="L812" s="9"/>
      <c r="M812" s="9"/>
    </row>
    <row r="813" spans="1:13" ht="45">
      <c r="A813" s="15" t="s">
        <v>718</v>
      </c>
      <c r="B813" s="10" t="s">
        <v>23</v>
      </c>
      <c r="C813" s="10" t="s">
        <v>66</v>
      </c>
      <c r="D813" s="18" t="s">
        <v>719</v>
      </c>
      <c r="E813" s="9"/>
      <c r="F813" s="9"/>
      <c r="G813" s="9"/>
      <c r="H813" s="9"/>
      <c r="I813" s="9"/>
      <c r="J813" s="9"/>
      <c r="K813" s="20">
        <v>10</v>
      </c>
      <c r="L813" s="23">
        <v>0</v>
      </c>
      <c r="M813" s="17">
        <f>ROUND(K813*L813,2)</f>
        <v>0</v>
      </c>
    </row>
    <row r="814" spans="1:13">
      <c r="A814" s="9"/>
      <c r="B814" s="9"/>
      <c r="C814" s="9"/>
      <c r="D814" s="18" t="s">
        <v>720</v>
      </c>
      <c r="E814" s="9"/>
      <c r="F814" s="9"/>
      <c r="G814" s="9"/>
      <c r="H814" s="9"/>
      <c r="I814" s="9"/>
      <c r="J814" s="9"/>
      <c r="K814" s="9"/>
      <c r="L814" s="9"/>
      <c r="M814" s="9"/>
    </row>
    <row r="815" spans="1:13" ht="33.75">
      <c r="A815" s="15" t="s">
        <v>721</v>
      </c>
      <c r="B815" s="10" t="s">
        <v>23</v>
      </c>
      <c r="C815" s="10" t="s">
        <v>4</v>
      </c>
      <c r="D815" s="18" t="s">
        <v>722</v>
      </c>
      <c r="E815" s="9"/>
      <c r="F815" s="9"/>
      <c r="G815" s="9"/>
      <c r="H815" s="9"/>
      <c r="I815" s="9"/>
      <c r="J815" s="9"/>
      <c r="K815" s="20">
        <v>1</v>
      </c>
      <c r="L815" s="23">
        <v>0</v>
      </c>
      <c r="M815" s="17">
        <f>ROUND(K815*L815,2)</f>
        <v>0</v>
      </c>
    </row>
    <row r="816" spans="1:13">
      <c r="A816" s="9"/>
      <c r="B816" s="9"/>
      <c r="C816" s="9"/>
      <c r="D816" s="18" t="s">
        <v>723</v>
      </c>
      <c r="E816" s="9"/>
      <c r="F816" s="9"/>
      <c r="G816" s="9"/>
      <c r="H816" s="9"/>
      <c r="I816" s="9"/>
      <c r="J816" s="9"/>
      <c r="K816" s="9"/>
      <c r="L816" s="9"/>
      <c r="M816" s="9"/>
    </row>
    <row r="817" spans="1:13">
      <c r="A817" s="9"/>
      <c r="B817" s="9"/>
      <c r="C817" s="9"/>
      <c r="D817" s="30"/>
      <c r="E817" s="9"/>
      <c r="F817" s="9"/>
      <c r="G817" s="9"/>
      <c r="H817" s="9"/>
      <c r="I817" s="9"/>
      <c r="J817" s="21" t="s">
        <v>724</v>
      </c>
      <c r="K817" s="20">
        <v>1</v>
      </c>
      <c r="L817" s="24">
        <f>M809+M811+M813+M815</f>
        <v>0</v>
      </c>
      <c r="M817" s="24">
        <f>ROUND(K817*L817,2)</f>
        <v>0</v>
      </c>
    </row>
    <row r="818" spans="1:13" ht="0.95" customHeight="1">
      <c r="A818" s="25"/>
      <c r="B818" s="25"/>
      <c r="C818" s="25"/>
      <c r="D818" s="31"/>
      <c r="E818" s="25"/>
      <c r="F818" s="25"/>
      <c r="G818" s="25"/>
      <c r="H818" s="25"/>
      <c r="I818" s="25"/>
      <c r="J818" s="25"/>
      <c r="K818" s="25"/>
      <c r="L818" s="25"/>
      <c r="M818" s="25"/>
    </row>
    <row r="819" spans="1:13">
      <c r="A819" s="11" t="s">
        <v>725</v>
      </c>
      <c r="B819" s="11" t="s">
        <v>16</v>
      </c>
      <c r="C819" s="11" t="s">
        <v>17</v>
      </c>
      <c r="D819" s="29" t="s">
        <v>726</v>
      </c>
      <c r="E819" s="12"/>
      <c r="F819" s="12"/>
      <c r="G819" s="12"/>
      <c r="H819" s="12"/>
      <c r="I819" s="12"/>
      <c r="J819" s="12"/>
      <c r="K819" s="13">
        <f>K851</f>
        <v>1</v>
      </c>
      <c r="L819" s="14">
        <f>L851</f>
        <v>0</v>
      </c>
      <c r="M819" s="14">
        <f>M851</f>
        <v>0</v>
      </c>
    </row>
    <row r="820" spans="1:13" ht="33.75">
      <c r="A820" s="15" t="s">
        <v>727</v>
      </c>
      <c r="B820" s="10" t="s">
        <v>23</v>
      </c>
      <c r="C820" s="10" t="s">
        <v>4</v>
      </c>
      <c r="D820" s="18" t="s">
        <v>728</v>
      </c>
      <c r="E820" s="9"/>
      <c r="F820" s="9"/>
      <c r="G820" s="9"/>
      <c r="H820" s="9"/>
      <c r="I820" s="9"/>
      <c r="J820" s="9"/>
      <c r="K820" s="20">
        <v>1</v>
      </c>
      <c r="L820" s="23">
        <v>0</v>
      </c>
      <c r="M820" s="17">
        <f>ROUND(K820*L820,2)</f>
        <v>0</v>
      </c>
    </row>
    <row r="821" spans="1:13" ht="67.5">
      <c r="A821" s="9"/>
      <c r="B821" s="9"/>
      <c r="C821" s="9"/>
      <c r="D821" s="18" t="s">
        <v>729</v>
      </c>
      <c r="E821" s="9"/>
      <c r="F821" s="9"/>
      <c r="G821" s="9"/>
      <c r="H821" s="9"/>
      <c r="I821" s="9"/>
      <c r="J821" s="9"/>
      <c r="K821" s="9"/>
      <c r="L821" s="9"/>
      <c r="M821" s="9"/>
    </row>
    <row r="822" spans="1:13" ht="33.75">
      <c r="A822" s="15" t="s">
        <v>730</v>
      </c>
      <c r="B822" s="10" t="s">
        <v>23</v>
      </c>
      <c r="C822" s="10" t="s">
        <v>4</v>
      </c>
      <c r="D822" s="18" t="s">
        <v>731</v>
      </c>
      <c r="E822" s="9"/>
      <c r="F822" s="9"/>
      <c r="G822" s="9"/>
      <c r="H822" s="9"/>
      <c r="I822" s="9"/>
      <c r="J822" s="9"/>
      <c r="K822" s="20">
        <v>1</v>
      </c>
      <c r="L822" s="23">
        <v>0</v>
      </c>
      <c r="M822" s="17">
        <f>ROUND(K822*L822,2)</f>
        <v>0</v>
      </c>
    </row>
    <row r="823" spans="1:13">
      <c r="A823" s="9"/>
      <c r="B823" s="9"/>
      <c r="C823" s="9"/>
      <c r="D823" s="18" t="s">
        <v>732</v>
      </c>
      <c r="E823" s="9"/>
      <c r="F823" s="9"/>
      <c r="G823" s="9"/>
      <c r="H823" s="9"/>
      <c r="I823" s="9"/>
      <c r="J823" s="9"/>
      <c r="K823" s="9"/>
      <c r="L823" s="9"/>
      <c r="M823" s="9"/>
    </row>
    <row r="824" spans="1:13" ht="45">
      <c r="A824" s="15" t="s">
        <v>733</v>
      </c>
      <c r="B824" s="10" t="s">
        <v>23</v>
      </c>
      <c r="C824" s="10" t="s">
        <v>4</v>
      </c>
      <c r="D824" s="18" t="s">
        <v>734</v>
      </c>
      <c r="E824" s="9"/>
      <c r="F824" s="9"/>
      <c r="G824" s="9"/>
      <c r="H824" s="9"/>
      <c r="I824" s="9"/>
      <c r="J824" s="9"/>
      <c r="K824" s="20">
        <v>1</v>
      </c>
      <c r="L824" s="23">
        <v>0</v>
      </c>
      <c r="M824" s="17">
        <f>ROUND(K824*L824,2)</f>
        <v>0</v>
      </c>
    </row>
    <row r="825" spans="1:13">
      <c r="A825" s="9"/>
      <c r="B825" s="9"/>
      <c r="C825" s="9"/>
      <c r="D825" s="18" t="s">
        <v>735</v>
      </c>
      <c r="E825" s="9"/>
      <c r="F825" s="9"/>
      <c r="G825" s="9"/>
      <c r="H825" s="9"/>
      <c r="I825" s="9"/>
      <c r="J825" s="9"/>
      <c r="K825" s="9"/>
      <c r="L825" s="9"/>
      <c r="M825" s="9"/>
    </row>
    <row r="826" spans="1:13" ht="33.75">
      <c r="A826" s="15" t="s">
        <v>736</v>
      </c>
      <c r="B826" s="10" t="s">
        <v>23</v>
      </c>
      <c r="C826" s="10" t="s">
        <v>4</v>
      </c>
      <c r="D826" s="18" t="s">
        <v>737</v>
      </c>
      <c r="E826" s="9"/>
      <c r="F826" s="9"/>
      <c r="G826" s="9"/>
      <c r="H826" s="9"/>
      <c r="I826" s="9"/>
      <c r="J826" s="9"/>
      <c r="K826" s="20">
        <v>1</v>
      </c>
      <c r="L826" s="23">
        <v>0</v>
      </c>
      <c r="M826" s="17">
        <f>ROUND(K826*L826,2)</f>
        <v>0</v>
      </c>
    </row>
    <row r="827" spans="1:13">
      <c r="A827" s="9"/>
      <c r="B827" s="9"/>
      <c r="C827" s="9"/>
      <c r="D827" s="18" t="s">
        <v>738</v>
      </c>
      <c r="E827" s="9"/>
      <c r="F827" s="9"/>
      <c r="G827" s="9"/>
      <c r="H827" s="9"/>
      <c r="I827" s="9"/>
      <c r="J827" s="9"/>
      <c r="K827" s="9"/>
      <c r="L827" s="9"/>
      <c r="M827" s="9"/>
    </row>
    <row r="828" spans="1:13" ht="45">
      <c r="A828" s="15" t="s">
        <v>739</v>
      </c>
      <c r="B828" s="10" t="s">
        <v>23</v>
      </c>
      <c r="C828" s="10" t="s">
        <v>4</v>
      </c>
      <c r="D828" s="18" t="s">
        <v>740</v>
      </c>
      <c r="E828" s="9"/>
      <c r="F828" s="9"/>
      <c r="G828" s="9"/>
      <c r="H828" s="9"/>
      <c r="I828" s="9"/>
      <c r="J828" s="9"/>
      <c r="K828" s="20">
        <v>1</v>
      </c>
      <c r="L828" s="23">
        <v>0</v>
      </c>
      <c r="M828" s="17">
        <f>ROUND(K828*L828,2)</f>
        <v>0</v>
      </c>
    </row>
    <row r="829" spans="1:13">
      <c r="A829" s="9"/>
      <c r="B829" s="9"/>
      <c r="C829" s="9"/>
      <c r="D829" s="18" t="s">
        <v>741</v>
      </c>
      <c r="E829" s="9"/>
      <c r="F829" s="9"/>
      <c r="G829" s="9"/>
      <c r="H829" s="9"/>
      <c r="I829" s="9"/>
      <c r="J829" s="9"/>
      <c r="K829" s="9"/>
      <c r="L829" s="9"/>
      <c r="M829" s="9"/>
    </row>
    <row r="830" spans="1:13" ht="33.75">
      <c r="A830" s="15" t="s">
        <v>742</v>
      </c>
      <c r="B830" s="10" t="s">
        <v>23</v>
      </c>
      <c r="C830" s="10" t="s">
        <v>66</v>
      </c>
      <c r="D830" s="18" t="s">
        <v>743</v>
      </c>
      <c r="E830" s="9"/>
      <c r="F830" s="9"/>
      <c r="G830" s="9"/>
      <c r="H830" s="9"/>
      <c r="I830" s="9"/>
      <c r="J830" s="9"/>
      <c r="K830" s="20">
        <v>41.93</v>
      </c>
      <c r="L830" s="23">
        <v>0</v>
      </c>
      <c r="M830" s="17">
        <f>ROUND(K830*L830,2)</f>
        <v>0</v>
      </c>
    </row>
    <row r="831" spans="1:13">
      <c r="A831" s="9"/>
      <c r="B831" s="9"/>
      <c r="C831" s="9"/>
      <c r="D831" s="18" t="s">
        <v>744</v>
      </c>
      <c r="E831" s="9"/>
      <c r="F831" s="9"/>
      <c r="G831" s="9"/>
      <c r="H831" s="9"/>
      <c r="I831" s="9"/>
      <c r="J831" s="9"/>
      <c r="K831" s="9"/>
      <c r="L831" s="9"/>
      <c r="M831" s="9"/>
    </row>
    <row r="832" spans="1:13" ht="33.75">
      <c r="A832" s="15" t="s">
        <v>745</v>
      </c>
      <c r="B832" s="10" t="s">
        <v>23</v>
      </c>
      <c r="C832" s="10" t="s">
        <v>66</v>
      </c>
      <c r="D832" s="18" t="s">
        <v>746</v>
      </c>
      <c r="E832" s="9"/>
      <c r="F832" s="9"/>
      <c r="G832" s="9"/>
      <c r="H832" s="9"/>
      <c r="I832" s="9"/>
      <c r="J832" s="9"/>
      <c r="K832" s="16">
        <f>K835</f>
        <v>15</v>
      </c>
      <c r="L832" s="17">
        <f>L835</f>
        <v>0</v>
      </c>
      <c r="M832" s="17">
        <f>M835</f>
        <v>0</v>
      </c>
    </row>
    <row r="833" spans="1:13">
      <c r="A833" s="9"/>
      <c r="B833" s="9"/>
      <c r="C833" s="9"/>
      <c r="D833" s="18" t="s">
        <v>747</v>
      </c>
      <c r="E833" s="9"/>
      <c r="F833" s="9"/>
      <c r="G833" s="9"/>
      <c r="H833" s="9"/>
      <c r="I833" s="9"/>
      <c r="J833" s="9"/>
      <c r="K833" s="9"/>
      <c r="L833" s="9"/>
      <c r="M833" s="9"/>
    </row>
    <row r="834" spans="1:13">
      <c r="A834" s="9"/>
      <c r="B834" s="9"/>
      <c r="C834" s="10" t="s">
        <v>27</v>
      </c>
      <c r="D834" s="30"/>
      <c r="E834" s="10" t="s">
        <v>748</v>
      </c>
      <c r="F834" s="19">
        <v>1</v>
      </c>
      <c r="G834" s="20">
        <v>15</v>
      </c>
      <c r="H834" s="20">
        <v>0</v>
      </c>
      <c r="I834" s="20">
        <v>0</v>
      </c>
      <c r="J834" s="16">
        <f>OR(F834&lt;&gt;0,G834&lt;&gt;0,H834&lt;&gt;0,I834&lt;&gt;0)*(F834 + (F834 = 0))*(G834 + (G834 = 0))*(H834 + (H834 = 0))*(I834 + (I834 = 0))</f>
        <v>15</v>
      </c>
      <c r="K834" s="9"/>
      <c r="L834" s="9"/>
      <c r="M834" s="9"/>
    </row>
    <row r="835" spans="1:13">
      <c r="A835" s="9"/>
      <c r="B835" s="9"/>
      <c r="C835" s="9"/>
      <c r="D835" s="30"/>
      <c r="E835" s="9"/>
      <c r="F835" s="9"/>
      <c r="G835" s="9"/>
      <c r="H835" s="9"/>
      <c r="I835" s="9"/>
      <c r="J835" s="21" t="s">
        <v>749</v>
      </c>
      <c r="K835" s="22">
        <f>J834</f>
        <v>15</v>
      </c>
      <c r="L835" s="23">
        <v>0</v>
      </c>
      <c r="M835" s="24">
        <f>ROUND(K835*L835,2)</f>
        <v>0</v>
      </c>
    </row>
    <row r="836" spans="1:13" ht="0.95" customHeight="1">
      <c r="A836" s="25"/>
      <c r="B836" s="25"/>
      <c r="C836" s="25"/>
      <c r="D836" s="31"/>
      <c r="E836" s="25"/>
      <c r="F836" s="25"/>
      <c r="G836" s="25"/>
      <c r="H836" s="25"/>
      <c r="I836" s="25"/>
      <c r="J836" s="25"/>
      <c r="K836" s="25"/>
      <c r="L836" s="25"/>
      <c r="M836" s="25"/>
    </row>
    <row r="837" spans="1:13" ht="33.75">
      <c r="A837" s="15" t="s">
        <v>750</v>
      </c>
      <c r="B837" s="10" t="s">
        <v>23</v>
      </c>
      <c r="C837" s="10" t="s">
        <v>4</v>
      </c>
      <c r="D837" s="18" t="s">
        <v>751</v>
      </c>
      <c r="E837" s="9"/>
      <c r="F837" s="9"/>
      <c r="G837" s="9"/>
      <c r="H837" s="9"/>
      <c r="I837" s="9"/>
      <c r="J837" s="9"/>
      <c r="K837" s="20">
        <v>1</v>
      </c>
      <c r="L837" s="23">
        <v>0</v>
      </c>
      <c r="M837" s="17">
        <f>ROUND(K837*L837,2)</f>
        <v>0</v>
      </c>
    </row>
    <row r="838" spans="1:13">
      <c r="A838" s="9"/>
      <c r="B838" s="9"/>
      <c r="C838" s="9"/>
      <c r="D838" s="18" t="s">
        <v>752</v>
      </c>
      <c r="E838" s="9"/>
      <c r="F838" s="9"/>
      <c r="G838" s="9"/>
      <c r="H838" s="9"/>
      <c r="I838" s="9"/>
      <c r="J838" s="9"/>
      <c r="K838" s="9"/>
      <c r="L838" s="9"/>
      <c r="M838" s="9"/>
    </row>
    <row r="839" spans="1:13" ht="22.5">
      <c r="A839" s="15" t="s">
        <v>753</v>
      </c>
      <c r="B839" s="10" t="s">
        <v>23</v>
      </c>
      <c r="C839" s="10" t="s">
        <v>4</v>
      </c>
      <c r="D839" s="18" t="s">
        <v>754</v>
      </c>
      <c r="E839" s="9"/>
      <c r="F839" s="9"/>
      <c r="G839" s="9"/>
      <c r="H839" s="9"/>
      <c r="I839" s="9"/>
      <c r="J839" s="9"/>
      <c r="K839" s="20">
        <v>3</v>
      </c>
      <c r="L839" s="23">
        <v>0</v>
      </c>
      <c r="M839" s="17">
        <f>ROUND(K839*L839,2)</f>
        <v>0</v>
      </c>
    </row>
    <row r="840" spans="1:13" ht="45">
      <c r="A840" s="9"/>
      <c r="B840" s="9"/>
      <c r="C840" s="9"/>
      <c r="D840" s="18" t="s">
        <v>755</v>
      </c>
      <c r="E840" s="9"/>
      <c r="F840" s="9"/>
      <c r="G840" s="9"/>
      <c r="H840" s="9"/>
      <c r="I840" s="9"/>
      <c r="J840" s="9"/>
      <c r="K840" s="9"/>
      <c r="L840" s="9"/>
      <c r="M840" s="9"/>
    </row>
    <row r="841" spans="1:13" ht="33.75">
      <c r="A841" s="15" t="s">
        <v>756</v>
      </c>
      <c r="B841" s="10" t="s">
        <v>23</v>
      </c>
      <c r="C841" s="10" t="s">
        <v>66</v>
      </c>
      <c r="D841" s="18" t="s">
        <v>757</v>
      </c>
      <c r="E841" s="9"/>
      <c r="F841" s="9"/>
      <c r="G841" s="9"/>
      <c r="H841" s="9"/>
      <c r="I841" s="9"/>
      <c r="J841" s="9"/>
      <c r="K841" s="16">
        <f>K845</f>
        <v>145.86000000000001</v>
      </c>
      <c r="L841" s="17">
        <f>L845</f>
        <v>0</v>
      </c>
      <c r="M841" s="17">
        <f>M845</f>
        <v>0</v>
      </c>
    </row>
    <row r="842" spans="1:13">
      <c r="A842" s="9"/>
      <c r="B842" s="9"/>
      <c r="C842" s="9"/>
      <c r="D842" s="18" t="s">
        <v>758</v>
      </c>
      <c r="E842" s="9"/>
      <c r="F842" s="9"/>
      <c r="G842" s="9"/>
      <c r="H842" s="9"/>
      <c r="I842" s="9"/>
      <c r="J842" s="9"/>
      <c r="K842" s="9"/>
      <c r="L842" s="9"/>
      <c r="M842" s="9"/>
    </row>
    <row r="843" spans="1:13">
      <c r="A843" s="9"/>
      <c r="B843" s="9"/>
      <c r="C843" s="10" t="s">
        <v>27</v>
      </c>
      <c r="D843" s="30"/>
      <c r="E843" s="10" t="s">
        <v>17</v>
      </c>
      <c r="F843" s="19">
        <v>1</v>
      </c>
      <c r="G843" s="20">
        <v>73.930000000000007</v>
      </c>
      <c r="H843" s="20">
        <v>0</v>
      </c>
      <c r="I843" s="20">
        <v>0</v>
      </c>
      <c r="J843" s="16">
        <f>OR(F843&lt;&gt;0,G843&lt;&gt;0,H843&lt;&gt;0,I843&lt;&gt;0)*(F843 + (F843 = 0))*(G843 + (G843 = 0))*(H843 + (H843 = 0))*(I843 + (I843 = 0))</f>
        <v>73.930000000000007</v>
      </c>
      <c r="K843" s="9"/>
      <c r="L843" s="9"/>
      <c r="M843" s="9"/>
    </row>
    <row r="844" spans="1:13">
      <c r="A844" s="9"/>
      <c r="B844" s="9"/>
      <c r="C844" s="10" t="s">
        <v>27</v>
      </c>
      <c r="D844" s="30"/>
      <c r="E844" s="10" t="s">
        <v>17</v>
      </c>
      <c r="F844" s="19">
        <v>1</v>
      </c>
      <c r="G844" s="20">
        <v>71.930000000000007</v>
      </c>
      <c r="H844" s="20">
        <v>0</v>
      </c>
      <c r="I844" s="20">
        <v>0</v>
      </c>
      <c r="J844" s="16">
        <f>OR(F844&lt;&gt;0,G844&lt;&gt;0,H844&lt;&gt;0,I844&lt;&gt;0)*(F844 + (F844 = 0))*(G844 + (G844 = 0))*(H844 + (H844 = 0))*(I844 + (I844 = 0))</f>
        <v>71.930000000000007</v>
      </c>
      <c r="K844" s="9"/>
      <c r="L844" s="9"/>
      <c r="M844" s="9"/>
    </row>
    <row r="845" spans="1:13">
      <c r="A845" s="9"/>
      <c r="B845" s="9"/>
      <c r="C845" s="9"/>
      <c r="D845" s="30"/>
      <c r="E845" s="9"/>
      <c r="F845" s="9"/>
      <c r="G845" s="9"/>
      <c r="H845" s="9"/>
      <c r="I845" s="9"/>
      <c r="J845" s="21" t="s">
        <v>759</v>
      </c>
      <c r="K845" s="22">
        <f>SUM(J843:J844)</f>
        <v>145.86000000000001</v>
      </c>
      <c r="L845" s="23">
        <v>0</v>
      </c>
      <c r="M845" s="24">
        <f>ROUND(K845*L845,2)</f>
        <v>0</v>
      </c>
    </row>
    <row r="846" spans="1:13" ht="0.95" customHeight="1">
      <c r="A846" s="25"/>
      <c r="B846" s="25"/>
      <c r="C846" s="25"/>
      <c r="D846" s="31"/>
      <c r="E846" s="25"/>
      <c r="F846" s="25"/>
      <c r="G846" s="25"/>
      <c r="H846" s="25"/>
      <c r="I846" s="25"/>
      <c r="J846" s="25"/>
      <c r="K846" s="25"/>
      <c r="L846" s="25"/>
      <c r="M846" s="25"/>
    </row>
    <row r="847" spans="1:13" ht="22.5">
      <c r="A847" s="15" t="s">
        <v>760</v>
      </c>
      <c r="B847" s="10" t="s">
        <v>23</v>
      </c>
      <c r="C847" s="10" t="s">
        <v>4</v>
      </c>
      <c r="D847" s="18" t="s">
        <v>761</v>
      </c>
      <c r="E847" s="9"/>
      <c r="F847" s="9"/>
      <c r="G847" s="9"/>
      <c r="H847" s="9"/>
      <c r="I847" s="9"/>
      <c r="J847" s="9"/>
      <c r="K847" s="20">
        <v>6</v>
      </c>
      <c r="L847" s="23">
        <v>0</v>
      </c>
      <c r="M847" s="17">
        <f>ROUND(K847*L847,2)</f>
        <v>0</v>
      </c>
    </row>
    <row r="848" spans="1:13" ht="45">
      <c r="A848" s="9"/>
      <c r="B848" s="9"/>
      <c r="C848" s="9"/>
      <c r="D848" s="18" t="s">
        <v>762</v>
      </c>
      <c r="E848" s="9"/>
      <c r="F848" s="9"/>
      <c r="G848" s="9"/>
      <c r="H848" s="9"/>
      <c r="I848" s="9"/>
      <c r="J848" s="9"/>
      <c r="K848" s="9"/>
      <c r="L848" s="9"/>
      <c r="M848" s="9"/>
    </row>
    <row r="849" spans="1:13" ht="45">
      <c r="A849" s="15" t="s">
        <v>763</v>
      </c>
      <c r="B849" s="10" t="s">
        <v>23</v>
      </c>
      <c r="C849" s="10" t="s">
        <v>4</v>
      </c>
      <c r="D849" s="18" t="s">
        <v>764</v>
      </c>
      <c r="E849" s="9"/>
      <c r="F849" s="9"/>
      <c r="G849" s="9"/>
      <c r="H849" s="9"/>
      <c r="I849" s="9"/>
      <c r="J849" s="9"/>
      <c r="K849" s="20">
        <v>1</v>
      </c>
      <c r="L849" s="23">
        <v>0</v>
      </c>
      <c r="M849" s="17">
        <f>ROUND(K849*L849,2)</f>
        <v>0</v>
      </c>
    </row>
    <row r="850" spans="1:13">
      <c r="A850" s="9"/>
      <c r="B850" s="9"/>
      <c r="C850" s="9"/>
      <c r="D850" s="18" t="s">
        <v>765</v>
      </c>
      <c r="E850" s="9"/>
      <c r="F850" s="9"/>
      <c r="G850" s="9"/>
      <c r="H850" s="9"/>
      <c r="I850" s="9"/>
      <c r="J850" s="9"/>
      <c r="K850" s="9"/>
      <c r="L850" s="9"/>
      <c r="M850" s="9"/>
    </row>
    <row r="851" spans="1:13">
      <c r="A851" s="9"/>
      <c r="B851" s="9"/>
      <c r="C851" s="9"/>
      <c r="D851" s="30"/>
      <c r="E851" s="9"/>
      <c r="F851" s="9"/>
      <c r="G851" s="9"/>
      <c r="H851" s="9"/>
      <c r="I851" s="9"/>
      <c r="J851" s="21" t="s">
        <v>766</v>
      </c>
      <c r="K851" s="20">
        <v>1</v>
      </c>
      <c r="L851" s="24">
        <f>M820+M822+M824+M826+M828+M830+M832+M837+M839+M841+M847+M849</f>
        <v>0</v>
      </c>
      <c r="M851" s="24">
        <f>ROUND(K851*L851,2)</f>
        <v>0</v>
      </c>
    </row>
    <row r="852" spans="1:13" ht="0.95" customHeight="1">
      <c r="A852" s="25"/>
      <c r="B852" s="25"/>
      <c r="C852" s="25"/>
      <c r="D852" s="31"/>
      <c r="E852" s="25"/>
      <c r="F852" s="25"/>
      <c r="G852" s="25"/>
      <c r="H852" s="25"/>
      <c r="I852" s="25"/>
      <c r="J852" s="25"/>
      <c r="K852" s="25"/>
      <c r="L852" s="25"/>
      <c r="M852" s="25"/>
    </row>
    <row r="853" spans="1:13">
      <c r="A853" s="11" t="s">
        <v>767</v>
      </c>
      <c r="B853" s="11" t="s">
        <v>16</v>
      </c>
      <c r="C853" s="11" t="s">
        <v>17</v>
      </c>
      <c r="D853" s="29" t="s">
        <v>768</v>
      </c>
      <c r="E853" s="12"/>
      <c r="F853" s="12"/>
      <c r="G853" s="12"/>
      <c r="H853" s="12"/>
      <c r="I853" s="12"/>
      <c r="J853" s="12"/>
      <c r="K853" s="13">
        <f>K949</f>
        <v>1</v>
      </c>
      <c r="L853" s="14">
        <f>L949</f>
        <v>0</v>
      </c>
      <c r="M853" s="14">
        <f>M949</f>
        <v>0</v>
      </c>
    </row>
    <row r="854" spans="1:13" ht="33.75">
      <c r="A854" s="15" t="s">
        <v>769</v>
      </c>
      <c r="B854" s="10" t="s">
        <v>23</v>
      </c>
      <c r="C854" s="10" t="s">
        <v>4</v>
      </c>
      <c r="D854" s="18" t="s">
        <v>770</v>
      </c>
      <c r="E854" s="9"/>
      <c r="F854" s="9"/>
      <c r="G854" s="9"/>
      <c r="H854" s="9"/>
      <c r="I854" s="9"/>
      <c r="J854" s="9"/>
      <c r="K854" s="16">
        <f>K857</f>
        <v>1</v>
      </c>
      <c r="L854" s="17">
        <f>L857</f>
        <v>0</v>
      </c>
      <c r="M854" s="17">
        <f>M857</f>
        <v>0</v>
      </c>
    </row>
    <row r="855" spans="1:13">
      <c r="A855" s="9"/>
      <c r="B855" s="9"/>
      <c r="C855" s="9"/>
      <c r="D855" s="18" t="s">
        <v>771</v>
      </c>
      <c r="E855" s="9"/>
      <c r="F855" s="9"/>
      <c r="G855" s="9"/>
      <c r="H855" s="9"/>
      <c r="I855" s="9"/>
      <c r="J855" s="9"/>
      <c r="K855" s="9"/>
      <c r="L855" s="9"/>
      <c r="M855" s="9"/>
    </row>
    <row r="856" spans="1:13">
      <c r="A856" s="9"/>
      <c r="B856" s="9"/>
      <c r="C856" s="10" t="s">
        <v>27</v>
      </c>
      <c r="D856" s="30"/>
      <c r="E856" s="10" t="s">
        <v>772</v>
      </c>
      <c r="F856" s="19">
        <v>1</v>
      </c>
      <c r="G856" s="20">
        <v>0</v>
      </c>
      <c r="H856" s="20">
        <v>0</v>
      </c>
      <c r="I856" s="20">
        <v>0</v>
      </c>
      <c r="J856" s="16">
        <f>OR(F856&lt;&gt;0,G856&lt;&gt;0,H856&lt;&gt;0,I856&lt;&gt;0)*(F856 + (F856 = 0))*(G856 + (G856 = 0))*(H856 + (H856 = 0))*(I856 + (I856 = 0))</f>
        <v>1</v>
      </c>
      <c r="K856" s="9"/>
      <c r="L856" s="9"/>
      <c r="M856" s="9"/>
    </row>
    <row r="857" spans="1:13">
      <c r="A857" s="9"/>
      <c r="B857" s="9"/>
      <c r="C857" s="9"/>
      <c r="D857" s="30"/>
      <c r="E857" s="9"/>
      <c r="F857" s="9"/>
      <c r="G857" s="9"/>
      <c r="H857" s="9"/>
      <c r="I857" s="9"/>
      <c r="J857" s="21" t="s">
        <v>773</v>
      </c>
      <c r="K857" s="22">
        <f>J856</f>
        <v>1</v>
      </c>
      <c r="L857" s="23">
        <v>0</v>
      </c>
      <c r="M857" s="24">
        <f>ROUND(K857*L857,2)</f>
        <v>0</v>
      </c>
    </row>
    <row r="858" spans="1:13" ht="0.95" customHeight="1">
      <c r="A858" s="25"/>
      <c r="B858" s="25"/>
      <c r="C858" s="25"/>
      <c r="D858" s="31"/>
      <c r="E858" s="25"/>
      <c r="F858" s="25"/>
      <c r="G858" s="25"/>
      <c r="H858" s="25"/>
      <c r="I858" s="25"/>
      <c r="J858" s="25"/>
      <c r="K858" s="25"/>
      <c r="L858" s="25"/>
      <c r="M858" s="25"/>
    </row>
    <row r="859" spans="1:13" ht="33.75">
      <c r="A859" s="15" t="s">
        <v>774</v>
      </c>
      <c r="B859" s="10" t="s">
        <v>23</v>
      </c>
      <c r="C859" s="10" t="s">
        <v>4</v>
      </c>
      <c r="D859" s="18" t="s">
        <v>775</v>
      </c>
      <c r="E859" s="9"/>
      <c r="F859" s="9"/>
      <c r="G859" s="9"/>
      <c r="H859" s="9"/>
      <c r="I859" s="9"/>
      <c r="J859" s="9"/>
      <c r="K859" s="16">
        <f>K863</f>
        <v>3</v>
      </c>
      <c r="L859" s="17">
        <f>L863</f>
        <v>0</v>
      </c>
      <c r="M859" s="17">
        <f>M863</f>
        <v>0</v>
      </c>
    </row>
    <row r="860" spans="1:13">
      <c r="A860" s="9"/>
      <c r="B860" s="9"/>
      <c r="C860" s="9"/>
      <c r="D860" s="18" t="s">
        <v>776</v>
      </c>
      <c r="E860" s="9"/>
      <c r="F860" s="9"/>
      <c r="G860" s="9"/>
      <c r="H860" s="9"/>
      <c r="I860" s="9"/>
      <c r="J860" s="9"/>
      <c r="K860" s="9"/>
      <c r="L860" s="9"/>
      <c r="M860" s="9"/>
    </row>
    <row r="861" spans="1:13">
      <c r="A861" s="9"/>
      <c r="B861" s="9"/>
      <c r="C861" s="10" t="s">
        <v>27</v>
      </c>
      <c r="D861" s="30"/>
      <c r="E861" s="10" t="s">
        <v>772</v>
      </c>
      <c r="F861" s="19">
        <v>1</v>
      </c>
      <c r="G861" s="20">
        <v>0</v>
      </c>
      <c r="H861" s="20">
        <v>0</v>
      </c>
      <c r="I861" s="20">
        <v>0</v>
      </c>
      <c r="J861" s="16">
        <f>OR(F861&lt;&gt;0,G861&lt;&gt;0,H861&lt;&gt;0,I861&lt;&gt;0)*(F861 + (F861 = 0))*(G861 + (G861 = 0))*(H861 + (H861 = 0))*(I861 + (I861 = 0))</f>
        <v>1</v>
      </c>
      <c r="K861" s="9"/>
      <c r="L861" s="9"/>
      <c r="M861" s="9"/>
    </row>
    <row r="862" spans="1:13">
      <c r="A862" s="9"/>
      <c r="B862" s="9"/>
      <c r="C862" s="10" t="s">
        <v>27</v>
      </c>
      <c r="D862" s="30"/>
      <c r="E862" s="10" t="s">
        <v>17</v>
      </c>
      <c r="F862" s="19">
        <v>2</v>
      </c>
      <c r="G862" s="20">
        <v>0</v>
      </c>
      <c r="H862" s="20">
        <v>0</v>
      </c>
      <c r="I862" s="20">
        <v>0</v>
      </c>
      <c r="J862" s="16">
        <f>OR(F862&lt;&gt;0,G862&lt;&gt;0,H862&lt;&gt;0,I862&lt;&gt;0)*(F862 + (F862 = 0))*(G862 + (G862 = 0))*(H862 + (H862 = 0))*(I862 + (I862 = 0))</f>
        <v>2</v>
      </c>
      <c r="K862" s="9"/>
      <c r="L862" s="9"/>
      <c r="M862" s="9"/>
    </row>
    <row r="863" spans="1:13">
      <c r="A863" s="9"/>
      <c r="B863" s="9"/>
      <c r="C863" s="9"/>
      <c r="D863" s="30"/>
      <c r="E863" s="9"/>
      <c r="F863" s="9"/>
      <c r="G863" s="9"/>
      <c r="H863" s="9"/>
      <c r="I863" s="9"/>
      <c r="J863" s="21" t="s">
        <v>777</v>
      </c>
      <c r="K863" s="22">
        <f>SUM(J861:J862)</f>
        <v>3</v>
      </c>
      <c r="L863" s="23">
        <v>0</v>
      </c>
      <c r="M863" s="24">
        <f>ROUND(K863*L863,2)</f>
        <v>0</v>
      </c>
    </row>
    <row r="864" spans="1:13" ht="0.95" customHeight="1">
      <c r="A864" s="25"/>
      <c r="B864" s="25"/>
      <c r="C864" s="25"/>
      <c r="D864" s="31"/>
      <c r="E864" s="25"/>
      <c r="F864" s="25"/>
      <c r="G864" s="25"/>
      <c r="H864" s="25"/>
      <c r="I864" s="25"/>
      <c r="J864" s="25"/>
      <c r="K864" s="25"/>
      <c r="L864" s="25"/>
      <c r="M864" s="25"/>
    </row>
    <row r="865" spans="1:13" ht="45">
      <c r="A865" s="15" t="s">
        <v>778</v>
      </c>
      <c r="B865" s="10" t="s">
        <v>23</v>
      </c>
      <c r="C865" s="10" t="s">
        <v>4</v>
      </c>
      <c r="D865" s="18" t="s">
        <v>779</v>
      </c>
      <c r="E865" s="9"/>
      <c r="F865" s="9"/>
      <c r="G865" s="9"/>
      <c r="H865" s="9"/>
      <c r="I865" s="9"/>
      <c r="J865" s="9"/>
      <c r="K865" s="20">
        <v>1</v>
      </c>
      <c r="L865" s="23">
        <v>0</v>
      </c>
      <c r="M865" s="17">
        <f>ROUND(K865*L865,2)</f>
        <v>0</v>
      </c>
    </row>
    <row r="866" spans="1:13">
      <c r="A866" s="9"/>
      <c r="B866" s="9"/>
      <c r="C866" s="9"/>
      <c r="D866" s="18" t="s">
        <v>780</v>
      </c>
      <c r="E866" s="9"/>
      <c r="F866" s="9"/>
      <c r="G866" s="9"/>
      <c r="H866" s="9"/>
      <c r="I866" s="9"/>
      <c r="J866" s="9"/>
      <c r="K866" s="9"/>
      <c r="L866" s="9"/>
      <c r="M866" s="9"/>
    </row>
    <row r="867" spans="1:13">
      <c r="A867" s="15" t="s">
        <v>781</v>
      </c>
      <c r="B867" s="10" t="s">
        <v>23</v>
      </c>
      <c r="C867" s="10" t="s">
        <v>4</v>
      </c>
      <c r="D867" s="18" t="s">
        <v>782</v>
      </c>
      <c r="E867" s="9"/>
      <c r="F867" s="9"/>
      <c r="G867" s="9"/>
      <c r="H867" s="9"/>
      <c r="I867" s="9"/>
      <c r="J867" s="9"/>
      <c r="K867" s="16">
        <f>K870</f>
        <v>1</v>
      </c>
      <c r="L867" s="17">
        <f>L870</f>
        <v>0</v>
      </c>
      <c r="M867" s="17">
        <f>M870</f>
        <v>0</v>
      </c>
    </row>
    <row r="868" spans="1:13" ht="45">
      <c r="A868" s="9"/>
      <c r="B868" s="9"/>
      <c r="C868" s="9"/>
      <c r="D868" s="18" t="s">
        <v>783</v>
      </c>
      <c r="E868" s="9"/>
      <c r="F868" s="9"/>
      <c r="G868" s="9"/>
      <c r="H868" s="9"/>
      <c r="I868" s="9"/>
      <c r="J868" s="9"/>
      <c r="K868" s="9"/>
      <c r="L868" s="9"/>
      <c r="M868" s="9"/>
    </row>
    <row r="869" spans="1:13">
      <c r="A869" s="9"/>
      <c r="B869" s="9"/>
      <c r="C869" s="10" t="s">
        <v>27</v>
      </c>
      <c r="D869" s="30"/>
      <c r="E869" s="10" t="s">
        <v>772</v>
      </c>
      <c r="F869" s="19">
        <v>1</v>
      </c>
      <c r="G869" s="20">
        <v>0</v>
      </c>
      <c r="H869" s="20">
        <v>0</v>
      </c>
      <c r="I869" s="20">
        <v>0</v>
      </c>
      <c r="J869" s="16">
        <f>OR(F869&lt;&gt;0,G869&lt;&gt;0,H869&lt;&gt;0,I869&lt;&gt;0)*(F869 + (F869 = 0))*(G869 + (G869 = 0))*(H869 + (H869 = 0))*(I869 + (I869 = 0))</f>
        <v>1</v>
      </c>
      <c r="K869" s="9"/>
      <c r="L869" s="9"/>
      <c r="M869" s="9"/>
    </row>
    <row r="870" spans="1:13">
      <c r="A870" s="9"/>
      <c r="B870" s="9"/>
      <c r="C870" s="9"/>
      <c r="D870" s="30"/>
      <c r="E870" s="9"/>
      <c r="F870" s="9"/>
      <c r="G870" s="9"/>
      <c r="H870" s="9"/>
      <c r="I870" s="9"/>
      <c r="J870" s="21" t="s">
        <v>784</v>
      </c>
      <c r="K870" s="22">
        <f>J869</f>
        <v>1</v>
      </c>
      <c r="L870" s="23">
        <v>0</v>
      </c>
      <c r="M870" s="24">
        <f>ROUND(K870*L870,2)</f>
        <v>0</v>
      </c>
    </row>
    <row r="871" spans="1:13" ht="0.95" customHeight="1">
      <c r="A871" s="25"/>
      <c r="B871" s="25"/>
      <c r="C871" s="25"/>
      <c r="D871" s="31"/>
      <c r="E871" s="25"/>
      <c r="F871" s="25"/>
      <c r="G871" s="25"/>
      <c r="H871" s="25"/>
      <c r="I871" s="25"/>
      <c r="J871" s="25"/>
      <c r="K871" s="25"/>
      <c r="L871" s="25"/>
      <c r="M871" s="25"/>
    </row>
    <row r="872" spans="1:13" ht="22.5">
      <c r="A872" s="15" t="s">
        <v>785</v>
      </c>
      <c r="B872" s="10" t="s">
        <v>23</v>
      </c>
      <c r="C872" s="10" t="s">
        <v>4</v>
      </c>
      <c r="D872" s="18" t="s">
        <v>786</v>
      </c>
      <c r="E872" s="9"/>
      <c r="F872" s="9"/>
      <c r="G872" s="9"/>
      <c r="H872" s="9"/>
      <c r="I872" s="9"/>
      <c r="J872" s="9"/>
      <c r="K872" s="20">
        <v>1</v>
      </c>
      <c r="L872" s="23">
        <v>0</v>
      </c>
      <c r="M872" s="17">
        <f>ROUND(K872*L872,2)</f>
        <v>0</v>
      </c>
    </row>
    <row r="873" spans="1:13" ht="45">
      <c r="A873" s="9"/>
      <c r="B873" s="9"/>
      <c r="C873" s="9"/>
      <c r="D873" s="18" t="s">
        <v>787</v>
      </c>
      <c r="E873" s="9"/>
      <c r="F873" s="9"/>
      <c r="G873" s="9"/>
      <c r="H873" s="9"/>
      <c r="I873" s="9"/>
      <c r="J873" s="9"/>
      <c r="K873" s="9"/>
      <c r="L873" s="9"/>
      <c r="M873" s="9"/>
    </row>
    <row r="874" spans="1:13" ht="22.5">
      <c r="A874" s="15" t="s">
        <v>788</v>
      </c>
      <c r="B874" s="10" t="s">
        <v>23</v>
      </c>
      <c r="C874" s="10" t="s">
        <v>4</v>
      </c>
      <c r="D874" s="18" t="s">
        <v>789</v>
      </c>
      <c r="E874" s="9"/>
      <c r="F874" s="9"/>
      <c r="G874" s="9"/>
      <c r="H874" s="9"/>
      <c r="I874" s="9"/>
      <c r="J874" s="9"/>
      <c r="K874" s="20">
        <v>4</v>
      </c>
      <c r="L874" s="23">
        <v>0</v>
      </c>
      <c r="M874" s="17">
        <f>ROUND(K874*L874,2)</f>
        <v>0</v>
      </c>
    </row>
    <row r="875" spans="1:13" ht="45">
      <c r="A875" s="9"/>
      <c r="B875" s="9"/>
      <c r="C875" s="9"/>
      <c r="D875" s="18" t="s">
        <v>790</v>
      </c>
      <c r="E875" s="9"/>
      <c r="F875" s="9"/>
      <c r="G875" s="9"/>
      <c r="H875" s="9"/>
      <c r="I875" s="9"/>
      <c r="J875" s="9"/>
      <c r="K875" s="9"/>
      <c r="L875" s="9"/>
      <c r="M875" s="9"/>
    </row>
    <row r="876" spans="1:13" ht="45">
      <c r="A876" s="15" t="s">
        <v>791</v>
      </c>
      <c r="B876" s="10" t="s">
        <v>23</v>
      </c>
      <c r="C876" s="10" t="s">
        <v>94</v>
      </c>
      <c r="D876" s="18" t="s">
        <v>792</v>
      </c>
      <c r="E876" s="9"/>
      <c r="F876" s="9"/>
      <c r="G876" s="9"/>
      <c r="H876" s="9"/>
      <c r="I876" s="9"/>
      <c r="J876" s="9"/>
      <c r="K876" s="16">
        <f>K879</f>
        <v>84.51</v>
      </c>
      <c r="L876" s="17">
        <f>L879</f>
        <v>0</v>
      </c>
      <c r="M876" s="17">
        <f>M879</f>
        <v>0</v>
      </c>
    </row>
    <row r="877" spans="1:13">
      <c r="A877" s="9"/>
      <c r="B877" s="9"/>
      <c r="C877" s="9"/>
      <c r="D877" s="18" t="s">
        <v>793</v>
      </c>
      <c r="E877" s="9"/>
      <c r="F877" s="9"/>
      <c r="G877" s="9"/>
      <c r="H877" s="9"/>
      <c r="I877" s="9"/>
      <c r="J877" s="9"/>
      <c r="K877" s="9"/>
      <c r="L877" s="9"/>
      <c r="M877" s="9"/>
    </row>
    <row r="878" spans="1:13">
      <c r="A878" s="9"/>
      <c r="B878" s="9"/>
      <c r="C878" s="10" t="s">
        <v>27</v>
      </c>
      <c r="D878" s="30"/>
      <c r="E878" s="10" t="s">
        <v>772</v>
      </c>
      <c r="F878" s="19">
        <v>1</v>
      </c>
      <c r="G878" s="20">
        <v>84.51</v>
      </c>
      <c r="H878" s="20">
        <v>0</v>
      </c>
      <c r="I878" s="20">
        <v>0</v>
      </c>
      <c r="J878" s="16">
        <f>OR(F878&lt;&gt;0,G878&lt;&gt;0,H878&lt;&gt;0,I878&lt;&gt;0)*(F878 + (F878 = 0))*(G878 + (G878 = 0))*(H878 + (H878 = 0))*(I878 + (I878 = 0))</f>
        <v>84.51</v>
      </c>
      <c r="K878" s="9"/>
      <c r="L878" s="9"/>
      <c r="M878" s="9"/>
    </row>
    <row r="879" spans="1:13">
      <c r="A879" s="9"/>
      <c r="B879" s="9"/>
      <c r="C879" s="9"/>
      <c r="D879" s="30"/>
      <c r="E879" s="9"/>
      <c r="F879" s="9"/>
      <c r="G879" s="9"/>
      <c r="H879" s="9"/>
      <c r="I879" s="9"/>
      <c r="J879" s="21" t="s">
        <v>794</v>
      </c>
      <c r="K879" s="22">
        <f>J878</f>
        <v>84.51</v>
      </c>
      <c r="L879" s="23">
        <v>0</v>
      </c>
      <c r="M879" s="24">
        <f>ROUND(K879*L879,2)</f>
        <v>0</v>
      </c>
    </row>
    <row r="880" spans="1:13" ht="0.95" customHeight="1">
      <c r="A880" s="25"/>
      <c r="B880" s="25"/>
      <c r="C880" s="25"/>
      <c r="D880" s="31"/>
      <c r="E880" s="25"/>
      <c r="F880" s="25"/>
      <c r="G880" s="25"/>
      <c r="H880" s="25"/>
      <c r="I880" s="25"/>
      <c r="J880" s="25"/>
      <c r="K880" s="25"/>
      <c r="L880" s="25"/>
      <c r="M880" s="25"/>
    </row>
    <row r="881" spans="1:13" ht="45">
      <c r="A881" s="15" t="s">
        <v>795</v>
      </c>
      <c r="B881" s="10" t="s">
        <v>23</v>
      </c>
      <c r="C881" s="10" t="s">
        <v>94</v>
      </c>
      <c r="D881" s="18" t="s">
        <v>796</v>
      </c>
      <c r="E881" s="9"/>
      <c r="F881" s="9"/>
      <c r="G881" s="9"/>
      <c r="H881" s="9"/>
      <c r="I881" s="9"/>
      <c r="J881" s="9"/>
      <c r="K881" s="16">
        <f>K884</f>
        <v>93.85</v>
      </c>
      <c r="L881" s="17">
        <f>L884</f>
        <v>0</v>
      </c>
      <c r="M881" s="17">
        <f>M884</f>
        <v>0</v>
      </c>
    </row>
    <row r="882" spans="1:13">
      <c r="A882" s="9"/>
      <c r="B882" s="9"/>
      <c r="C882" s="9"/>
      <c r="D882" s="18" t="s">
        <v>793</v>
      </c>
      <c r="E882" s="9"/>
      <c r="F882" s="9"/>
      <c r="G882" s="9"/>
      <c r="H882" s="9"/>
      <c r="I882" s="9"/>
      <c r="J882" s="9"/>
      <c r="K882" s="9"/>
      <c r="L882" s="9"/>
      <c r="M882" s="9"/>
    </row>
    <row r="883" spans="1:13">
      <c r="A883" s="9"/>
      <c r="B883" s="9"/>
      <c r="C883" s="10" t="s">
        <v>27</v>
      </c>
      <c r="D883" s="30"/>
      <c r="E883" s="10" t="s">
        <v>772</v>
      </c>
      <c r="F883" s="19">
        <v>1</v>
      </c>
      <c r="G883" s="20">
        <v>93.85</v>
      </c>
      <c r="H883" s="20">
        <v>0</v>
      </c>
      <c r="I883" s="20">
        <v>0</v>
      </c>
      <c r="J883" s="16">
        <f>OR(F883&lt;&gt;0,G883&lt;&gt;0,H883&lt;&gt;0,I883&lt;&gt;0)*(F883 + (F883 = 0))*(G883 + (G883 = 0))*(H883 + (H883 = 0))*(I883 + (I883 = 0))</f>
        <v>93.85</v>
      </c>
      <c r="K883" s="9"/>
      <c r="L883" s="9"/>
      <c r="M883" s="9"/>
    </row>
    <row r="884" spans="1:13">
      <c r="A884" s="9"/>
      <c r="B884" s="9"/>
      <c r="C884" s="9"/>
      <c r="D884" s="30"/>
      <c r="E884" s="9"/>
      <c r="F884" s="9"/>
      <c r="G884" s="9"/>
      <c r="H884" s="9"/>
      <c r="I884" s="9"/>
      <c r="J884" s="21" t="s">
        <v>797</v>
      </c>
      <c r="K884" s="22">
        <f>J883</f>
        <v>93.85</v>
      </c>
      <c r="L884" s="23">
        <v>0</v>
      </c>
      <c r="M884" s="24">
        <f>ROUND(K884*L884,2)</f>
        <v>0</v>
      </c>
    </row>
    <row r="885" spans="1:13" ht="0.95" customHeight="1">
      <c r="A885" s="25"/>
      <c r="B885" s="25"/>
      <c r="C885" s="25"/>
      <c r="D885" s="31"/>
      <c r="E885" s="25"/>
      <c r="F885" s="25"/>
      <c r="G885" s="25"/>
      <c r="H885" s="25"/>
      <c r="I885" s="25"/>
      <c r="J885" s="25"/>
      <c r="K885" s="25"/>
      <c r="L885" s="25"/>
      <c r="M885" s="25"/>
    </row>
    <row r="886" spans="1:13" ht="33.75">
      <c r="A886" s="15" t="s">
        <v>798</v>
      </c>
      <c r="B886" s="10" t="s">
        <v>23</v>
      </c>
      <c r="C886" s="10" t="s">
        <v>4</v>
      </c>
      <c r="D886" s="18" t="s">
        <v>799</v>
      </c>
      <c r="E886" s="9"/>
      <c r="F886" s="9"/>
      <c r="G886" s="9"/>
      <c r="H886" s="9"/>
      <c r="I886" s="9"/>
      <c r="J886" s="9"/>
      <c r="K886" s="16">
        <f>K889</f>
        <v>1</v>
      </c>
      <c r="L886" s="17">
        <f>L889</f>
        <v>0</v>
      </c>
      <c r="M886" s="17">
        <f>M889</f>
        <v>0</v>
      </c>
    </row>
    <row r="887" spans="1:13">
      <c r="A887" s="9"/>
      <c r="B887" s="9"/>
      <c r="C887" s="9"/>
      <c r="D887" s="18" t="s">
        <v>800</v>
      </c>
      <c r="E887" s="9"/>
      <c r="F887" s="9"/>
      <c r="G887" s="9"/>
      <c r="H887" s="9"/>
      <c r="I887" s="9"/>
      <c r="J887" s="9"/>
      <c r="K887" s="9"/>
      <c r="L887" s="9"/>
      <c r="M887" s="9"/>
    </row>
    <row r="888" spans="1:13">
      <c r="A888" s="9"/>
      <c r="B888" s="9"/>
      <c r="C888" s="10" t="s">
        <v>27</v>
      </c>
      <c r="D888" s="30"/>
      <c r="E888" s="10" t="s">
        <v>772</v>
      </c>
      <c r="F888" s="19">
        <v>1</v>
      </c>
      <c r="G888" s="20">
        <v>0</v>
      </c>
      <c r="H888" s="20">
        <v>0</v>
      </c>
      <c r="I888" s="20">
        <v>0</v>
      </c>
      <c r="J888" s="16">
        <f>OR(F888&lt;&gt;0,G888&lt;&gt;0,H888&lt;&gt;0,I888&lt;&gt;0)*(F888 + (F888 = 0))*(G888 + (G888 = 0))*(H888 + (H888 = 0))*(I888 + (I888 = 0))</f>
        <v>1</v>
      </c>
      <c r="K888" s="9"/>
      <c r="L888" s="9"/>
      <c r="M888" s="9"/>
    </row>
    <row r="889" spans="1:13">
      <c r="A889" s="9"/>
      <c r="B889" s="9"/>
      <c r="C889" s="9"/>
      <c r="D889" s="30"/>
      <c r="E889" s="9"/>
      <c r="F889" s="9"/>
      <c r="G889" s="9"/>
      <c r="H889" s="9"/>
      <c r="I889" s="9"/>
      <c r="J889" s="21" t="s">
        <v>801</v>
      </c>
      <c r="K889" s="22">
        <f>J888</f>
        <v>1</v>
      </c>
      <c r="L889" s="23">
        <v>0</v>
      </c>
      <c r="M889" s="24">
        <f>ROUND(K889*L889,2)</f>
        <v>0</v>
      </c>
    </row>
    <row r="890" spans="1:13" ht="0.95" customHeight="1">
      <c r="A890" s="25"/>
      <c r="B890" s="25"/>
      <c r="C890" s="25"/>
      <c r="D890" s="31"/>
      <c r="E890" s="25"/>
      <c r="F890" s="25"/>
      <c r="G890" s="25"/>
      <c r="H890" s="25"/>
      <c r="I890" s="25"/>
      <c r="J890" s="25"/>
      <c r="K890" s="25"/>
      <c r="L890" s="25"/>
      <c r="M890" s="25"/>
    </row>
    <row r="891" spans="1:13" ht="33.75">
      <c r="A891" s="15" t="s">
        <v>802</v>
      </c>
      <c r="B891" s="10" t="s">
        <v>23</v>
      </c>
      <c r="C891" s="10" t="s">
        <v>4</v>
      </c>
      <c r="D891" s="18" t="s">
        <v>799</v>
      </c>
      <c r="E891" s="9"/>
      <c r="F891" s="9"/>
      <c r="G891" s="9"/>
      <c r="H891" s="9"/>
      <c r="I891" s="9"/>
      <c r="J891" s="9"/>
      <c r="K891" s="16">
        <f>K894</f>
        <v>1</v>
      </c>
      <c r="L891" s="17">
        <f>L894</f>
        <v>0</v>
      </c>
      <c r="M891" s="17">
        <f>M894</f>
        <v>0</v>
      </c>
    </row>
    <row r="892" spans="1:13">
      <c r="A892" s="9"/>
      <c r="B892" s="9"/>
      <c r="C892" s="9"/>
      <c r="D892" s="18" t="s">
        <v>803</v>
      </c>
      <c r="E892" s="9"/>
      <c r="F892" s="9"/>
      <c r="G892" s="9"/>
      <c r="H892" s="9"/>
      <c r="I892" s="9"/>
      <c r="J892" s="9"/>
      <c r="K892" s="9"/>
      <c r="L892" s="9"/>
      <c r="M892" s="9"/>
    </row>
    <row r="893" spans="1:13">
      <c r="A893" s="9"/>
      <c r="B893" s="9"/>
      <c r="C893" s="10" t="s">
        <v>27</v>
      </c>
      <c r="D893" s="30"/>
      <c r="E893" s="10" t="s">
        <v>804</v>
      </c>
      <c r="F893" s="19">
        <v>1</v>
      </c>
      <c r="G893" s="20">
        <v>0</v>
      </c>
      <c r="H893" s="20">
        <v>0</v>
      </c>
      <c r="I893" s="20">
        <v>0</v>
      </c>
      <c r="J893" s="16">
        <f>OR(F893&lt;&gt;0,G893&lt;&gt;0,H893&lt;&gt;0,I893&lt;&gt;0)*(F893 + (F893 = 0))*(G893 + (G893 = 0))*(H893 + (H893 = 0))*(I893 + (I893 = 0))</f>
        <v>1</v>
      </c>
      <c r="K893" s="9"/>
      <c r="L893" s="9"/>
      <c r="M893" s="9"/>
    </row>
    <row r="894" spans="1:13">
      <c r="A894" s="9"/>
      <c r="B894" s="9"/>
      <c r="C894" s="9"/>
      <c r="D894" s="30"/>
      <c r="E894" s="9"/>
      <c r="F894" s="9"/>
      <c r="G894" s="9"/>
      <c r="H894" s="9"/>
      <c r="I894" s="9"/>
      <c r="J894" s="21" t="s">
        <v>805</v>
      </c>
      <c r="K894" s="22">
        <f>J893</f>
        <v>1</v>
      </c>
      <c r="L894" s="23">
        <v>0</v>
      </c>
      <c r="M894" s="24">
        <f>ROUND(K894*L894,2)</f>
        <v>0</v>
      </c>
    </row>
    <row r="895" spans="1:13" ht="0.95" customHeight="1">
      <c r="A895" s="25"/>
      <c r="B895" s="25"/>
      <c r="C895" s="25"/>
      <c r="D895" s="31"/>
      <c r="E895" s="25"/>
      <c r="F895" s="25"/>
      <c r="G895" s="25"/>
      <c r="H895" s="25"/>
      <c r="I895" s="25"/>
      <c r="J895" s="25"/>
      <c r="K895" s="25"/>
      <c r="L895" s="25"/>
      <c r="M895" s="25"/>
    </row>
    <row r="896" spans="1:13" ht="33.75">
      <c r="A896" s="15" t="s">
        <v>806</v>
      </c>
      <c r="B896" s="10" t="s">
        <v>23</v>
      </c>
      <c r="C896" s="10" t="s">
        <v>4</v>
      </c>
      <c r="D896" s="18" t="s">
        <v>807</v>
      </c>
      <c r="E896" s="9"/>
      <c r="F896" s="9"/>
      <c r="G896" s="9"/>
      <c r="H896" s="9"/>
      <c r="I896" s="9"/>
      <c r="J896" s="9"/>
      <c r="K896" s="20">
        <v>1</v>
      </c>
      <c r="L896" s="23">
        <v>0</v>
      </c>
      <c r="M896" s="17">
        <f>ROUND(K896*L896,2)</f>
        <v>0</v>
      </c>
    </row>
    <row r="897" spans="1:13" ht="56.25">
      <c r="A897" s="9"/>
      <c r="B897" s="9"/>
      <c r="C897" s="9"/>
      <c r="D897" s="18" t="s">
        <v>808</v>
      </c>
      <c r="E897" s="9"/>
      <c r="F897" s="9"/>
      <c r="G897" s="9"/>
      <c r="H897" s="9"/>
      <c r="I897" s="9"/>
      <c r="J897" s="9"/>
      <c r="K897" s="9"/>
      <c r="L897" s="9"/>
      <c r="M897" s="9"/>
    </row>
    <row r="898" spans="1:13" ht="33.75">
      <c r="A898" s="15" t="s">
        <v>809</v>
      </c>
      <c r="B898" s="10" t="s">
        <v>23</v>
      </c>
      <c r="C898" s="10" t="s">
        <v>4</v>
      </c>
      <c r="D898" s="18" t="s">
        <v>810</v>
      </c>
      <c r="E898" s="9"/>
      <c r="F898" s="9"/>
      <c r="G898" s="9"/>
      <c r="H898" s="9"/>
      <c r="I898" s="9"/>
      <c r="J898" s="9"/>
      <c r="K898" s="20">
        <v>1</v>
      </c>
      <c r="L898" s="23">
        <v>0</v>
      </c>
      <c r="M898" s="17">
        <f>ROUND(K898*L898,2)</f>
        <v>0</v>
      </c>
    </row>
    <row r="899" spans="1:13">
      <c r="A899" s="9"/>
      <c r="B899" s="9"/>
      <c r="C899" s="9"/>
      <c r="D899" s="18" t="s">
        <v>811</v>
      </c>
      <c r="E899" s="9"/>
      <c r="F899" s="9"/>
      <c r="G899" s="9"/>
      <c r="H899" s="9"/>
      <c r="I899" s="9"/>
      <c r="J899" s="9"/>
      <c r="K899" s="9"/>
      <c r="L899" s="9"/>
      <c r="M899" s="9"/>
    </row>
    <row r="900" spans="1:13" ht="22.5">
      <c r="A900" s="15" t="s">
        <v>812</v>
      </c>
      <c r="B900" s="10" t="s">
        <v>23</v>
      </c>
      <c r="C900" s="10" t="s">
        <v>4</v>
      </c>
      <c r="D900" s="18" t="s">
        <v>813</v>
      </c>
      <c r="E900" s="9"/>
      <c r="F900" s="9"/>
      <c r="G900" s="9"/>
      <c r="H900" s="9"/>
      <c r="I900" s="9"/>
      <c r="J900" s="9"/>
      <c r="K900" s="16">
        <f>K903</f>
        <v>2</v>
      </c>
      <c r="L900" s="17">
        <f>L903</f>
        <v>0</v>
      </c>
      <c r="M900" s="17">
        <f>M903</f>
        <v>0</v>
      </c>
    </row>
    <row r="901" spans="1:13">
      <c r="A901" s="9"/>
      <c r="B901" s="9"/>
      <c r="C901" s="9"/>
      <c r="D901" s="18" t="s">
        <v>814</v>
      </c>
      <c r="E901" s="9"/>
      <c r="F901" s="9"/>
      <c r="G901" s="9"/>
      <c r="H901" s="9"/>
      <c r="I901" s="9"/>
      <c r="J901" s="9"/>
      <c r="K901" s="9"/>
      <c r="L901" s="9"/>
      <c r="M901" s="9"/>
    </row>
    <row r="902" spans="1:13">
      <c r="A902" s="9"/>
      <c r="B902" s="9"/>
      <c r="C902" s="10" t="s">
        <v>27</v>
      </c>
      <c r="D902" s="30"/>
      <c r="E902" s="10" t="s">
        <v>815</v>
      </c>
      <c r="F902" s="19">
        <v>2</v>
      </c>
      <c r="G902" s="20">
        <v>0</v>
      </c>
      <c r="H902" s="20">
        <v>0</v>
      </c>
      <c r="I902" s="20">
        <v>0</v>
      </c>
      <c r="J902" s="16">
        <f>OR(F902&lt;&gt;0,G902&lt;&gt;0,H902&lt;&gt;0,I902&lt;&gt;0)*(F902 + (F902 = 0))*(G902 + (G902 = 0))*(H902 + (H902 = 0))*(I902 + (I902 = 0))</f>
        <v>2</v>
      </c>
      <c r="K902" s="9"/>
      <c r="L902" s="9"/>
      <c r="M902" s="9"/>
    </row>
    <row r="903" spans="1:13">
      <c r="A903" s="9"/>
      <c r="B903" s="9"/>
      <c r="C903" s="9"/>
      <c r="D903" s="30"/>
      <c r="E903" s="9"/>
      <c r="F903" s="9"/>
      <c r="G903" s="9"/>
      <c r="H903" s="9"/>
      <c r="I903" s="9"/>
      <c r="J903" s="21" t="s">
        <v>816</v>
      </c>
      <c r="K903" s="22">
        <f>J902</f>
        <v>2</v>
      </c>
      <c r="L903" s="23">
        <v>0</v>
      </c>
      <c r="M903" s="24">
        <f>ROUND(K903*L903,2)</f>
        <v>0</v>
      </c>
    </row>
    <row r="904" spans="1:13" ht="0.95" customHeight="1">
      <c r="A904" s="25"/>
      <c r="B904" s="25"/>
      <c r="C904" s="25"/>
      <c r="D904" s="31"/>
      <c r="E904" s="25"/>
      <c r="F904" s="25"/>
      <c r="G904" s="25"/>
      <c r="H904" s="25"/>
      <c r="I904" s="25"/>
      <c r="J904" s="25"/>
      <c r="K904" s="25"/>
      <c r="L904" s="25"/>
      <c r="M904" s="25"/>
    </row>
    <row r="905" spans="1:13" ht="33.75">
      <c r="A905" s="15" t="s">
        <v>817</v>
      </c>
      <c r="B905" s="10" t="s">
        <v>23</v>
      </c>
      <c r="C905" s="10" t="s">
        <v>4</v>
      </c>
      <c r="D905" s="18" t="s">
        <v>818</v>
      </c>
      <c r="E905" s="9"/>
      <c r="F905" s="9"/>
      <c r="G905" s="9"/>
      <c r="H905" s="9"/>
      <c r="I905" s="9"/>
      <c r="J905" s="9"/>
      <c r="K905" s="16">
        <f>K908</f>
        <v>1</v>
      </c>
      <c r="L905" s="17">
        <f>L908</f>
        <v>0</v>
      </c>
      <c r="M905" s="17">
        <f>M908</f>
        <v>0</v>
      </c>
    </row>
    <row r="906" spans="1:13">
      <c r="A906" s="9"/>
      <c r="B906" s="9"/>
      <c r="C906" s="9"/>
      <c r="D906" s="18" t="s">
        <v>819</v>
      </c>
      <c r="E906" s="9"/>
      <c r="F906" s="9"/>
      <c r="G906" s="9"/>
      <c r="H906" s="9"/>
      <c r="I906" s="9"/>
      <c r="J906" s="9"/>
      <c r="K906" s="9"/>
      <c r="L906" s="9"/>
      <c r="M906" s="9"/>
    </row>
    <row r="907" spans="1:13">
      <c r="A907" s="9"/>
      <c r="B907" s="9"/>
      <c r="C907" s="10" t="s">
        <v>27</v>
      </c>
      <c r="D907" s="30"/>
      <c r="E907" s="10" t="s">
        <v>17</v>
      </c>
      <c r="F907" s="19">
        <v>1</v>
      </c>
      <c r="G907" s="20">
        <v>0</v>
      </c>
      <c r="H907" s="20">
        <v>0</v>
      </c>
      <c r="I907" s="20">
        <v>0</v>
      </c>
      <c r="J907" s="16">
        <f>OR(F907&lt;&gt;0,G907&lt;&gt;0,H907&lt;&gt;0,I907&lt;&gt;0)*(F907 + (F907 = 0))*(G907 + (G907 = 0))*(H907 + (H907 = 0))*(I907 + (I907 = 0))</f>
        <v>1</v>
      </c>
      <c r="K907" s="9"/>
      <c r="L907" s="9"/>
      <c r="M907" s="9"/>
    </row>
    <row r="908" spans="1:13">
      <c r="A908" s="9"/>
      <c r="B908" s="9"/>
      <c r="C908" s="9"/>
      <c r="D908" s="30"/>
      <c r="E908" s="9"/>
      <c r="F908" s="9"/>
      <c r="G908" s="9"/>
      <c r="H908" s="9"/>
      <c r="I908" s="9"/>
      <c r="J908" s="21" t="s">
        <v>820</v>
      </c>
      <c r="K908" s="22">
        <f>J907</f>
        <v>1</v>
      </c>
      <c r="L908" s="23">
        <v>0</v>
      </c>
      <c r="M908" s="24">
        <f>ROUND(K908*L908,2)</f>
        <v>0</v>
      </c>
    </row>
    <row r="909" spans="1:13" ht="0.95" customHeight="1">
      <c r="A909" s="25"/>
      <c r="B909" s="25"/>
      <c r="C909" s="25"/>
      <c r="D909" s="31"/>
      <c r="E909" s="25"/>
      <c r="F909" s="25"/>
      <c r="G909" s="25"/>
      <c r="H909" s="25"/>
      <c r="I909" s="25"/>
      <c r="J909" s="25"/>
      <c r="K909" s="25"/>
      <c r="L909" s="25"/>
      <c r="M909" s="25"/>
    </row>
    <row r="910" spans="1:13">
      <c r="A910" s="15" t="s">
        <v>821</v>
      </c>
      <c r="B910" s="10" t="s">
        <v>23</v>
      </c>
      <c r="C910" s="10" t="s">
        <v>94</v>
      </c>
      <c r="D910" s="18" t="s">
        <v>822</v>
      </c>
      <c r="E910" s="9"/>
      <c r="F910" s="9"/>
      <c r="G910" s="9"/>
      <c r="H910" s="9"/>
      <c r="I910" s="9"/>
      <c r="J910" s="9"/>
      <c r="K910" s="20">
        <v>8.85</v>
      </c>
      <c r="L910" s="23">
        <v>0</v>
      </c>
      <c r="M910" s="17">
        <f>ROUND(K910*L910,2)</f>
        <v>0</v>
      </c>
    </row>
    <row r="911" spans="1:13">
      <c r="A911" s="9"/>
      <c r="B911" s="9"/>
      <c r="C911" s="9"/>
      <c r="D911" s="18" t="s">
        <v>823</v>
      </c>
      <c r="E911" s="9"/>
      <c r="F911" s="9"/>
      <c r="G911" s="9"/>
      <c r="H911" s="9"/>
      <c r="I911" s="9"/>
      <c r="J911" s="9"/>
      <c r="K911" s="9"/>
      <c r="L911" s="9"/>
      <c r="M911" s="9"/>
    </row>
    <row r="912" spans="1:13">
      <c r="A912" s="15" t="s">
        <v>824</v>
      </c>
      <c r="B912" s="10" t="s">
        <v>23</v>
      </c>
      <c r="C912" s="10" t="s">
        <v>4</v>
      </c>
      <c r="D912" s="18" t="s">
        <v>825</v>
      </c>
      <c r="E912" s="9"/>
      <c r="F912" s="9"/>
      <c r="G912" s="9"/>
      <c r="H912" s="9"/>
      <c r="I912" s="9"/>
      <c r="J912" s="9"/>
      <c r="K912" s="16">
        <f>K918</f>
        <v>4</v>
      </c>
      <c r="L912" s="17">
        <f>L918</f>
        <v>0</v>
      </c>
      <c r="M912" s="17">
        <f>M918</f>
        <v>0</v>
      </c>
    </row>
    <row r="913" spans="1:13">
      <c r="A913" s="9"/>
      <c r="B913" s="9"/>
      <c r="C913" s="9"/>
      <c r="D913" s="18" t="s">
        <v>826</v>
      </c>
      <c r="E913" s="9"/>
      <c r="F913" s="9"/>
      <c r="G913" s="9"/>
      <c r="H913" s="9"/>
      <c r="I913" s="9"/>
      <c r="J913" s="9"/>
      <c r="K913" s="9"/>
      <c r="L913" s="9"/>
      <c r="M913" s="9"/>
    </row>
    <row r="914" spans="1:13">
      <c r="A914" s="9"/>
      <c r="B914" s="9"/>
      <c r="C914" s="10" t="s">
        <v>27</v>
      </c>
      <c r="D914" s="30"/>
      <c r="E914" s="10" t="s">
        <v>827</v>
      </c>
      <c r="F914" s="19">
        <v>1</v>
      </c>
      <c r="G914" s="20">
        <v>0</v>
      </c>
      <c r="H914" s="20">
        <v>0</v>
      </c>
      <c r="I914" s="20">
        <v>0</v>
      </c>
      <c r="J914" s="16">
        <f>OR(F914&lt;&gt;0,G914&lt;&gt;0,H914&lt;&gt;0,I914&lt;&gt;0)*(F914 + (F914 = 0))*(G914 + (G914 = 0))*(H914 + (H914 = 0))*(I914 + (I914 = 0))</f>
        <v>1</v>
      </c>
      <c r="K914" s="9"/>
      <c r="L914" s="9"/>
      <c r="M914" s="9"/>
    </row>
    <row r="915" spans="1:13">
      <c r="A915" s="9"/>
      <c r="B915" s="9"/>
      <c r="C915" s="10" t="s">
        <v>27</v>
      </c>
      <c r="D915" s="30"/>
      <c r="E915" s="10" t="s">
        <v>828</v>
      </c>
      <c r="F915" s="19">
        <v>1</v>
      </c>
      <c r="G915" s="20">
        <v>0</v>
      </c>
      <c r="H915" s="20">
        <v>0</v>
      </c>
      <c r="I915" s="20">
        <v>0</v>
      </c>
      <c r="J915" s="16">
        <f>OR(F915&lt;&gt;0,G915&lt;&gt;0,H915&lt;&gt;0,I915&lt;&gt;0)*(F915 + (F915 = 0))*(G915 + (G915 = 0))*(H915 + (H915 = 0))*(I915 + (I915 = 0))</f>
        <v>1</v>
      </c>
      <c r="K915" s="9"/>
      <c r="L915" s="9"/>
      <c r="M915" s="9"/>
    </row>
    <row r="916" spans="1:13">
      <c r="A916" s="9"/>
      <c r="B916" s="9"/>
      <c r="C916" s="10" t="s">
        <v>27</v>
      </c>
      <c r="D916" s="30"/>
      <c r="E916" s="10" t="s">
        <v>829</v>
      </c>
      <c r="F916" s="19">
        <v>1</v>
      </c>
      <c r="G916" s="20">
        <v>0</v>
      </c>
      <c r="H916" s="20">
        <v>0</v>
      </c>
      <c r="I916" s="20">
        <v>0</v>
      </c>
      <c r="J916" s="16">
        <f>OR(F916&lt;&gt;0,G916&lt;&gt;0,H916&lt;&gt;0,I916&lt;&gt;0)*(F916 + (F916 = 0))*(G916 + (G916 = 0))*(H916 + (H916 = 0))*(I916 + (I916 = 0))</f>
        <v>1</v>
      </c>
      <c r="K916" s="9"/>
      <c r="L916" s="9"/>
      <c r="M916" s="9"/>
    </row>
    <row r="917" spans="1:13">
      <c r="A917" s="9"/>
      <c r="B917" s="9"/>
      <c r="C917" s="10" t="s">
        <v>27</v>
      </c>
      <c r="D917" s="30"/>
      <c r="E917" s="10" t="s">
        <v>830</v>
      </c>
      <c r="F917" s="19">
        <v>1</v>
      </c>
      <c r="G917" s="20">
        <v>0</v>
      </c>
      <c r="H917" s="20">
        <v>0</v>
      </c>
      <c r="I917" s="20">
        <v>0</v>
      </c>
      <c r="J917" s="16">
        <f>OR(F917&lt;&gt;0,G917&lt;&gt;0,H917&lt;&gt;0,I917&lt;&gt;0)*(F917 + (F917 = 0))*(G917 + (G917 = 0))*(H917 + (H917 = 0))*(I917 + (I917 = 0))</f>
        <v>1</v>
      </c>
      <c r="K917" s="9"/>
      <c r="L917" s="9"/>
      <c r="M917" s="9"/>
    </row>
    <row r="918" spans="1:13">
      <c r="A918" s="9"/>
      <c r="B918" s="9"/>
      <c r="C918" s="9"/>
      <c r="D918" s="30"/>
      <c r="E918" s="9"/>
      <c r="F918" s="9"/>
      <c r="G918" s="9"/>
      <c r="H918" s="9"/>
      <c r="I918" s="9"/>
      <c r="J918" s="21" t="s">
        <v>831</v>
      </c>
      <c r="K918" s="22">
        <f>SUM(J914:J917)</f>
        <v>4</v>
      </c>
      <c r="L918" s="23">
        <v>0</v>
      </c>
      <c r="M918" s="24">
        <f>ROUND(K918*L918,2)</f>
        <v>0</v>
      </c>
    </row>
    <row r="919" spans="1:13" ht="0.95" customHeight="1">
      <c r="A919" s="25"/>
      <c r="B919" s="25"/>
      <c r="C919" s="25"/>
      <c r="D919" s="31"/>
      <c r="E919" s="25"/>
      <c r="F919" s="25"/>
      <c r="G919" s="25"/>
      <c r="H919" s="25"/>
      <c r="I919" s="25"/>
      <c r="J919" s="25"/>
      <c r="K919" s="25"/>
      <c r="L919" s="25"/>
      <c r="M919" s="25"/>
    </row>
    <row r="920" spans="1:13" ht="33.75">
      <c r="A920" s="15" t="s">
        <v>832</v>
      </c>
      <c r="B920" s="10" t="s">
        <v>23</v>
      </c>
      <c r="C920" s="10" t="s">
        <v>66</v>
      </c>
      <c r="D920" s="18" t="s">
        <v>833</v>
      </c>
      <c r="E920" s="9"/>
      <c r="F920" s="9"/>
      <c r="G920" s="9"/>
      <c r="H920" s="9"/>
      <c r="I920" s="9"/>
      <c r="J920" s="9"/>
      <c r="K920" s="16">
        <f>K924</f>
        <v>10.83</v>
      </c>
      <c r="L920" s="17">
        <f>L924</f>
        <v>0</v>
      </c>
      <c r="M920" s="17">
        <f>M924</f>
        <v>0</v>
      </c>
    </row>
    <row r="921" spans="1:13">
      <c r="A921" s="9"/>
      <c r="B921" s="9"/>
      <c r="C921" s="9"/>
      <c r="D921" s="18" t="s">
        <v>834</v>
      </c>
      <c r="E921" s="9"/>
      <c r="F921" s="9"/>
      <c r="G921" s="9"/>
      <c r="H921" s="9"/>
      <c r="I921" s="9"/>
      <c r="J921" s="9"/>
      <c r="K921" s="9"/>
      <c r="L921" s="9"/>
      <c r="M921" s="9"/>
    </row>
    <row r="922" spans="1:13">
      <c r="A922" s="9"/>
      <c r="B922" s="9"/>
      <c r="C922" s="10" t="s">
        <v>27</v>
      </c>
      <c r="D922" s="30"/>
      <c r="E922" s="10" t="s">
        <v>835</v>
      </c>
      <c r="F922" s="19">
        <v>1</v>
      </c>
      <c r="G922" s="20">
        <v>1.22</v>
      </c>
      <c r="H922" s="20">
        <v>0</v>
      </c>
      <c r="I922" s="20">
        <v>0</v>
      </c>
      <c r="J922" s="16">
        <f>OR(F922&lt;&gt;0,G922&lt;&gt;0,H922&lt;&gt;0,I922&lt;&gt;0)*(F922 + (F922 = 0))*(G922 + (G922 = 0))*(H922 + (H922 = 0))*(I922 + (I922 = 0))</f>
        <v>1.22</v>
      </c>
      <c r="K922" s="9"/>
      <c r="L922" s="9"/>
      <c r="M922" s="9"/>
    </row>
    <row r="923" spans="1:13">
      <c r="A923" s="9"/>
      <c r="B923" s="9"/>
      <c r="C923" s="10" t="s">
        <v>27</v>
      </c>
      <c r="D923" s="30"/>
      <c r="E923" s="10" t="s">
        <v>836</v>
      </c>
      <c r="F923" s="19">
        <v>1</v>
      </c>
      <c r="G923" s="20">
        <v>9.61</v>
      </c>
      <c r="H923" s="20">
        <v>0</v>
      </c>
      <c r="I923" s="20">
        <v>0</v>
      </c>
      <c r="J923" s="16">
        <f>OR(F923&lt;&gt;0,G923&lt;&gt;0,H923&lt;&gt;0,I923&lt;&gt;0)*(F923 + (F923 = 0))*(G923 + (G923 = 0))*(H923 + (H923 = 0))*(I923 + (I923 = 0))</f>
        <v>9.61</v>
      </c>
      <c r="K923" s="9"/>
      <c r="L923" s="9"/>
      <c r="M923" s="9"/>
    </row>
    <row r="924" spans="1:13">
      <c r="A924" s="9"/>
      <c r="B924" s="9"/>
      <c r="C924" s="9"/>
      <c r="D924" s="30"/>
      <c r="E924" s="9"/>
      <c r="F924" s="9"/>
      <c r="G924" s="9"/>
      <c r="H924" s="9"/>
      <c r="I924" s="9"/>
      <c r="J924" s="21" t="s">
        <v>837</v>
      </c>
      <c r="K924" s="22">
        <f>SUM(J922:J923)</f>
        <v>10.83</v>
      </c>
      <c r="L924" s="23">
        <v>0</v>
      </c>
      <c r="M924" s="24">
        <f>ROUND(K924*L924,2)</f>
        <v>0</v>
      </c>
    </row>
    <row r="925" spans="1:13" ht="0.95" customHeight="1">
      <c r="A925" s="25"/>
      <c r="B925" s="25"/>
      <c r="C925" s="25"/>
      <c r="D925" s="31"/>
      <c r="E925" s="25"/>
      <c r="F925" s="25"/>
      <c r="G925" s="25"/>
      <c r="H925" s="25"/>
      <c r="I925" s="25"/>
      <c r="J925" s="25"/>
      <c r="K925" s="25"/>
      <c r="L925" s="25"/>
      <c r="M925" s="25"/>
    </row>
    <row r="926" spans="1:13" ht="33.75">
      <c r="A926" s="15" t="s">
        <v>838</v>
      </c>
      <c r="B926" s="10" t="s">
        <v>23</v>
      </c>
      <c r="C926" s="10" t="s">
        <v>66</v>
      </c>
      <c r="D926" s="18" t="s">
        <v>833</v>
      </c>
      <c r="E926" s="9"/>
      <c r="F926" s="9"/>
      <c r="G926" s="9"/>
      <c r="H926" s="9"/>
      <c r="I926" s="9"/>
      <c r="J926" s="9"/>
      <c r="K926" s="16">
        <f>K930</f>
        <v>13.99</v>
      </c>
      <c r="L926" s="17">
        <f>L930</f>
        <v>0</v>
      </c>
      <c r="M926" s="17">
        <f>M930</f>
        <v>0</v>
      </c>
    </row>
    <row r="927" spans="1:13">
      <c r="A927" s="9"/>
      <c r="B927" s="9"/>
      <c r="C927" s="9"/>
      <c r="D927" s="18" t="s">
        <v>839</v>
      </c>
      <c r="E927" s="9"/>
      <c r="F927" s="9"/>
      <c r="G927" s="9"/>
      <c r="H927" s="9"/>
      <c r="I927" s="9"/>
      <c r="J927" s="9"/>
      <c r="K927" s="9"/>
      <c r="L927" s="9"/>
      <c r="M927" s="9"/>
    </row>
    <row r="928" spans="1:13">
      <c r="A928" s="9"/>
      <c r="B928" s="9"/>
      <c r="C928" s="10" t="s">
        <v>27</v>
      </c>
      <c r="D928" s="30"/>
      <c r="E928" s="10" t="s">
        <v>836</v>
      </c>
      <c r="F928" s="19">
        <v>1</v>
      </c>
      <c r="G928" s="20">
        <v>8.9</v>
      </c>
      <c r="H928" s="20">
        <v>0</v>
      </c>
      <c r="I928" s="20">
        <v>0</v>
      </c>
      <c r="J928" s="16">
        <f>OR(F928&lt;&gt;0,G928&lt;&gt;0,H928&lt;&gt;0,I928&lt;&gt;0)*(F928 + (F928 = 0))*(G928 + (G928 = 0))*(H928 + (H928 = 0))*(I928 + (I928 = 0))</f>
        <v>8.9</v>
      </c>
      <c r="K928" s="9"/>
      <c r="L928" s="9"/>
      <c r="M928" s="9"/>
    </row>
    <row r="929" spans="1:13">
      <c r="A929" s="9"/>
      <c r="B929" s="9"/>
      <c r="C929" s="10" t="s">
        <v>27</v>
      </c>
      <c r="D929" s="30"/>
      <c r="E929" s="10" t="s">
        <v>840</v>
      </c>
      <c r="F929" s="19">
        <v>1</v>
      </c>
      <c r="G929" s="20">
        <v>5.09</v>
      </c>
      <c r="H929" s="20">
        <v>0</v>
      </c>
      <c r="I929" s="20">
        <v>0</v>
      </c>
      <c r="J929" s="16">
        <f>OR(F929&lt;&gt;0,G929&lt;&gt;0,H929&lt;&gt;0,I929&lt;&gt;0)*(F929 + (F929 = 0))*(G929 + (G929 = 0))*(H929 + (H929 = 0))*(I929 + (I929 = 0))</f>
        <v>5.09</v>
      </c>
      <c r="K929" s="9"/>
      <c r="L929" s="9"/>
      <c r="M929" s="9"/>
    </row>
    <row r="930" spans="1:13">
      <c r="A930" s="9"/>
      <c r="B930" s="9"/>
      <c r="C930" s="9"/>
      <c r="D930" s="30"/>
      <c r="E930" s="9"/>
      <c r="F930" s="9"/>
      <c r="G930" s="9"/>
      <c r="H930" s="9"/>
      <c r="I930" s="9"/>
      <c r="J930" s="21" t="s">
        <v>841</v>
      </c>
      <c r="K930" s="22">
        <f>SUM(J928:J929)</f>
        <v>13.99</v>
      </c>
      <c r="L930" s="23">
        <v>0</v>
      </c>
      <c r="M930" s="24">
        <f>ROUND(K930*L930,2)</f>
        <v>0</v>
      </c>
    </row>
    <row r="931" spans="1:13" ht="0.95" customHeight="1">
      <c r="A931" s="25"/>
      <c r="B931" s="25"/>
      <c r="C931" s="25"/>
      <c r="D931" s="31"/>
      <c r="E931" s="25"/>
      <c r="F931" s="25"/>
      <c r="G931" s="25"/>
      <c r="H931" s="25"/>
      <c r="I931" s="25"/>
      <c r="J931" s="25"/>
      <c r="K931" s="25"/>
      <c r="L931" s="25"/>
      <c r="M931" s="25"/>
    </row>
    <row r="932" spans="1:13" ht="33.75">
      <c r="A932" s="15" t="s">
        <v>842</v>
      </c>
      <c r="B932" s="10" t="s">
        <v>23</v>
      </c>
      <c r="C932" s="10" t="s">
        <v>66</v>
      </c>
      <c r="D932" s="18" t="s">
        <v>833</v>
      </c>
      <c r="E932" s="9"/>
      <c r="F932" s="9"/>
      <c r="G932" s="9"/>
      <c r="H932" s="9"/>
      <c r="I932" s="9"/>
      <c r="J932" s="9"/>
      <c r="K932" s="16">
        <f>K935</f>
        <v>16.02</v>
      </c>
      <c r="L932" s="17">
        <f>L935</f>
        <v>0</v>
      </c>
      <c r="M932" s="17">
        <f>M935</f>
        <v>0</v>
      </c>
    </row>
    <row r="933" spans="1:13">
      <c r="A933" s="9"/>
      <c r="B933" s="9"/>
      <c r="C933" s="9"/>
      <c r="D933" s="18" t="s">
        <v>843</v>
      </c>
      <c r="E933" s="9"/>
      <c r="F933" s="9"/>
      <c r="G933" s="9"/>
      <c r="H933" s="9"/>
      <c r="I933" s="9"/>
      <c r="J933" s="9"/>
      <c r="K933" s="9"/>
      <c r="L933" s="9"/>
      <c r="M933" s="9"/>
    </row>
    <row r="934" spans="1:13">
      <c r="A934" s="9"/>
      <c r="B934" s="9"/>
      <c r="C934" s="10" t="s">
        <v>27</v>
      </c>
      <c r="D934" s="30"/>
      <c r="E934" s="10" t="s">
        <v>835</v>
      </c>
      <c r="F934" s="19">
        <v>1</v>
      </c>
      <c r="G934" s="20">
        <v>16.02</v>
      </c>
      <c r="H934" s="20">
        <v>0</v>
      </c>
      <c r="I934" s="20">
        <v>0</v>
      </c>
      <c r="J934" s="16">
        <f>OR(F934&lt;&gt;0,G934&lt;&gt;0,H934&lt;&gt;0,I934&lt;&gt;0)*(F934 + (F934 = 0))*(G934 + (G934 = 0))*(H934 + (H934 = 0))*(I934 + (I934 = 0))</f>
        <v>16.02</v>
      </c>
      <c r="K934" s="9"/>
      <c r="L934" s="9"/>
      <c r="M934" s="9"/>
    </row>
    <row r="935" spans="1:13">
      <c r="A935" s="9"/>
      <c r="B935" s="9"/>
      <c r="C935" s="9"/>
      <c r="D935" s="30"/>
      <c r="E935" s="9"/>
      <c r="F935" s="9"/>
      <c r="G935" s="9"/>
      <c r="H935" s="9"/>
      <c r="I935" s="9"/>
      <c r="J935" s="21" t="s">
        <v>844</v>
      </c>
      <c r="K935" s="22">
        <f>J934</f>
        <v>16.02</v>
      </c>
      <c r="L935" s="23">
        <v>0</v>
      </c>
      <c r="M935" s="24">
        <f>ROUND(K935*L935,2)</f>
        <v>0</v>
      </c>
    </row>
    <row r="936" spans="1:13" ht="0.95" customHeight="1">
      <c r="A936" s="25"/>
      <c r="B936" s="25"/>
      <c r="C936" s="25"/>
      <c r="D936" s="31"/>
      <c r="E936" s="25"/>
      <c r="F936" s="25"/>
      <c r="G936" s="25"/>
      <c r="H936" s="25"/>
      <c r="I936" s="25"/>
      <c r="J936" s="25"/>
      <c r="K936" s="25"/>
      <c r="L936" s="25"/>
      <c r="M936" s="25"/>
    </row>
    <row r="937" spans="1:13" ht="33.75">
      <c r="A937" s="15" t="s">
        <v>845</v>
      </c>
      <c r="B937" s="10" t="s">
        <v>23</v>
      </c>
      <c r="C937" s="10" t="s">
        <v>66</v>
      </c>
      <c r="D937" s="18" t="s">
        <v>833</v>
      </c>
      <c r="E937" s="9"/>
      <c r="F937" s="9"/>
      <c r="G937" s="9"/>
      <c r="H937" s="9"/>
      <c r="I937" s="9"/>
      <c r="J937" s="9"/>
      <c r="K937" s="16">
        <f>K940</f>
        <v>4.3499999999999996</v>
      </c>
      <c r="L937" s="17">
        <f>L940</f>
        <v>0</v>
      </c>
      <c r="M937" s="17">
        <f>M940</f>
        <v>0</v>
      </c>
    </row>
    <row r="938" spans="1:13">
      <c r="A938" s="9"/>
      <c r="B938" s="9"/>
      <c r="C938" s="9"/>
      <c r="D938" s="18" t="s">
        <v>846</v>
      </c>
      <c r="E938" s="9"/>
      <c r="F938" s="9"/>
      <c r="G938" s="9"/>
      <c r="H938" s="9"/>
      <c r="I938" s="9"/>
      <c r="J938" s="9"/>
      <c r="K938" s="9"/>
      <c r="L938" s="9"/>
      <c r="M938" s="9"/>
    </row>
    <row r="939" spans="1:13">
      <c r="A939" s="9"/>
      <c r="B939" s="9"/>
      <c r="C939" s="10" t="s">
        <v>27</v>
      </c>
      <c r="D939" s="30"/>
      <c r="E939" s="10" t="s">
        <v>835</v>
      </c>
      <c r="F939" s="19">
        <v>1</v>
      </c>
      <c r="G939" s="20">
        <v>4.3499999999999996</v>
      </c>
      <c r="H939" s="20">
        <v>0</v>
      </c>
      <c r="I939" s="20">
        <v>0</v>
      </c>
      <c r="J939" s="16">
        <f>OR(F939&lt;&gt;0,G939&lt;&gt;0,H939&lt;&gt;0,I939&lt;&gt;0)*(F939 + (F939 = 0))*(G939 + (G939 = 0))*(H939 + (H939 = 0))*(I939 + (I939 = 0))</f>
        <v>4.3499999999999996</v>
      </c>
      <c r="K939" s="9"/>
      <c r="L939" s="9"/>
      <c r="M939" s="9"/>
    </row>
    <row r="940" spans="1:13">
      <c r="A940" s="9"/>
      <c r="B940" s="9"/>
      <c r="C940" s="9"/>
      <c r="D940" s="30"/>
      <c r="E940" s="9"/>
      <c r="F940" s="9"/>
      <c r="G940" s="9"/>
      <c r="H940" s="9"/>
      <c r="I940" s="9"/>
      <c r="J940" s="21" t="s">
        <v>847</v>
      </c>
      <c r="K940" s="22">
        <f>J939</f>
        <v>4.3499999999999996</v>
      </c>
      <c r="L940" s="23">
        <v>0</v>
      </c>
      <c r="M940" s="24">
        <f>ROUND(K940*L940,2)</f>
        <v>0</v>
      </c>
    </row>
    <row r="941" spans="1:13" ht="0.95" customHeight="1">
      <c r="A941" s="25"/>
      <c r="B941" s="25"/>
      <c r="C941" s="25"/>
      <c r="D941" s="31"/>
      <c r="E941" s="25"/>
      <c r="F941" s="25"/>
      <c r="G941" s="25"/>
      <c r="H941" s="25"/>
      <c r="I941" s="25"/>
      <c r="J941" s="25"/>
      <c r="K941" s="25"/>
      <c r="L941" s="25"/>
      <c r="M941" s="25"/>
    </row>
    <row r="942" spans="1:13" ht="33.75">
      <c r="A942" s="15" t="s">
        <v>848</v>
      </c>
      <c r="B942" s="10" t="s">
        <v>23</v>
      </c>
      <c r="C942" s="10" t="s">
        <v>66</v>
      </c>
      <c r="D942" s="18" t="s">
        <v>833</v>
      </c>
      <c r="E942" s="9"/>
      <c r="F942" s="9"/>
      <c r="G942" s="9"/>
      <c r="H942" s="9"/>
      <c r="I942" s="9"/>
      <c r="J942" s="9"/>
      <c r="K942" s="16">
        <f>K945</f>
        <v>2.99</v>
      </c>
      <c r="L942" s="17">
        <f>L945</f>
        <v>0</v>
      </c>
      <c r="M942" s="17">
        <f>M945</f>
        <v>0</v>
      </c>
    </row>
    <row r="943" spans="1:13">
      <c r="A943" s="9"/>
      <c r="B943" s="9"/>
      <c r="C943" s="9"/>
      <c r="D943" s="18" t="s">
        <v>849</v>
      </c>
      <c r="E943" s="9"/>
      <c r="F943" s="9"/>
      <c r="G943" s="9"/>
      <c r="H943" s="9"/>
      <c r="I943" s="9"/>
      <c r="J943" s="9"/>
      <c r="K943" s="9"/>
      <c r="L943" s="9"/>
      <c r="M943" s="9"/>
    </row>
    <row r="944" spans="1:13">
      <c r="A944" s="9"/>
      <c r="B944" s="9"/>
      <c r="C944" s="10" t="s">
        <v>27</v>
      </c>
      <c r="D944" s="30"/>
      <c r="E944" s="10" t="s">
        <v>835</v>
      </c>
      <c r="F944" s="19">
        <v>1</v>
      </c>
      <c r="G944" s="20">
        <v>2.99</v>
      </c>
      <c r="H944" s="20">
        <v>0</v>
      </c>
      <c r="I944" s="20">
        <v>0</v>
      </c>
      <c r="J944" s="16">
        <f>OR(F944&lt;&gt;0,G944&lt;&gt;0,H944&lt;&gt;0,I944&lt;&gt;0)*(F944 + (F944 = 0))*(G944 + (G944 = 0))*(H944 + (H944 = 0))*(I944 + (I944 = 0))</f>
        <v>2.99</v>
      </c>
      <c r="K944" s="9"/>
      <c r="L944" s="9"/>
      <c r="M944" s="9"/>
    </row>
    <row r="945" spans="1:13">
      <c r="A945" s="9"/>
      <c r="B945" s="9"/>
      <c r="C945" s="9"/>
      <c r="D945" s="30"/>
      <c r="E945" s="9"/>
      <c r="F945" s="9"/>
      <c r="G945" s="9"/>
      <c r="H945" s="9"/>
      <c r="I945" s="9"/>
      <c r="J945" s="21" t="s">
        <v>850</v>
      </c>
      <c r="K945" s="22">
        <f>J944</f>
        <v>2.99</v>
      </c>
      <c r="L945" s="23">
        <v>0</v>
      </c>
      <c r="M945" s="24">
        <f>ROUND(K945*L945,2)</f>
        <v>0</v>
      </c>
    </row>
    <row r="946" spans="1:13" ht="0.95" customHeight="1">
      <c r="A946" s="25"/>
      <c r="B946" s="25"/>
      <c r="C946" s="25"/>
      <c r="D946" s="31"/>
      <c r="E946" s="25"/>
      <c r="F946" s="25"/>
      <c r="G946" s="25"/>
      <c r="H946" s="25"/>
      <c r="I946" s="25"/>
      <c r="J946" s="25"/>
      <c r="K946" s="25"/>
      <c r="L946" s="25"/>
      <c r="M946" s="25"/>
    </row>
    <row r="947" spans="1:13" ht="33.75">
      <c r="A947" s="15" t="s">
        <v>851</v>
      </c>
      <c r="B947" s="10" t="s">
        <v>23</v>
      </c>
      <c r="C947" s="10" t="s">
        <v>4</v>
      </c>
      <c r="D947" s="18" t="s">
        <v>852</v>
      </c>
      <c r="E947" s="9"/>
      <c r="F947" s="9"/>
      <c r="G947" s="9"/>
      <c r="H947" s="9"/>
      <c r="I947" s="9"/>
      <c r="J947" s="9"/>
      <c r="K947" s="20">
        <v>1</v>
      </c>
      <c r="L947" s="23">
        <v>0</v>
      </c>
      <c r="M947" s="17">
        <f>ROUND(K947*L947,2)</f>
        <v>0</v>
      </c>
    </row>
    <row r="948" spans="1:13">
      <c r="A948" s="9"/>
      <c r="B948" s="9"/>
      <c r="C948" s="9"/>
      <c r="D948" s="18" t="s">
        <v>853</v>
      </c>
      <c r="E948" s="9"/>
      <c r="F948" s="9"/>
      <c r="G948" s="9"/>
      <c r="H948" s="9"/>
      <c r="I948" s="9"/>
      <c r="J948" s="9"/>
      <c r="K948" s="9"/>
      <c r="L948" s="9"/>
      <c r="M948" s="9"/>
    </row>
    <row r="949" spans="1:13">
      <c r="A949" s="9"/>
      <c r="B949" s="9"/>
      <c r="C949" s="9"/>
      <c r="D949" s="30"/>
      <c r="E949" s="9"/>
      <c r="F949" s="9"/>
      <c r="G949" s="9"/>
      <c r="H949" s="9"/>
      <c r="I949" s="9"/>
      <c r="J949" s="21" t="s">
        <v>854</v>
      </c>
      <c r="K949" s="20">
        <v>1</v>
      </c>
      <c r="L949" s="24">
        <f>M854+M859+M865+M867+M872+M874+M876+M881+M886+M891+M896+M898+M900+M905+M910+M912+M920+M926+M932+M937+M942+M947</f>
        <v>0</v>
      </c>
      <c r="M949" s="24">
        <f>ROUND(K949*L949,2)</f>
        <v>0</v>
      </c>
    </row>
    <row r="950" spans="1:13" ht="0.95" customHeight="1">
      <c r="A950" s="25"/>
      <c r="B950" s="25"/>
      <c r="C950" s="25"/>
      <c r="D950" s="31"/>
      <c r="E950" s="25"/>
      <c r="F950" s="25"/>
      <c r="G950" s="25"/>
      <c r="H950" s="25"/>
      <c r="I950" s="25"/>
      <c r="J950" s="25"/>
      <c r="K950" s="25"/>
      <c r="L950" s="25"/>
      <c r="M950" s="25"/>
    </row>
    <row r="951" spans="1:13">
      <c r="A951" s="11" t="s">
        <v>855</v>
      </c>
      <c r="B951" s="11" t="s">
        <v>16</v>
      </c>
      <c r="C951" s="11" t="s">
        <v>17</v>
      </c>
      <c r="D951" s="29" t="s">
        <v>856</v>
      </c>
      <c r="E951" s="12"/>
      <c r="F951" s="12"/>
      <c r="G951" s="12"/>
      <c r="H951" s="12"/>
      <c r="I951" s="12"/>
      <c r="J951" s="12"/>
      <c r="K951" s="13">
        <f>K1034</f>
        <v>1</v>
      </c>
      <c r="L951" s="14">
        <f>L1034</f>
        <v>0</v>
      </c>
      <c r="M951" s="14">
        <f>M1034</f>
        <v>0</v>
      </c>
    </row>
    <row r="952" spans="1:13" ht="33.75">
      <c r="A952" s="15" t="s">
        <v>857</v>
      </c>
      <c r="B952" s="10" t="s">
        <v>23</v>
      </c>
      <c r="C952" s="10" t="s">
        <v>4</v>
      </c>
      <c r="D952" s="18" t="s">
        <v>858</v>
      </c>
      <c r="E952" s="9"/>
      <c r="F952" s="9"/>
      <c r="G952" s="9"/>
      <c r="H952" s="9"/>
      <c r="I952" s="9"/>
      <c r="J952" s="9"/>
      <c r="K952" s="20">
        <v>1</v>
      </c>
      <c r="L952" s="23">
        <v>0</v>
      </c>
      <c r="M952" s="17">
        <f>ROUND(K952*L952,2)</f>
        <v>0</v>
      </c>
    </row>
    <row r="953" spans="1:13">
      <c r="A953" s="9"/>
      <c r="B953" s="9"/>
      <c r="C953" s="9"/>
      <c r="D953" s="18" t="s">
        <v>859</v>
      </c>
      <c r="E953" s="9"/>
      <c r="F953" s="9"/>
      <c r="G953" s="9"/>
      <c r="H953" s="9"/>
      <c r="I953" s="9"/>
      <c r="J953" s="9"/>
      <c r="K953" s="9"/>
      <c r="L953" s="9"/>
      <c r="M953" s="9"/>
    </row>
    <row r="954" spans="1:13">
      <c r="A954" s="15" t="s">
        <v>860</v>
      </c>
      <c r="B954" s="10" t="s">
        <v>23</v>
      </c>
      <c r="C954" s="10" t="s">
        <v>4</v>
      </c>
      <c r="D954" s="18" t="s">
        <v>861</v>
      </c>
      <c r="E954" s="9"/>
      <c r="F954" s="9"/>
      <c r="G954" s="9"/>
      <c r="H954" s="9"/>
      <c r="I954" s="9"/>
      <c r="J954" s="9"/>
      <c r="K954" s="20">
        <v>2</v>
      </c>
      <c r="L954" s="23">
        <v>0</v>
      </c>
      <c r="M954" s="17">
        <f>ROUND(K954*L954,2)</f>
        <v>0</v>
      </c>
    </row>
    <row r="955" spans="1:13">
      <c r="A955" s="9"/>
      <c r="B955" s="9"/>
      <c r="C955" s="9"/>
      <c r="D955" s="18" t="s">
        <v>862</v>
      </c>
      <c r="E955" s="9"/>
      <c r="F955" s="9"/>
      <c r="G955" s="9"/>
      <c r="H955" s="9"/>
      <c r="I955" s="9"/>
      <c r="J955" s="9"/>
      <c r="K955" s="9"/>
      <c r="L955" s="9"/>
      <c r="M955" s="9"/>
    </row>
    <row r="956" spans="1:13" ht="33.75">
      <c r="A956" s="15" t="s">
        <v>863</v>
      </c>
      <c r="B956" s="10" t="s">
        <v>23</v>
      </c>
      <c r="C956" s="10" t="s">
        <v>66</v>
      </c>
      <c r="D956" s="18" t="s">
        <v>864</v>
      </c>
      <c r="E956" s="9"/>
      <c r="F956" s="9"/>
      <c r="G956" s="9"/>
      <c r="H956" s="9"/>
      <c r="I956" s="9"/>
      <c r="J956" s="9"/>
      <c r="K956" s="16">
        <f>K960</f>
        <v>24.07</v>
      </c>
      <c r="L956" s="17">
        <f>L960</f>
        <v>0</v>
      </c>
      <c r="M956" s="17">
        <f>M960</f>
        <v>0</v>
      </c>
    </row>
    <row r="957" spans="1:13" ht="67.5">
      <c r="A957" s="9"/>
      <c r="B957" s="9"/>
      <c r="C957" s="9"/>
      <c r="D957" s="18" t="s">
        <v>865</v>
      </c>
      <c r="E957" s="9"/>
      <c r="F957" s="9"/>
      <c r="G957" s="9"/>
      <c r="H957" s="9"/>
      <c r="I957" s="9"/>
      <c r="J957" s="9"/>
      <c r="K957" s="9"/>
      <c r="L957" s="9"/>
      <c r="M957" s="9"/>
    </row>
    <row r="958" spans="1:13">
      <c r="A958" s="9"/>
      <c r="B958" s="9"/>
      <c r="C958" s="10" t="s">
        <v>27</v>
      </c>
      <c r="D958" s="30"/>
      <c r="E958" s="10" t="s">
        <v>866</v>
      </c>
      <c r="F958" s="19">
        <v>1</v>
      </c>
      <c r="G958" s="20">
        <v>11.27</v>
      </c>
      <c r="H958" s="20">
        <v>0</v>
      </c>
      <c r="I958" s="20">
        <v>0</v>
      </c>
      <c r="J958" s="16">
        <f>OR(F958&lt;&gt;0,G958&lt;&gt;0,H958&lt;&gt;0,I958&lt;&gt;0)*(F958 + (F958 = 0))*(G958 + (G958 = 0))*(H958 + (H958 = 0))*(I958 + (I958 = 0))</f>
        <v>11.27</v>
      </c>
      <c r="K958" s="9"/>
      <c r="L958" s="9"/>
      <c r="M958" s="9"/>
    </row>
    <row r="959" spans="1:13">
      <c r="A959" s="9"/>
      <c r="B959" s="9"/>
      <c r="C959" s="10" t="s">
        <v>27</v>
      </c>
      <c r="D959" s="30"/>
      <c r="E959" s="10" t="s">
        <v>867</v>
      </c>
      <c r="F959" s="19">
        <v>1</v>
      </c>
      <c r="G959" s="20">
        <v>12.8</v>
      </c>
      <c r="H959" s="20">
        <v>0</v>
      </c>
      <c r="I959" s="20">
        <v>0</v>
      </c>
      <c r="J959" s="16">
        <f>OR(F959&lt;&gt;0,G959&lt;&gt;0,H959&lt;&gt;0,I959&lt;&gt;0)*(F959 + (F959 = 0))*(G959 + (G959 = 0))*(H959 + (H959 = 0))*(I959 + (I959 = 0))</f>
        <v>12.8</v>
      </c>
      <c r="K959" s="9"/>
      <c r="L959" s="9"/>
      <c r="M959" s="9"/>
    </row>
    <row r="960" spans="1:13">
      <c r="A960" s="9"/>
      <c r="B960" s="9"/>
      <c r="C960" s="9"/>
      <c r="D960" s="30"/>
      <c r="E960" s="9"/>
      <c r="F960" s="9"/>
      <c r="G960" s="9"/>
      <c r="H960" s="9"/>
      <c r="I960" s="9"/>
      <c r="J960" s="21" t="s">
        <v>868</v>
      </c>
      <c r="K960" s="22">
        <f>SUM(J958:J959)</f>
        <v>24.07</v>
      </c>
      <c r="L960" s="23">
        <v>0</v>
      </c>
      <c r="M960" s="24">
        <f>ROUND(K960*L960,2)</f>
        <v>0</v>
      </c>
    </row>
    <row r="961" spans="1:13" ht="0.95" customHeight="1">
      <c r="A961" s="25"/>
      <c r="B961" s="25"/>
      <c r="C961" s="25"/>
      <c r="D961" s="31"/>
      <c r="E961" s="25"/>
      <c r="F961" s="25"/>
      <c r="G961" s="25"/>
      <c r="H961" s="25"/>
      <c r="I961" s="25"/>
      <c r="J961" s="25"/>
      <c r="K961" s="25"/>
      <c r="L961" s="25"/>
      <c r="M961" s="25"/>
    </row>
    <row r="962" spans="1:13" ht="33.75">
      <c r="A962" s="15" t="s">
        <v>869</v>
      </c>
      <c r="B962" s="10" t="s">
        <v>23</v>
      </c>
      <c r="C962" s="10" t="s">
        <v>66</v>
      </c>
      <c r="D962" s="18" t="s">
        <v>870</v>
      </c>
      <c r="E962" s="9"/>
      <c r="F962" s="9"/>
      <c r="G962" s="9"/>
      <c r="H962" s="9"/>
      <c r="I962" s="9"/>
      <c r="J962" s="9"/>
      <c r="K962" s="16">
        <f>K965</f>
        <v>9.0399999999999991</v>
      </c>
      <c r="L962" s="17">
        <f>L965</f>
        <v>0</v>
      </c>
      <c r="M962" s="17">
        <f>M965</f>
        <v>0</v>
      </c>
    </row>
    <row r="963" spans="1:13" ht="67.5">
      <c r="A963" s="9"/>
      <c r="B963" s="9"/>
      <c r="C963" s="9"/>
      <c r="D963" s="18" t="s">
        <v>871</v>
      </c>
      <c r="E963" s="9"/>
      <c r="F963" s="9"/>
      <c r="G963" s="9"/>
      <c r="H963" s="9"/>
      <c r="I963" s="9"/>
      <c r="J963" s="9"/>
      <c r="K963" s="9"/>
      <c r="L963" s="9"/>
      <c r="M963" s="9"/>
    </row>
    <row r="964" spans="1:13">
      <c r="A964" s="9"/>
      <c r="B964" s="9"/>
      <c r="C964" s="10" t="s">
        <v>27</v>
      </c>
      <c r="D964" s="30"/>
      <c r="E964" s="10" t="s">
        <v>872</v>
      </c>
      <c r="F964" s="19">
        <v>1</v>
      </c>
      <c r="G964" s="20">
        <v>9.0399999999999991</v>
      </c>
      <c r="H964" s="20">
        <v>0</v>
      </c>
      <c r="I964" s="20">
        <v>0</v>
      </c>
      <c r="J964" s="16">
        <f>OR(F964&lt;&gt;0,G964&lt;&gt;0,H964&lt;&gt;0,I964&lt;&gt;0)*(F964 + (F964 = 0))*(G964 + (G964 = 0))*(H964 + (H964 = 0))*(I964 + (I964 = 0))</f>
        <v>9.0399999999999991</v>
      </c>
      <c r="K964" s="9"/>
      <c r="L964" s="9"/>
      <c r="M964" s="9"/>
    </row>
    <row r="965" spans="1:13">
      <c r="A965" s="9"/>
      <c r="B965" s="9"/>
      <c r="C965" s="9"/>
      <c r="D965" s="30"/>
      <c r="E965" s="9"/>
      <c r="F965" s="9"/>
      <c r="G965" s="9"/>
      <c r="H965" s="9"/>
      <c r="I965" s="9"/>
      <c r="J965" s="21" t="s">
        <v>873</v>
      </c>
      <c r="K965" s="22">
        <f>J964</f>
        <v>9.0399999999999991</v>
      </c>
      <c r="L965" s="23">
        <v>0</v>
      </c>
      <c r="M965" s="24">
        <f>ROUND(K965*L965,2)</f>
        <v>0</v>
      </c>
    </row>
    <row r="966" spans="1:13" ht="0.95" customHeight="1">
      <c r="A966" s="25"/>
      <c r="B966" s="25"/>
      <c r="C966" s="25"/>
      <c r="D966" s="31"/>
      <c r="E966" s="25"/>
      <c r="F966" s="25"/>
      <c r="G966" s="25"/>
      <c r="H966" s="25"/>
      <c r="I966" s="25"/>
      <c r="J966" s="25"/>
      <c r="K966" s="25"/>
      <c r="L966" s="25"/>
      <c r="M966" s="25"/>
    </row>
    <row r="967" spans="1:13" ht="33.75">
      <c r="A967" s="15" t="s">
        <v>874</v>
      </c>
      <c r="B967" s="10" t="s">
        <v>23</v>
      </c>
      <c r="C967" s="10" t="s">
        <v>66</v>
      </c>
      <c r="D967" s="18" t="s">
        <v>875</v>
      </c>
      <c r="E967" s="9"/>
      <c r="F967" s="9"/>
      <c r="G967" s="9"/>
      <c r="H967" s="9"/>
      <c r="I967" s="9"/>
      <c r="J967" s="9"/>
      <c r="K967" s="16">
        <f>K970</f>
        <v>342.58</v>
      </c>
      <c r="L967" s="17">
        <f>L970</f>
        <v>0</v>
      </c>
      <c r="M967" s="17">
        <f>M970</f>
        <v>0</v>
      </c>
    </row>
    <row r="968" spans="1:13">
      <c r="A968" s="9"/>
      <c r="B968" s="9"/>
      <c r="C968" s="9"/>
      <c r="D968" s="18" t="s">
        <v>876</v>
      </c>
      <c r="E968" s="9"/>
      <c r="F968" s="9"/>
      <c r="G968" s="9"/>
      <c r="H968" s="9"/>
      <c r="I968" s="9"/>
      <c r="J968" s="9"/>
      <c r="K968" s="9"/>
      <c r="L968" s="9"/>
      <c r="M968" s="9"/>
    </row>
    <row r="969" spans="1:13">
      <c r="A969" s="9"/>
      <c r="B969" s="9"/>
      <c r="C969" s="10" t="s">
        <v>27</v>
      </c>
      <c r="D969" s="30"/>
      <c r="E969" s="10" t="s">
        <v>866</v>
      </c>
      <c r="F969" s="19">
        <v>1</v>
      </c>
      <c r="G969" s="20">
        <v>342.58</v>
      </c>
      <c r="H969" s="20">
        <v>0</v>
      </c>
      <c r="I969" s="20">
        <v>0</v>
      </c>
      <c r="J969" s="16">
        <f>OR(F969&lt;&gt;0,G969&lt;&gt;0,H969&lt;&gt;0,I969&lt;&gt;0)*(F969 + (F969 = 0))*(G969 + (G969 = 0))*(H969 + (H969 = 0))*(I969 + (I969 = 0))</f>
        <v>342.58</v>
      </c>
      <c r="K969" s="9"/>
      <c r="L969" s="9"/>
      <c r="M969" s="9"/>
    </row>
    <row r="970" spans="1:13">
      <c r="A970" s="9"/>
      <c r="B970" s="9"/>
      <c r="C970" s="9"/>
      <c r="D970" s="30"/>
      <c r="E970" s="9"/>
      <c r="F970" s="9"/>
      <c r="G970" s="9"/>
      <c r="H970" s="9"/>
      <c r="I970" s="9"/>
      <c r="J970" s="21" t="s">
        <v>877</v>
      </c>
      <c r="K970" s="22">
        <f>J969</f>
        <v>342.58</v>
      </c>
      <c r="L970" s="23">
        <v>0</v>
      </c>
      <c r="M970" s="24">
        <f>ROUND(K970*L970,2)</f>
        <v>0</v>
      </c>
    </row>
    <row r="971" spans="1:13" ht="0.95" customHeight="1">
      <c r="A971" s="25"/>
      <c r="B971" s="25"/>
      <c r="C971" s="25"/>
      <c r="D971" s="31"/>
      <c r="E971" s="25"/>
      <c r="F971" s="25"/>
      <c r="G971" s="25"/>
      <c r="H971" s="25"/>
      <c r="I971" s="25"/>
      <c r="J971" s="25"/>
      <c r="K971" s="25"/>
      <c r="L971" s="25"/>
      <c r="M971" s="25"/>
    </row>
    <row r="972" spans="1:13" ht="33.75">
      <c r="A972" s="15" t="s">
        <v>878</v>
      </c>
      <c r="B972" s="10" t="s">
        <v>23</v>
      </c>
      <c r="C972" s="10" t="s">
        <v>66</v>
      </c>
      <c r="D972" s="18" t="s">
        <v>875</v>
      </c>
      <c r="E972" s="9"/>
      <c r="F972" s="9"/>
      <c r="G972" s="9"/>
      <c r="H972" s="9"/>
      <c r="I972" s="9"/>
      <c r="J972" s="9"/>
      <c r="K972" s="16">
        <f>K976</f>
        <v>1028.8399999999999</v>
      </c>
      <c r="L972" s="17">
        <f>L976</f>
        <v>0</v>
      </c>
      <c r="M972" s="17">
        <f>M976</f>
        <v>0</v>
      </c>
    </row>
    <row r="973" spans="1:13">
      <c r="A973" s="9"/>
      <c r="B973" s="9"/>
      <c r="C973" s="9"/>
      <c r="D973" s="18" t="s">
        <v>879</v>
      </c>
      <c r="E973" s="9"/>
      <c r="F973" s="9"/>
      <c r="G973" s="9"/>
      <c r="H973" s="9"/>
      <c r="I973" s="9"/>
      <c r="J973" s="9"/>
      <c r="K973" s="9"/>
      <c r="L973" s="9"/>
      <c r="M973" s="9"/>
    </row>
    <row r="974" spans="1:13">
      <c r="A974" s="9"/>
      <c r="B974" s="9"/>
      <c r="C974" s="10" t="s">
        <v>27</v>
      </c>
      <c r="D974" s="30"/>
      <c r="E974" s="10" t="s">
        <v>866</v>
      </c>
      <c r="F974" s="19">
        <v>1</v>
      </c>
      <c r="G974" s="20">
        <v>876.14</v>
      </c>
      <c r="H974" s="20">
        <v>0</v>
      </c>
      <c r="I974" s="20">
        <v>0</v>
      </c>
      <c r="J974" s="16">
        <f>OR(F974&lt;&gt;0,G974&lt;&gt;0,H974&lt;&gt;0,I974&lt;&gt;0)*(F974 + (F974 = 0))*(G974 + (G974 = 0))*(H974 + (H974 = 0))*(I974 + (I974 = 0))</f>
        <v>876.14</v>
      </c>
      <c r="K974" s="9"/>
      <c r="L974" s="9"/>
      <c r="M974" s="9"/>
    </row>
    <row r="975" spans="1:13">
      <c r="A975" s="9"/>
      <c r="B975" s="9"/>
      <c r="C975" s="10" t="s">
        <v>27</v>
      </c>
      <c r="D975" s="30"/>
      <c r="E975" s="10" t="s">
        <v>880</v>
      </c>
      <c r="F975" s="19">
        <v>1</v>
      </c>
      <c r="G975" s="20">
        <v>152.69999999999999</v>
      </c>
      <c r="H975" s="20">
        <v>0</v>
      </c>
      <c r="I975" s="20">
        <v>0</v>
      </c>
      <c r="J975" s="16">
        <f>OR(F975&lt;&gt;0,G975&lt;&gt;0,H975&lt;&gt;0,I975&lt;&gt;0)*(F975 + (F975 = 0))*(G975 + (G975 = 0))*(H975 + (H975 = 0))*(I975 + (I975 = 0))</f>
        <v>152.69999999999999</v>
      </c>
      <c r="K975" s="9"/>
      <c r="L975" s="9"/>
      <c r="M975" s="9"/>
    </row>
    <row r="976" spans="1:13">
      <c r="A976" s="9"/>
      <c r="B976" s="9"/>
      <c r="C976" s="9"/>
      <c r="D976" s="30"/>
      <c r="E976" s="9"/>
      <c r="F976" s="9"/>
      <c r="G976" s="9"/>
      <c r="H976" s="9"/>
      <c r="I976" s="9"/>
      <c r="J976" s="21" t="s">
        <v>881</v>
      </c>
      <c r="K976" s="22">
        <f>SUM(J974:J975)</f>
        <v>1028.8399999999999</v>
      </c>
      <c r="L976" s="23">
        <v>0</v>
      </c>
      <c r="M976" s="24">
        <f>ROUND(K976*L976,2)</f>
        <v>0</v>
      </c>
    </row>
    <row r="977" spans="1:13" ht="0.95" customHeight="1">
      <c r="A977" s="25"/>
      <c r="B977" s="25"/>
      <c r="C977" s="25"/>
      <c r="D977" s="31"/>
      <c r="E977" s="25"/>
      <c r="F977" s="25"/>
      <c r="G977" s="25"/>
      <c r="H977" s="25"/>
      <c r="I977" s="25"/>
      <c r="J977" s="25"/>
      <c r="K977" s="25"/>
      <c r="L977" s="25"/>
      <c r="M977" s="25"/>
    </row>
    <row r="978" spans="1:13" ht="33.75">
      <c r="A978" s="15" t="s">
        <v>882</v>
      </c>
      <c r="B978" s="10" t="s">
        <v>23</v>
      </c>
      <c r="C978" s="10" t="s">
        <v>66</v>
      </c>
      <c r="D978" s="18" t="s">
        <v>875</v>
      </c>
      <c r="E978" s="9"/>
      <c r="F978" s="9"/>
      <c r="G978" s="9"/>
      <c r="H978" s="9"/>
      <c r="I978" s="9"/>
      <c r="J978" s="9"/>
      <c r="K978" s="16">
        <f>K981</f>
        <v>10.33</v>
      </c>
      <c r="L978" s="17">
        <f>L981</f>
        <v>0</v>
      </c>
      <c r="M978" s="17">
        <f>M981</f>
        <v>0</v>
      </c>
    </row>
    <row r="979" spans="1:13">
      <c r="A979" s="9"/>
      <c r="B979" s="9"/>
      <c r="C979" s="9"/>
      <c r="D979" s="18" t="s">
        <v>883</v>
      </c>
      <c r="E979" s="9"/>
      <c r="F979" s="9"/>
      <c r="G979" s="9"/>
      <c r="H979" s="9"/>
      <c r="I979" s="9"/>
      <c r="J979" s="9"/>
      <c r="K979" s="9"/>
      <c r="L979" s="9"/>
      <c r="M979" s="9"/>
    </row>
    <row r="980" spans="1:13">
      <c r="A980" s="9"/>
      <c r="B980" s="9"/>
      <c r="C980" s="10" t="s">
        <v>27</v>
      </c>
      <c r="D980" s="30"/>
      <c r="E980" s="10" t="s">
        <v>866</v>
      </c>
      <c r="F980" s="19">
        <v>1</v>
      </c>
      <c r="G980" s="20">
        <v>10.33</v>
      </c>
      <c r="H980" s="20">
        <v>0</v>
      </c>
      <c r="I980" s="20">
        <v>0</v>
      </c>
      <c r="J980" s="16">
        <f>OR(F980&lt;&gt;0,G980&lt;&gt;0,H980&lt;&gt;0,I980&lt;&gt;0)*(F980 + (F980 = 0))*(G980 + (G980 = 0))*(H980 + (H980 = 0))*(I980 + (I980 = 0))</f>
        <v>10.33</v>
      </c>
      <c r="K980" s="9"/>
      <c r="L980" s="9"/>
      <c r="M980" s="9"/>
    </row>
    <row r="981" spans="1:13">
      <c r="A981" s="9"/>
      <c r="B981" s="9"/>
      <c r="C981" s="9"/>
      <c r="D981" s="30"/>
      <c r="E981" s="9"/>
      <c r="F981" s="9"/>
      <c r="G981" s="9"/>
      <c r="H981" s="9"/>
      <c r="I981" s="9"/>
      <c r="J981" s="21" t="s">
        <v>884</v>
      </c>
      <c r="K981" s="22">
        <f>J980</f>
        <v>10.33</v>
      </c>
      <c r="L981" s="23">
        <v>0</v>
      </c>
      <c r="M981" s="24">
        <f>ROUND(K981*L981,2)</f>
        <v>0</v>
      </c>
    </row>
    <row r="982" spans="1:13" ht="0.95" customHeight="1">
      <c r="A982" s="25"/>
      <c r="B982" s="25"/>
      <c r="C982" s="25"/>
      <c r="D982" s="31"/>
      <c r="E982" s="25"/>
      <c r="F982" s="25"/>
      <c r="G982" s="25"/>
      <c r="H982" s="25"/>
      <c r="I982" s="25"/>
      <c r="J982" s="25"/>
      <c r="K982" s="25"/>
      <c r="L982" s="25"/>
      <c r="M982" s="25"/>
    </row>
    <row r="983" spans="1:13" ht="33.75">
      <c r="A983" s="15" t="s">
        <v>885</v>
      </c>
      <c r="B983" s="10" t="s">
        <v>23</v>
      </c>
      <c r="C983" s="10" t="s">
        <v>66</v>
      </c>
      <c r="D983" s="18" t="s">
        <v>886</v>
      </c>
      <c r="E983" s="9"/>
      <c r="F983" s="9"/>
      <c r="G983" s="9"/>
      <c r="H983" s="9"/>
      <c r="I983" s="9"/>
      <c r="J983" s="9"/>
      <c r="K983" s="16">
        <f>K987</f>
        <v>22.76</v>
      </c>
      <c r="L983" s="17">
        <f>L987</f>
        <v>0</v>
      </c>
      <c r="M983" s="17">
        <f>M987</f>
        <v>0</v>
      </c>
    </row>
    <row r="984" spans="1:13">
      <c r="A984" s="9"/>
      <c r="B984" s="9"/>
      <c r="C984" s="9"/>
      <c r="D984" s="18" t="s">
        <v>887</v>
      </c>
      <c r="E984" s="9"/>
      <c r="F984" s="9"/>
      <c r="G984" s="9"/>
      <c r="H984" s="9"/>
      <c r="I984" s="9"/>
      <c r="J984" s="9"/>
      <c r="K984" s="9"/>
      <c r="L984" s="9"/>
      <c r="M984" s="9"/>
    </row>
    <row r="985" spans="1:13">
      <c r="A985" s="9"/>
      <c r="B985" s="9"/>
      <c r="C985" s="10" t="s">
        <v>27</v>
      </c>
      <c r="D985" s="30"/>
      <c r="E985" s="10" t="s">
        <v>872</v>
      </c>
      <c r="F985" s="19">
        <v>1</v>
      </c>
      <c r="G985" s="20">
        <v>10.15</v>
      </c>
      <c r="H985" s="20">
        <v>0</v>
      </c>
      <c r="I985" s="20">
        <v>0</v>
      </c>
      <c r="J985" s="16">
        <f>OR(F985&lt;&gt;0,G985&lt;&gt;0,H985&lt;&gt;0,I985&lt;&gt;0)*(F985 + (F985 = 0))*(G985 + (G985 = 0))*(H985 + (H985 = 0))*(I985 + (I985 = 0))</f>
        <v>10.15</v>
      </c>
      <c r="K985" s="9"/>
      <c r="L985" s="9"/>
      <c r="M985" s="9"/>
    </row>
    <row r="986" spans="1:13">
      <c r="A986" s="9"/>
      <c r="B986" s="9"/>
      <c r="C986" s="10" t="s">
        <v>27</v>
      </c>
      <c r="D986" s="30"/>
      <c r="E986" s="10" t="s">
        <v>866</v>
      </c>
      <c r="F986" s="19">
        <v>1</v>
      </c>
      <c r="G986" s="20">
        <v>12.61</v>
      </c>
      <c r="H986" s="20">
        <v>0</v>
      </c>
      <c r="I986" s="20">
        <v>0</v>
      </c>
      <c r="J986" s="16">
        <f>OR(F986&lt;&gt;0,G986&lt;&gt;0,H986&lt;&gt;0,I986&lt;&gt;0)*(F986 + (F986 = 0))*(G986 + (G986 = 0))*(H986 + (H986 = 0))*(I986 + (I986 = 0))</f>
        <v>12.61</v>
      </c>
      <c r="K986" s="9"/>
      <c r="L986" s="9"/>
      <c r="M986" s="9"/>
    </row>
    <row r="987" spans="1:13">
      <c r="A987" s="9"/>
      <c r="B987" s="9"/>
      <c r="C987" s="9"/>
      <c r="D987" s="30"/>
      <c r="E987" s="9"/>
      <c r="F987" s="9"/>
      <c r="G987" s="9"/>
      <c r="H987" s="9"/>
      <c r="I987" s="9"/>
      <c r="J987" s="21" t="s">
        <v>888</v>
      </c>
      <c r="K987" s="22">
        <f>SUM(J985:J986)</f>
        <v>22.76</v>
      </c>
      <c r="L987" s="23">
        <v>0</v>
      </c>
      <c r="M987" s="24">
        <f>ROUND(K987*L987,2)</f>
        <v>0</v>
      </c>
    </row>
    <row r="988" spans="1:13" ht="0.95" customHeight="1">
      <c r="A988" s="25"/>
      <c r="B988" s="25"/>
      <c r="C988" s="25"/>
      <c r="D988" s="31"/>
      <c r="E988" s="25"/>
      <c r="F988" s="25"/>
      <c r="G988" s="25"/>
      <c r="H988" s="25"/>
      <c r="I988" s="25"/>
      <c r="J988" s="25"/>
      <c r="K988" s="25"/>
      <c r="L988" s="25"/>
      <c r="M988" s="25"/>
    </row>
    <row r="989" spans="1:13" ht="33.75">
      <c r="A989" s="15" t="s">
        <v>889</v>
      </c>
      <c r="B989" s="10" t="s">
        <v>23</v>
      </c>
      <c r="C989" s="10" t="s">
        <v>66</v>
      </c>
      <c r="D989" s="18" t="s">
        <v>890</v>
      </c>
      <c r="E989" s="9"/>
      <c r="F989" s="9"/>
      <c r="G989" s="9"/>
      <c r="H989" s="9"/>
      <c r="I989" s="9"/>
      <c r="J989" s="9"/>
      <c r="K989" s="16">
        <f>K992</f>
        <v>57.57</v>
      </c>
      <c r="L989" s="17">
        <f>L992</f>
        <v>0</v>
      </c>
      <c r="M989" s="17">
        <f>M992</f>
        <v>0</v>
      </c>
    </row>
    <row r="990" spans="1:13">
      <c r="A990" s="9"/>
      <c r="B990" s="9"/>
      <c r="C990" s="9"/>
      <c r="D990" s="18" t="s">
        <v>891</v>
      </c>
      <c r="E990" s="9"/>
      <c r="F990" s="9"/>
      <c r="G990" s="9"/>
      <c r="H990" s="9"/>
      <c r="I990" s="9"/>
      <c r="J990" s="9"/>
      <c r="K990" s="9"/>
      <c r="L990" s="9"/>
      <c r="M990" s="9"/>
    </row>
    <row r="991" spans="1:13">
      <c r="A991" s="9"/>
      <c r="B991" s="9"/>
      <c r="C991" s="10" t="s">
        <v>27</v>
      </c>
      <c r="D991" s="30"/>
      <c r="E991" s="10" t="s">
        <v>872</v>
      </c>
      <c r="F991" s="19">
        <v>1</v>
      </c>
      <c r="G991" s="20">
        <v>57.57</v>
      </c>
      <c r="H991" s="20">
        <v>0</v>
      </c>
      <c r="I991" s="20">
        <v>0</v>
      </c>
      <c r="J991" s="16">
        <f>OR(F991&lt;&gt;0,G991&lt;&gt;0,H991&lt;&gt;0,I991&lt;&gt;0)*(F991 + (F991 = 0))*(G991 + (G991 = 0))*(H991 + (H991 = 0))*(I991 + (I991 = 0))</f>
        <v>57.57</v>
      </c>
      <c r="K991" s="9"/>
      <c r="L991" s="9"/>
      <c r="M991" s="9"/>
    </row>
    <row r="992" spans="1:13">
      <c r="A992" s="9"/>
      <c r="B992" s="9"/>
      <c r="C992" s="9"/>
      <c r="D992" s="30"/>
      <c r="E992" s="9"/>
      <c r="F992" s="9"/>
      <c r="G992" s="9"/>
      <c r="H992" s="9"/>
      <c r="I992" s="9"/>
      <c r="J992" s="21" t="s">
        <v>892</v>
      </c>
      <c r="K992" s="22">
        <f>J991</f>
        <v>57.57</v>
      </c>
      <c r="L992" s="23">
        <v>0</v>
      </c>
      <c r="M992" s="24">
        <f>ROUND(K992*L992,2)</f>
        <v>0</v>
      </c>
    </row>
    <row r="993" spans="1:13" ht="0.95" customHeight="1">
      <c r="A993" s="25"/>
      <c r="B993" s="25"/>
      <c r="C993" s="25"/>
      <c r="D993" s="31"/>
      <c r="E993" s="25"/>
      <c r="F993" s="25"/>
      <c r="G993" s="25"/>
      <c r="H993" s="25"/>
      <c r="I993" s="25"/>
      <c r="J993" s="25"/>
      <c r="K993" s="25"/>
      <c r="L993" s="25"/>
      <c r="M993" s="25"/>
    </row>
    <row r="994" spans="1:13" ht="33.75">
      <c r="A994" s="15" t="s">
        <v>893</v>
      </c>
      <c r="B994" s="10" t="s">
        <v>23</v>
      </c>
      <c r="C994" s="10" t="s">
        <v>66</v>
      </c>
      <c r="D994" s="18" t="s">
        <v>894</v>
      </c>
      <c r="E994" s="9"/>
      <c r="F994" s="9"/>
      <c r="G994" s="9"/>
      <c r="H994" s="9"/>
      <c r="I994" s="9"/>
      <c r="J994" s="9"/>
      <c r="K994" s="16">
        <f>K997</f>
        <v>1211.46</v>
      </c>
      <c r="L994" s="17">
        <f>L997</f>
        <v>0</v>
      </c>
      <c r="M994" s="17">
        <f>M997</f>
        <v>0</v>
      </c>
    </row>
    <row r="995" spans="1:13" ht="67.5">
      <c r="A995" s="9"/>
      <c r="B995" s="9"/>
      <c r="C995" s="9"/>
      <c r="D995" s="18" t="s">
        <v>895</v>
      </c>
      <c r="E995" s="9"/>
      <c r="F995" s="9"/>
      <c r="G995" s="9"/>
      <c r="H995" s="9"/>
      <c r="I995" s="9"/>
      <c r="J995" s="9"/>
      <c r="K995" s="9"/>
      <c r="L995" s="9"/>
      <c r="M995" s="9"/>
    </row>
    <row r="996" spans="1:13">
      <c r="A996" s="9"/>
      <c r="B996" s="9"/>
      <c r="C996" s="10" t="s">
        <v>27</v>
      </c>
      <c r="D996" s="30"/>
      <c r="E996" s="10" t="s">
        <v>866</v>
      </c>
      <c r="F996" s="19">
        <v>1</v>
      </c>
      <c r="G996" s="20">
        <v>1211.46</v>
      </c>
      <c r="H996" s="20">
        <v>0</v>
      </c>
      <c r="I996" s="20">
        <v>0</v>
      </c>
      <c r="J996" s="16">
        <f>OR(F996&lt;&gt;0,G996&lt;&gt;0,H996&lt;&gt;0,I996&lt;&gt;0)*(F996 + (F996 = 0))*(G996 + (G996 = 0))*(H996 + (H996 = 0))*(I996 + (I996 = 0))</f>
        <v>1211.46</v>
      </c>
      <c r="K996" s="9"/>
      <c r="L996" s="9"/>
      <c r="M996" s="9"/>
    </row>
    <row r="997" spans="1:13">
      <c r="A997" s="9"/>
      <c r="B997" s="9"/>
      <c r="C997" s="9"/>
      <c r="D997" s="30"/>
      <c r="E997" s="9"/>
      <c r="F997" s="9"/>
      <c r="G997" s="9"/>
      <c r="H997" s="9"/>
      <c r="I997" s="9"/>
      <c r="J997" s="21" t="s">
        <v>896</v>
      </c>
      <c r="K997" s="22">
        <f>J996</f>
        <v>1211.46</v>
      </c>
      <c r="L997" s="23">
        <v>0</v>
      </c>
      <c r="M997" s="24">
        <f>ROUND(K997*L997,2)</f>
        <v>0</v>
      </c>
    </row>
    <row r="998" spans="1:13" ht="0.95" customHeight="1">
      <c r="A998" s="25"/>
      <c r="B998" s="25"/>
      <c r="C998" s="25"/>
      <c r="D998" s="31"/>
      <c r="E998" s="25"/>
      <c r="F998" s="25"/>
      <c r="G998" s="25"/>
      <c r="H998" s="25"/>
      <c r="I998" s="25"/>
      <c r="J998" s="25"/>
      <c r="K998" s="25"/>
      <c r="L998" s="25"/>
      <c r="M998" s="25"/>
    </row>
    <row r="999" spans="1:13" ht="33.75">
      <c r="A999" s="15" t="s">
        <v>897</v>
      </c>
      <c r="B999" s="10" t="s">
        <v>23</v>
      </c>
      <c r="C999" s="10" t="s">
        <v>66</v>
      </c>
      <c r="D999" s="18" t="s">
        <v>894</v>
      </c>
      <c r="E999" s="9"/>
      <c r="F999" s="9"/>
      <c r="G999" s="9"/>
      <c r="H999" s="9"/>
      <c r="I999" s="9"/>
      <c r="J999" s="9"/>
      <c r="K999" s="16">
        <f>K1002</f>
        <v>2931.81</v>
      </c>
      <c r="L999" s="17">
        <f>L1002</f>
        <v>0</v>
      </c>
      <c r="M999" s="17">
        <f>M1002</f>
        <v>0</v>
      </c>
    </row>
    <row r="1000" spans="1:13" ht="67.5">
      <c r="A1000" s="9"/>
      <c r="B1000" s="9"/>
      <c r="C1000" s="9"/>
      <c r="D1000" s="18" t="s">
        <v>898</v>
      </c>
      <c r="E1000" s="9"/>
      <c r="F1000" s="9"/>
      <c r="G1000" s="9"/>
      <c r="H1000" s="9"/>
      <c r="I1000" s="9"/>
      <c r="J1000" s="9"/>
      <c r="K1000" s="9"/>
      <c r="L1000" s="9"/>
      <c r="M1000" s="9"/>
    </row>
    <row r="1001" spans="1:13">
      <c r="A1001" s="9"/>
      <c r="B1001" s="9"/>
      <c r="C1001" s="10" t="s">
        <v>27</v>
      </c>
      <c r="D1001" s="30"/>
      <c r="E1001" s="10" t="s">
        <v>866</v>
      </c>
      <c r="F1001" s="19">
        <v>1</v>
      </c>
      <c r="G1001" s="20">
        <v>2931.81</v>
      </c>
      <c r="H1001" s="20">
        <v>0</v>
      </c>
      <c r="I1001" s="20">
        <v>0</v>
      </c>
      <c r="J1001" s="16">
        <f>OR(F1001&lt;&gt;0,G1001&lt;&gt;0,H1001&lt;&gt;0,I1001&lt;&gt;0)*(F1001 + (F1001 = 0))*(G1001 + (G1001 = 0))*(H1001 + (H1001 = 0))*(I1001 + (I1001 = 0))</f>
        <v>2931.81</v>
      </c>
      <c r="K1001" s="9"/>
      <c r="L1001" s="9"/>
      <c r="M1001" s="9"/>
    </row>
    <row r="1002" spans="1:13">
      <c r="A1002" s="9"/>
      <c r="B1002" s="9"/>
      <c r="C1002" s="9"/>
      <c r="D1002" s="30"/>
      <c r="E1002" s="9"/>
      <c r="F1002" s="9"/>
      <c r="G1002" s="9"/>
      <c r="H1002" s="9"/>
      <c r="I1002" s="9"/>
      <c r="J1002" s="21" t="s">
        <v>899</v>
      </c>
      <c r="K1002" s="22">
        <f>J1001</f>
        <v>2931.81</v>
      </c>
      <c r="L1002" s="23">
        <v>0</v>
      </c>
      <c r="M1002" s="24">
        <f>ROUND(K1002*L1002,2)</f>
        <v>0</v>
      </c>
    </row>
    <row r="1003" spans="1:13" ht="0.95" customHeight="1">
      <c r="A1003" s="25"/>
      <c r="B1003" s="25"/>
      <c r="C1003" s="25"/>
      <c r="D1003" s="31"/>
      <c r="E1003" s="25"/>
      <c r="F1003" s="25"/>
      <c r="G1003" s="25"/>
      <c r="H1003" s="25"/>
      <c r="I1003" s="25"/>
      <c r="J1003" s="25"/>
      <c r="K1003" s="25"/>
      <c r="L1003" s="25"/>
      <c r="M1003" s="25"/>
    </row>
    <row r="1004" spans="1:13" ht="33.75">
      <c r="A1004" s="15" t="s">
        <v>900</v>
      </c>
      <c r="B1004" s="10" t="s">
        <v>23</v>
      </c>
      <c r="C1004" s="10" t="s">
        <v>66</v>
      </c>
      <c r="D1004" s="18" t="s">
        <v>894</v>
      </c>
      <c r="E1004" s="9"/>
      <c r="F1004" s="9"/>
      <c r="G1004" s="9"/>
      <c r="H1004" s="9"/>
      <c r="I1004" s="9"/>
      <c r="J1004" s="9"/>
      <c r="K1004" s="16">
        <f>K1007</f>
        <v>59.85</v>
      </c>
      <c r="L1004" s="17">
        <f>L1007</f>
        <v>0</v>
      </c>
      <c r="M1004" s="17">
        <f>M1007</f>
        <v>0</v>
      </c>
    </row>
    <row r="1005" spans="1:13" ht="67.5">
      <c r="A1005" s="9"/>
      <c r="B1005" s="9"/>
      <c r="C1005" s="9"/>
      <c r="D1005" s="18" t="s">
        <v>901</v>
      </c>
      <c r="E1005" s="9"/>
      <c r="F1005" s="9"/>
      <c r="G1005" s="9"/>
      <c r="H1005" s="9"/>
      <c r="I1005" s="9"/>
      <c r="J1005" s="9"/>
      <c r="K1005" s="9"/>
      <c r="L1005" s="9"/>
      <c r="M1005" s="9"/>
    </row>
    <row r="1006" spans="1:13">
      <c r="A1006" s="9"/>
      <c r="B1006" s="9"/>
      <c r="C1006" s="10" t="s">
        <v>27</v>
      </c>
      <c r="D1006" s="30"/>
      <c r="E1006" s="10" t="s">
        <v>866</v>
      </c>
      <c r="F1006" s="19">
        <v>1</v>
      </c>
      <c r="G1006" s="20">
        <v>59.85</v>
      </c>
      <c r="H1006" s="20">
        <v>0</v>
      </c>
      <c r="I1006" s="20">
        <v>0</v>
      </c>
      <c r="J1006" s="16">
        <f>OR(F1006&lt;&gt;0,G1006&lt;&gt;0,H1006&lt;&gt;0,I1006&lt;&gt;0)*(F1006 + (F1006 = 0))*(G1006 + (G1006 = 0))*(H1006 + (H1006 = 0))*(I1006 + (I1006 = 0))</f>
        <v>59.85</v>
      </c>
      <c r="K1006" s="9"/>
      <c r="L1006" s="9"/>
      <c r="M1006" s="9"/>
    </row>
    <row r="1007" spans="1:13">
      <c r="A1007" s="9"/>
      <c r="B1007" s="9"/>
      <c r="C1007" s="9"/>
      <c r="D1007" s="30"/>
      <c r="E1007" s="9"/>
      <c r="F1007" s="9"/>
      <c r="G1007" s="9"/>
      <c r="H1007" s="9"/>
      <c r="I1007" s="9"/>
      <c r="J1007" s="21" t="s">
        <v>902</v>
      </c>
      <c r="K1007" s="22">
        <f>J1006</f>
        <v>59.85</v>
      </c>
      <c r="L1007" s="23">
        <v>0</v>
      </c>
      <c r="M1007" s="24">
        <f>ROUND(K1007*L1007,2)</f>
        <v>0</v>
      </c>
    </row>
    <row r="1008" spans="1:13" ht="0.95" customHeight="1">
      <c r="A1008" s="25"/>
      <c r="B1008" s="25"/>
      <c r="C1008" s="25"/>
      <c r="D1008" s="31"/>
      <c r="E1008" s="25"/>
      <c r="F1008" s="25"/>
      <c r="G1008" s="25"/>
      <c r="H1008" s="25"/>
      <c r="I1008" s="25"/>
      <c r="J1008" s="25"/>
      <c r="K1008" s="25"/>
      <c r="L1008" s="25"/>
      <c r="M1008" s="25"/>
    </row>
    <row r="1009" spans="1:13" ht="33.75">
      <c r="A1009" s="15" t="s">
        <v>903</v>
      </c>
      <c r="B1009" s="10" t="s">
        <v>23</v>
      </c>
      <c r="C1009" s="10" t="s">
        <v>66</v>
      </c>
      <c r="D1009" s="18" t="s">
        <v>894</v>
      </c>
      <c r="E1009" s="9"/>
      <c r="F1009" s="9"/>
      <c r="G1009" s="9"/>
      <c r="H1009" s="9"/>
      <c r="I1009" s="9"/>
      <c r="J1009" s="9"/>
      <c r="K1009" s="16">
        <f>K1012</f>
        <v>30.99</v>
      </c>
      <c r="L1009" s="17">
        <f>L1012</f>
        <v>0</v>
      </c>
      <c r="M1009" s="17">
        <f>M1012</f>
        <v>0</v>
      </c>
    </row>
    <row r="1010" spans="1:13" ht="67.5">
      <c r="A1010" s="9"/>
      <c r="B1010" s="9"/>
      <c r="C1010" s="9"/>
      <c r="D1010" s="18" t="s">
        <v>904</v>
      </c>
      <c r="E1010" s="9"/>
      <c r="F1010" s="9"/>
      <c r="G1010" s="9"/>
      <c r="H1010" s="9"/>
      <c r="I1010" s="9"/>
      <c r="J1010" s="9"/>
      <c r="K1010" s="9"/>
      <c r="L1010" s="9"/>
      <c r="M1010" s="9"/>
    </row>
    <row r="1011" spans="1:13">
      <c r="A1011" s="9"/>
      <c r="B1011" s="9"/>
      <c r="C1011" s="10" t="s">
        <v>27</v>
      </c>
      <c r="D1011" s="30"/>
      <c r="E1011" s="10" t="s">
        <v>866</v>
      </c>
      <c r="F1011" s="19">
        <v>1</v>
      </c>
      <c r="G1011" s="20">
        <v>30.99</v>
      </c>
      <c r="H1011" s="20">
        <v>0</v>
      </c>
      <c r="I1011" s="20">
        <v>0</v>
      </c>
      <c r="J1011" s="16">
        <f>OR(F1011&lt;&gt;0,G1011&lt;&gt;0,H1011&lt;&gt;0,I1011&lt;&gt;0)*(F1011 + (F1011 = 0))*(G1011 + (G1011 = 0))*(H1011 + (H1011 = 0))*(I1011 + (I1011 = 0))</f>
        <v>30.99</v>
      </c>
      <c r="K1011" s="9"/>
      <c r="L1011" s="9"/>
      <c r="M1011" s="9"/>
    </row>
    <row r="1012" spans="1:13">
      <c r="A1012" s="9"/>
      <c r="B1012" s="9"/>
      <c r="C1012" s="9"/>
      <c r="D1012" s="30"/>
      <c r="E1012" s="9"/>
      <c r="F1012" s="9"/>
      <c r="G1012" s="9"/>
      <c r="H1012" s="9"/>
      <c r="I1012" s="9"/>
      <c r="J1012" s="21" t="s">
        <v>905</v>
      </c>
      <c r="K1012" s="22">
        <f>J1011</f>
        <v>30.99</v>
      </c>
      <c r="L1012" s="23">
        <v>0</v>
      </c>
      <c r="M1012" s="24">
        <f>ROUND(K1012*L1012,2)</f>
        <v>0</v>
      </c>
    </row>
    <row r="1013" spans="1:13" ht="0.95" customHeight="1">
      <c r="A1013" s="25"/>
      <c r="B1013" s="25"/>
      <c r="C1013" s="25"/>
      <c r="D1013" s="31"/>
      <c r="E1013" s="25"/>
      <c r="F1013" s="25"/>
      <c r="G1013" s="25"/>
      <c r="H1013" s="25"/>
      <c r="I1013" s="25"/>
      <c r="J1013" s="25"/>
      <c r="K1013" s="25"/>
      <c r="L1013" s="25"/>
      <c r="M1013" s="25"/>
    </row>
    <row r="1014" spans="1:13" ht="33.75">
      <c r="A1014" s="15" t="s">
        <v>906</v>
      </c>
      <c r="B1014" s="10" t="s">
        <v>23</v>
      </c>
      <c r="C1014" s="10" t="s">
        <v>4</v>
      </c>
      <c r="D1014" s="18" t="s">
        <v>907</v>
      </c>
      <c r="E1014" s="9"/>
      <c r="F1014" s="9"/>
      <c r="G1014" s="9"/>
      <c r="H1014" s="9"/>
      <c r="I1014" s="9"/>
      <c r="J1014" s="9"/>
      <c r="K1014" s="16">
        <f>K1017</f>
        <v>1</v>
      </c>
      <c r="L1014" s="17">
        <f>L1017</f>
        <v>0</v>
      </c>
      <c r="M1014" s="17">
        <f>M1017</f>
        <v>0</v>
      </c>
    </row>
    <row r="1015" spans="1:13">
      <c r="A1015" s="9"/>
      <c r="B1015" s="9"/>
      <c r="C1015" s="9"/>
      <c r="D1015" s="18" t="s">
        <v>908</v>
      </c>
      <c r="E1015" s="9"/>
      <c r="F1015" s="9"/>
      <c r="G1015" s="9"/>
      <c r="H1015" s="9"/>
      <c r="I1015" s="9"/>
      <c r="J1015" s="9"/>
      <c r="K1015" s="9"/>
      <c r="L1015" s="9"/>
      <c r="M1015" s="9"/>
    </row>
    <row r="1016" spans="1:13">
      <c r="A1016" s="9"/>
      <c r="B1016" s="9"/>
      <c r="C1016" s="10" t="s">
        <v>27</v>
      </c>
      <c r="D1016" s="30"/>
      <c r="E1016" s="10" t="s">
        <v>909</v>
      </c>
      <c r="F1016" s="19">
        <v>1</v>
      </c>
      <c r="G1016" s="20">
        <v>0</v>
      </c>
      <c r="H1016" s="20">
        <v>0</v>
      </c>
      <c r="I1016" s="20">
        <v>0</v>
      </c>
      <c r="J1016" s="16">
        <f>OR(F1016&lt;&gt;0,G1016&lt;&gt;0,H1016&lt;&gt;0,I1016&lt;&gt;0)*(F1016 + (F1016 = 0))*(G1016 + (G1016 = 0))*(H1016 + (H1016 = 0))*(I1016 + (I1016 = 0))</f>
        <v>1</v>
      </c>
      <c r="K1016" s="9"/>
      <c r="L1016" s="9"/>
      <c r="M1016" s="9"/>
    </row>
    <row r="1017" spans="1:13">
      <c r="A1017" s="9"/>
      <c r="B1017" s="9"/>
      <c r="C1017" s="9"/>
      <c r="D1017" s="30"/>
      <c r="E1017" s="9"/>
      <c r="F1017" s="9"/>
      <c r="G1017" s="9"/>
      <c r="H1017" s="9"/>
      <c r="I1017" s="9"/>
      <c r="J1017" s="21" t="s">
        <v>910</v>
      </c>
      <c r="K1017" s="22">
        <f>J1016</f>
        <v>1</v>
      </c>
      <c r="L1017" s="23">
        <v>0</v>
      </c>
      <c r="M1017" s="24">
        <f>ROUND(K1017*L1017,2)</f>
        <v>0</v>
      </c>
    </row>
    <row r="1018" spans="1:13" ht="0.95" customHeight="1">
      <c r="A1018" s="25"/>
      <c r="B1018" s="25"/>
      <c r="C1018" s="25"/>
      <c r="D1018" s="31"/>
      <c r="E1018" s="25"/>
      <c r="F1018" s="25"/>
      <c r="G1018" s="25"/>
      <c r="H1018" s="25"/>
      <c r="I1018" s="25"/>
      <c r="J1018" s="25"/>
      <c r="K1018" s="25"/>
      <c r="L1018" s="25"/>
      <c r="M1018" s="25"/>
    </row>
    <row r="1019" spans="1:13" ht="33.75">
      <c r="A1019" s="15" t="s">
        <v>911</v>
      </c>
      <c r="B1019" s="10" t="s">
        <v>23</v>
      </c>
      <c r="C1019" s="10" t="s">
        <v>4</v>
      </c>
      <c r="D1019" s="18" t="s">
        <v>912</v>
      </c>
      <c r="E1019" s="9"/>
      <c r="F1019" s="9"/>
      <c r="G1019" s="9"/>
      <c r="H1019" s="9"/>
      <c r="I1019" s="9"/>
      <c r="J1019" s="9"/>
      <c r="K1019" s="16">
        <f>K1022</f>
        <v>1</v>
      </c>
      <c r="L1019" s="17">
        <f>L1022</f>
        <v>0</v>
      </c>
      <c r="M1019" s="17">
        <f>M1022</f>
        <v>0</v>
      </c>
    </row>
    <row r="1020" spans="1:13">
      <c r="A1020" s="9"/>
      <c r="B1020" s="9"/>
      <c r="C1020" s="9"/>
      <c r="D1020" s="18" t="s">
        <v>913</v>
      </c>
      <c r="E1020" s="9"/>
      <c r="F1020" s="9"/>
      <c r="G1020" s="9"/>
      <c r="H1020" s="9"/>
      <c r="I1020" s="9"/>
      <c r="J1020" s="9"/>
      <c r="K1020" s="9"/>
      <c r="L1020" s="9"/>
      <c r="M1020" s="9"/>
    </row>
    <row r="1021" spans="1:13">
      <c r="A1021" s="9"/>
      <c r="B1021" s="9"/>
      <c r="C1021" s="10" t="s">
        <v>27</v>
      </c>
      <c r="D1021" s="30"/>
      <c r="E1021" s="10" t="s">
        <v>914</v>
      </c>
      <c r="F1021" s="19">
        <v>1</v>
      </c>
      <c r="G1021" s="20">
        <v>0</v>
      </c>
      <c r="H1021" s="20">
        <v>0</v>
      </c>
      <c r="I1021" s="20">
        <v>0</v>
      </c>
      <c r="J1021" s="16">
        <f>OR(F1021&lt;&gt;0,G1021&lt;&gt;0,H1021&lt;&gt;0,I1021&lt;&gt;0)*(F1021 + (F1021 = 0))*(G1021 + (G1021 = 0))*(H1021 + (H1021 = 0))*(I1021 + (I1021 = 0))</f>
        <v>1</v>
      </c>
      <c r="K1021" s="9"/>
      <c r="L1021" s="9"/>
      <c r="M1021" s="9"/>
    </row>
    <row r="1022" spans="1:13">
      <c r="A1022" s="9"/>
      <c r="B1022" s="9"/>
      <c r="C1022" s="9"/>
      <c r="D1022" s="30"/>
      <c r="E1022" s="9"/>
      <c r="F1022" s="9"/>
      <c r="G1022" s="9"/>
      <c r="H1022" s="9"/>
      <c r="I1022" s="9"/>
      <c r="J1022" s="21" t="s">
        <v>915</v>
      </c>
      <c r="K1022" s="22">
        <f>J1021</f>
        <v>1</v>
      </c>
      <c r="L1022" s="23">
        <v>0</v>
      </c>
      <c r="M1022" s="24">
        <f>ROUND(K1022*L1022,2)</f>
        <v>0</v>
      </c>
    </row>
    <row r="1023" spans="1:13" ht="0.95" customHeight="1">
      <c r="A1023" s="25"/>
      <c r="B1023" s="25"/>
      <c r="C1023" s="25"/>
      <c r="D1023" s="31"/>
      <c r="E1023" s="25"/>
      <c r="F1023" s="25"/>
      <c r="G1023" s="25"/>
      <c r="H1023" s="25"/>
      <c r="I1023" s="25"/>
      <c r="J1023" s="25"/>
      <c r="K1023" s="25"/>
      <c r="L1023" s="25"/>
      <c r="M1023" s="25"/>
    </row>
    <row r="1024" spans="1:13" ht="33.75">
      <c r="A1024" s="15" t="s">
        <v>916</v>
      </c>
      <c r="B1024" s="10" t="s">
        <v>23</v>
      </c>
      <c r="C1024" s="10" t="s">
        <v>4</v>
      </c>
      <c r="D1024" s="18" t="s">
        <v>917</v>
      </c>
      <c r="E1024" s="9"/>
      <c r="F1024" s="9"/>
      <c r="G1024" s="9"/>
      <c r="H1024" s="9"/>
      <c r="I1024" s="9"/>
      <c r="J1024" s="9"/>
      <c r="K1024" s="16">
        <f>K1027</f>
        <v>1</v>
      </c>
      <c r="L1024" s="17">
        <f>L1027</f>
        <v>0</v>
      </c>
      <c r="M1024" s="17">
        <f>M1027</f>
        <v>0</v>
      </c>
    </row>
    <row r="1025" spans="1:13">
      <c r="A1025" s="9"/>
      <c r="B1025" s="9"/>
      <c r="C1025" s="9"/>
      <c r="D1025" s="18" t="s">
        <v>918</v>
      </c>
      <c r="E1025" s="9"/>
      <c r="F1025" s="9"/>
      <c r="G1025" s="9"/>
      <c r="H1025" s="9"/>
      <c r="I1025" s="9"/>
      <c r="J1025" s="9"/>
      <c r="K1025" s="9"/>
      <c r="L1025" s="9"/>
      <c r="M1025" s="9"/>
    </row>
    <row r="1026" spans="1:13">
      <c r="A1026" s="9"/>
      <c r="B1026" s="9"/>
      <c r="C1026" s="10" t="s">
        <v>27</v>
      </c>
      <c r="D1026" s="30"/>
      <c r="E1026" s="10" t="s">
        <v>914</v>
      </c>
      <c r="F1026" s="19">
        <v>1</v>
      </c>
      <c r="G1026" s="20">
        <v>0</v>
      </c>
      <c r="H1026" s="20">
        <v>0</v>
      </c>
      <c r="I1026" s="20">
        <v>0</v>
      </c>
      <c r="J1026" s="16">
        <f>OR(F1026&lt;&gt;0,G1026&lt;&gt;0,H1026&lt;&gt;0,I1026&lt;&gt;0)*(F1026 + (F1026 = 0))*(G1026 + (G1026 = 0))*(H1026 + (H1026 = 0))*(I1026 + (I1026 = 0))</f>
        <v>1</v>
      </c>
      <c r="K1026" s="9"/>
      <c r="L1026" s="9"/>
      <c r="M1026" s="9"/>
    </row>
    <row r="1027" spans="1:13">
      <c r="A1027" s="9"/>
      <c r="B1027" s="9"/>
      <c r="C1027" s="9"/>
      <c r="D1027" s="30"/>
      <c r="E1027" s="9"/>
      <c r="F1027" s="9"/>
      <c r="G1027" s="9"/>
      <c r="H1027" s="9"/>
      <c r="I1027" s="9"/>
      <c r="J1027" s="21" t="s">
        <v>919</v>
      </c>
      <c r="K1027" s="22">
        <f>J1026</f>
        <v>1</v>
      </c>
      <c r="L1027" s="23">
        <v>0</v>
      </c>
      <c r="M1027" s="24">
        <f>ROUND(K1027*L1027,2)</f>
        <v>0</v>
      </c>
    </row>
    <row r="1028" spans="1:13" ht="0.95" customHeight="1">
      <c r="A1028" s="25"/>
      <c r="B1028" s="25"/>
      <c r="C1028" s="25"/>
      <c r="D1028" s="31"/>
      <c r="E1028" s="25"/>
      <c r="F1028" s="25"/>
      <c r="G1028" s="25"/>
      <c r="H1028" s="25"/>
      <c r="I1028" s="25"/>
      <c r="J1028" s="25"/>
      <c r="K1028" s="25"/>
      <c r="L1028" s="25"/>
      <c r="M1028" s="25"/>
    </row>
    <row r="1029" spans="1:13" ht="22.5">
      <c r="A1029" s="15" t="s">
        <v>920</v>
      </c>
      <c r="B1029" s="10" t="s">
        <v>23</v>
      </c>
      <c r="C1029" s="10" t="s">
        <v>66</v>
      </c>
      <c r="D1029" s="18" t="s">
        <v>921</v>
      </c>
      <c r="E1029" s="9"/>
      <c r="F1029" s="9"/>
      <c r="G1029" s="9"/>
      <c r="H1029" s="9"/>
      <c r="I1029" s="9"/>
      <c r="J1029" s="9"/>
      <c r="K1029" s="16">
        <f>K1032</f>
        <v>1.5</v>
      </c>
      <c r="L1029" s="17">
        <f>L1032</f>
        <v>0</v>
      </c>
      <c r="M1029" s="17">
        <f>M1032</f>
        <v>0</v>
      </c>
    </row>
    <row r="1030" spans="1:13">
      <c r="A1030" s="9"/>
      <c r="B1030" s="9"/>
      <c r="C1030" s="9"/>
      <c r="D1030" s="18" t="s">
        <v>922</v>
      </c>
      <c r="E1030" s="9"/>
      <c r="F1030" s="9"/>
      <c r="G1030" s="9"/>
      <c r="H1030" s="9"/>
      <c r="I1030" s="9"/>
      <c r="J1030" s="9"/>
      <c r="K1030" s="9"/>
      <c r="L1030" s="9"/>
      <c r="M1030" s="9"/>
    </row>
    <row r="1031" spans="1:13">
      <c r="A1031" s="9"/>
      <c r="B1031" s="9"/>
      <c r="C1031" s="10" t="s">
        <v>27</v>
      </c>
      <c r="D1031" s="30"/>
      <c r="E1031" s="10" t="s">
        <v>923</v>
      </c>
      <c r="F1031" s="19">
        <v>1</v>
      </c>
      <c r="G1031" s="23">
        <v>1.5</v>
      </c>
      <c r="H1031" s="23">
        <v>0</v>
      </c>
      <c r="I1031" s="23">
        <v>0</v>
      </c>
      <c r="J1031" s="17">
        <f>OR(F1031&lt;&gt;0,G1031&lt;&gt;0,H1031&lt;&gt;0,I1031&lt;&gt;0)*(F1031 + (F1031 = 0))*(G1031 + (G1031 = 0))*(H1031 + (H1031 = 0))*(I1031 + (I1031 = 0))</f>
        <v>1.5</v>
      </c>
      <c r="K1031" s="9"/>
      <c r="L1031" s="9"/>
      <c r="M1031" s="9"/>
    </row>
    <row r="1032" spans="1:13">
      <c r="A1032" s="9"/>
      <c r="B1032" s="9"/>
      <c r="C1032" s="9"/>
      <c r="D1032" s="30"/>
      <c r="E1032" s="9"/>
      <c r="F1032" s="9"/>
      <c r="G1032" s="9"/>
      <c r="H1032" s="9"/>
      <c r="I1032" s="9"/>
      <c r="J1032" s="21" t="s">
        <v>924</v>
      </c>
      <c r="K1032" s="22">
        <f>J1031</f>
        <v>1.5</v>
      </c>
      <c r="L1032" s="23">
        <v>0</v>
      </c>
      <c r="M1032" s="24">
        <f>ROUND(K1032*L1032,2)</f>
        <v>0</v>
      </c>
    </row>
    <row r="1033" spans="1:13" ht="0.95" customHeight="1">
      <c r="A1033" s="25"/>
      <c r="B1033" s="25"/>
      <c r="C1033" s="25"/>
      <c r="D1033" s="31"/>
      <c r="E1033" s="25"/>
      <c r="F1033" s="25"/>
      <c r="G1033" s="25"/>
      <c r="H1033" s="25"/>
      <c r="I1033" s="25"/>
      <c r="J1033" s="25"/>
      <c r="K1033" s="25"/>
      <c r="L1033" s="25"/>
      <c r="M1033" s="25"/>
    </row>
    <row r="1034" spans="1:13">
      <c r="A1034" s="9"/>
      <c r="B1034" s="9"/>
      <c r="C1034" s="9"/>
      <c r="D1034" s="30"/>
      <c r="E1034" s="9"/>
      <c r="F1034" s="9"/>
      <c r="G1034" s="9"/>
      <c r="H1034" s="9"/>
      <c r="I1034" s="9"/>
      <c r="J1034" s="21" t="s">
        <v>925</v>
      </c>
      <c r="K1034" s="20">
        <v>1</v>
      </c>
      <c r="L1034" s="24">
        <f>M952+M954+M956+M962+M967+M972+M978+M983+M989+M994+M999+M1004+M1009+M1014+M1019+M1024+M1029</f>
        <v>0</v>
      </c>
      <c r="M1034" s="24">
        <f>ROUND(K1034*L1034,2)</f>
        <v>0</v>
      </c>
    </row>
    <row r="1035" spans="1:13" ht="0.95" customHeight="1">
      <c r="A1035" s="25"/>
      <c r="B1035" s="25"/>
      <c r="C1035" s="25"/>
      <c r="D1035" s="31"/>
      <c r="E1035" s="25"/>
      <c r="F1035" s="25"/>
      <c r="G1035" s="25"/>
      <c r="H1035" s="25"/>
      <c r="I1035" s="25"/>
      <c r="J1035" s="25"/>
      <c r="K1035" s="25"/>
      <c r="L1035" s="25"/>
      <c r="M1035" s="25"/>
    </row>
    <row r="1036" spans="1:13">
      <c r="A1036" s="11" t="s">
        <v>926</v>
      </c>
      <c r="B1036" s="11" t="s">
        <v>16</v>
      </c>
      <c r="C1036" s="11" t="s">
        <v>17</v>
      </c>
      <c r="D1036" s="29" t="s">
        <v>927</v>
      </c>
      <c r="E1036" s="12"/>
      <c r="F1036" s="12"/>
      <c r="G1036" s="12"/>
      <c r="H1036" s="12"/>
      <c r="I1036" s="12"/>
      <c r="J1036" s="12"/>
      <c r="K1036" s="13">
        <f>K1080</f>
        <v>1</v>
      </c>
      <c r="L1036" s="14">
        <f>L1080</f>
        <v>0</v>
      </c>
      <c r="M1036" s="14">
        <f>M1080</f>
        <v>0</v>
      </c>
    </row>
    <row r="1037" spans="1:13" ht="33.75">
      <c r="A1037" s="15" t="s">
        <v>928</v>
      </c>
      <c r="B1037" s="10" t="s">
        <v>23</v>
      </c>
      <c r="C1037" s="10" t="s">
        <v>4</v>
      </c>
      <c r="D1037" s="18" t="s">
        <v>929</v>
      </c>
      <c r="E1037" s="9"/>
      <c r="F1037" s="9"/>
      <c r="G1037" s="9"/>
      <c r="H1037" s="9"/>
      <c r="I1037" s="9"/>
      <c r="J1037" s="9"/>
      <c r="K1037" s="20">
        <v>1</v>
      </c>
      <c r="L1037" s="23">
        <v>0</v>
      </c>
      <c r="M1037" s="17">
        <f>ROUND(K1037*L1037,2)</f>
        <v>0</v>
      </c>
    </row>
    <row r="1038" spans="1:13">
      <c r="A1038" s="9"/>
      <c r="B1038" s="9"/>
      <c r="C1038" s="9"/>
      <c r="D1038" s="18" t="s">
        <v>930</v>
      </c>
      <c r="E1038" s="9"/>
      <c r="F1038" s="9"/>
      <c r="G1038" s="9"/>
      <c r="H1038" s="9"/>
      <c r="I1038" s="9"/>
      <c r="J1038" s="9"/>
      <c r="K1038" s="9"/>
      <c r="L1038" s="9"/>
      <c r="M1038" s="9"/>
    </row>
    <row r="1039" spans="1:13" ht="33.75">
      <c r="A1039" s="15" t="s">
        <v>931</v>
      </c>
      <c r="B1039" s="10" t="s">
        <v>23</v>
      </c>
      <c r="C1039" s="10" t="s">
        <v>4</v>
      </c>
      <c r="D1039" s="18" t="s">
        <v>932</v>
      </c>
      <c r="E1039" s="9"/>
      <c r="F1039" s="9"/>
      <c r="G1039" s="9"/>
      <c r="H1039" s="9"/>
      <c r="I1039" s="9"/>
      <c r="J1039" s="9"/>
      <c r="K1039" s="16">
        <f>K1042</f>
        <v>1</v>
      </c>
      <c r="L1039" s="17">
        <f>L1042</f>
        <v>0</v>
      </c>
      <c r="M1039" s="17">
        <f>M1042</f>
        <v>0</v>
      </c>
    </row>
    <row r="1040" spans="1:13">
      <c r="A1040" s="9"/>
      <c r="B1040" s="9"/>
      <c r="C1040" s="9"/>
      <c r="D1040" s="18" t="s">
        <v>933</v>
      </c>
      <c r="E1040" s="9"/>
      <c r="F1040" s="9"/>
      <c r="G1040" s="9"/>
      <c r="H1040" s="9"/>
      <c r="I1040" s="9"/>
      <c r="J1040" s="9"/>
      <c r="K1040" s="9"/>
      <c r="L1040" s="9"/>
      <c r="M1040" s="9"/>
    </row>
    <row r="1041" spans="1:13">
      <c r="A1041" s="9"/>
      <c r="B1041" s="9"/>
      <c r="C1041" s="10" t="s">
        <v>27</v>
      </c>
      <c r="D1041" s="30"/>
      <c r="E1041" s="10" t="s">
        <v>934</v>
      </c>
      <c r="F1041" s="19">
        <v>1</v>
      </c>
      <c r="G1041" s="20">
        <v>0</v>
      </c>
      <c r="H1041" s="20">
        <v>0</v>
      </c>
      <c r="I1041" s="20">
        <v>0</v>
      </c>
      <c r="J1041" s="16">
        <f>OR(F1041&lt;&gt;0,G1041&lt;&gt;0,H1041&lt;&gt;0,I1041&lt;&gt;0)*(F1041 + (F1041 = 0))*(G1041 + (G1041 = 0))*(H1041 + (H1041 = 0))*(I1041 + (I1041 = 0))</f>
        <v>1</v>
      </c>
      <c r="K1041" s="9"/>
      <c r="L1041" s="9"/>
      <c r="M1041" s="9"/>
    </row>
    <row r="1042" spans="1:13">
      <c r="A1042" s="9"/>
      <c r="B1042" s="9"/>
      <c r="C1042" s="9"/>
      <c r="D1042" s="30"/>
      <c r="E1042" s="9"/>
      <c r="F1042" s="9"/>
      <c r="G1042" s="9"/>
      <c r="H1042" s="9"/>
      <c r="I1042" s="9"/>
      <c r="J1042" s="21" t="s">
        <v>935</v>
      </c>
      <c r="K1042" s="22">
        <f>J1041</f>
        <v>1</v>
      </c>
      <c r="L1042" s="23">
        <v>0</v>
      </c>
      <c r="M1042" s="24">
        <f>ROUND(K1042*L1042,2)</f>
        <v>0</v>
      </c>
    </row>
    <row r="1043" spans="1:13" ht="0.95" customHeight="1">
      <c r="A1043" s="25"/>
      <c r="B1043" s="25"/>
      <c r="C1043" s="25"/>
      <c r="D1043" s="31"/>
      <c r="E1043" s="25"/>
      <c r="F1043" s="25"/>
      <c r="G1043" s="25"/>
      <c r="H1043" s="25"/>
      <c r="I1043" s="25"/>
      <c r="J1043" s="25"/>
      <c r="K1043" s="25"/>
      <c r="L1043" s="25"/>
      <c r="M1043" s="25"/>
    </row>
    <row r="1044" spans="1:13" ht="33.75">
      <c r="A1044" s="15" t="s">
        <v>936</v>
      </c>
      <c r="B1044" s="10" t="s">
        <v>23</v>
      </c>
      <c r="C1044" s="10" t="s">
        <v>4</v>
      </c>
      <c r="D1044" s="18" t="s">
        <v>937</v>
      </c>
      <c r="E1044" s="9"/>
      <c r="F1044" s="9"/>
      <c r="G1044" s="9"/>
      <c r="H1044" s="9"/>
      <c r="I1044" s="9"/>
      <c r="J1044" s="9"/>
      <c r="K1044" s="20">
        <v>1</v>
      </c>
      <c r="L1044" s="23">
        <v>0</v>
      </c>
      <c r="M1044" s="17">
        <f>ROUND(K1044*L1044,2)</f>
        <v>0</v>
      </c>
    </row>
    <row r="1045" spans="1:13" ht="56.25">
      <c r="A1045" s="9"/>
      <c r="B1045" s="9"/>
      <c r="C1045" s="9"/>
      <c r="D1045" s="18" t="s">
        <v>938</v>
      </c>
      <c r="E1045" s="9"/>
      <c r="F1045" s="9"/>
      <c r="G1045" s="9"/>
      <c r="H1045" s="9"/>
      <c r="I1045" s="9"/>
      <c r="J1045" s="9"/>
      <c r="K1045" s="9"/>
      <c r="L1045" s="9"/>
      <c r="M1045" s="9"/>
    </row>
    <row r="1046" spans="1:13" ht="45">
      <c r="A1046" s="15" t="s">
        <v>939</v>
      </c>
      <c r="B1046" s="10" t="s">
        <v>23</v>
      </c>
      <c r="C1046" s="10" t="s">
        <v>66</v>
      </c>
      <c r="D1046" s="18" t="s">
        <v>940</v>
      </c>
      <c r="E1046" s="9"/>
      <c r="F1046" s="9"/>
      <c r="G1046" s="9"/>
      <c r="H1046" s="9"/>
      <c r="I1046" s="9"/>
      <c r="J1046" s="9"/>
      <c r="K1046" s="16">
        <f>K1050</f>
        <v>66.819999999999993</v>
      </c>
      <c r="L1046" s="17">
        <f>L1050</f>
        <v>0</v>
      </c>
      <c r="M1046" s="17">
        <f>M1050</f>
        <v>0</v>
      </c>
    </row>
    <row r="1047" spans="1:13">
      <c r="A1047" s="9"/>
      <c r="B1047" s="9"/>
      <c r="C1047" s="9"/>
      <c r="D1047" s="18" t="s">
        <v>941</v>
      </c>
      <c r="E1047" s="9"/>
      <c r="F1047" s="9"/>
      <c r="G1047" s="9"/>
      <c r="H1047" s="9"/>
      <c r="I1047" s="9"/>
      <c r="J1047" s="9"/>
      <c r="K1047" s="9"/>
      <c r="L1047" s="9"/>
      <c r="M1047" s="9"/>
    </row>
    <row r="1048" spans="1:13">
      <c r="A1048" s="9"/>
      <c r="B1048" s="9"/>
      <c r="C1048" s="10" t="s">
        <v>27</v>
      </c>
      <c r="D1048" s="30"/>
      <c r="E1048" s="10" t="s">
        <v>934</v>
      </c>
      <c r="F1048" s="19">
        <v>1</v>
      </c>
      <c r="G1048" s="20">
        <v>39.11</v>
      </c>
      <c r="H1048" s="20">
        <v>0</v>
      </c>
      <c r="I1048" s="20">
        <v>0</v>
      </c>
      <c r="J1048" s="16">
        <f>OR(F1048&lt;&gt;0,G1048&lt;&gt;0,H1048&lt;&gt;0,I1048&lt;&gt;0)*(F1048 + (F1048 = 0))*(G1048 + (G1048 = 0))*(H1048 + (H1048 = 0))*(I1048 + (I1048 = 0))</f>
        <v>39.11</v>
      </c>
      <c r="K1048" s="9"/>
      <c r="L1048" s="9"/>
      <c r="M1048" s="9"/>
    </row>
    <row r="1049" spans="1:13">
      <c r="A1049" s="9"/>
      <c r="B1049" s="9"/>
      <c r="C1049" s="10" t="s">
        <v>27</v>
      </c>
      <c r="D1049" s="30"/>
      <c r="E1049" s="10" t="s">
        <v>942</v>
      </c>
      <c r="F1049" s="19">
        <v>1</v>
      </c>
      <c r="G1049" s="20">
        <v>27.71</v>
      </c>
      <c r="H1049" s="20">
        <v>0</v>
      </c>
      <c r="I1049" s="20">
        <v>0</v>
      </c>
      <c r="J1049" s="16">
        <f>OR(F1049&lt;&gt;0,G1049&lt;&gt;0,H1049&lt;&gt;0,I1049&lt;&gt;0)*(F1049 + (F1049 = 0))*(G1049 + (G1049 = 0))*(H1049 + (H1049 = 0))*(I1049 + (I1049 = 0))</f>
        <v>27.71</v>
      </c>
      <c r="K1049" s="9"/>
      <c r="L1049" s="9"/>
      <c r="M1049" s="9"/>
    </row>
    <row r="1050" spans="1:13">
      <c r="A1050" s="9"/>
      <c r="B1050" s="9"/>
      <c r="C1050" s="9"/>
      <c r="D1050" s="30"/>
      <c r="E1050" s="9"/>
      <c r="F1050" s="9"/>
      <c r="G1050" s="9"/>
      <c r="H1050" s="9"/>
      <c r="I1050" s="9"/>
      <c r="J1050" s="21" t="s">
        <v>943</v>
      </c>
      <c r="K1050" s="22">
        <f>SUM(J1048:J1049)</f>
        <v>66.819999999999993</v>
      </c>
      <c r="L1050" s="23">
        <v>0</v>
      </c>
      <c r="M1050" s="24">
        <f>ROUND(K1050*L1050,2)</f>
        <v>0</v>
      </c>
    </row>
    <row r="1051" spans="1:13" ht="0.95" customHeight="1">
      <c r="A1051" s="25"/>
      <c r="B1051" s="25"/>
      <c r="C1051" s="25"/>
      <c r="D1051" s="31"/>
      <c r="E1051" s="25"/>
      <c r="F1051" s="25"/>
      <c r="G1051" s="25"/>
      <c r="H1051" s="25"/>
      <c r="I1051" s="25"/>
      <c r="J1051" s="25"/>
      <c r="K1051" s="25"/>
      <c r="L1051" s="25"/>
      <c r="M1051" s="25"/>
    </row>
    <row r="1052" spans="1:13" ht="45">
      <c r="A1052" s="15" t="s">
        <v>944</v>
      </c>
      <c r="B1052" s="10" t="s">
        <v>23</v>
      </c>
      <c r="C1052" s="10" t="s">
        <v>66</v>
      </c>
      <c r="D1052" s="18" t="s">
        <v>940</v>
      </c>
      <c r="E1052" s="9"/>
      <c r="F1052" s="9"/>
      <c r="G1052" s="9"/>
      <c r="H1052" s="9"/>
      <c r="I1052" s="9"/>
      <c r="J1052" s="9"/>
      <c r="K1052" s="16">
        <f>K1057</f>
        <v>107.57</v>
      </c>
      <c r="L1052" s="17">
        <f>L1057</f>
        <v>0</v>
      </c>
      <c r="M1052" s="17">
        <f>M1057</f>
        <v>0</v>
      </c>
    </row>
    <row r="1053" spans="1:13">
      <c r="A1053" s="9"/>
      <c r="B1053" s="9"/>
      <c r="C1053" s="9"/>
      <c r="D1053" s="18" t="s">
        <v>945</v>
      </c>
      <c r="E1053" s="9"/>
      <c r="F1053" s="9"/>
      <c r="G1053" s="9"/>
      <c r="H1053" s="9"/>
      <c r="I1053" s="9"/>
      <c r="J1053" s="9"/>
      <c r="K1053" s="9"/>
      <c r="L1053" s="9"/>
      <c r="M1053" s="9"/>
    </row>
    <row r="1054" spans="1:13">
      <c r="A1054" s="9"/>
      <c r="B1054" s="9"/>
      <c r="C1054" s="10" t="s">
        <v>27</v>
      </c>
      <c r="D1054" s="30"/>
      <c r="E1054" s="10" t="s">
        <v>934</v>
      </c>
      <c r="F1054" s="19">
        <v>1</v>
      </c>
      <c r="G1054" s="20">
        <v>67.319999999999993</v>
      </c>
      <c r="H1054" s="20">
        <v>0</v>
      </c>
      <c r="I1054" s="20">
        <v>0</v>
      </c>
      <c r="J1054" s="16">
        <f>OR(F1054&lt;&gt;0,G1054&lt;&gt;0,H1054&lt;&gt;0,I1054&lt;&gt;0)*(F1054 + (F1054 = 0))*(G1054 + (G1054 = 0))*(H1054 + (H1054 = 0))*(I1054 + (I1054 = 0))</f>
        <v>67.319999999999993</v>
      </c>
      <c r="K1054" s="9"/>
      <c r="L1054" s="9"/>
      <c r="M1054" s="9"/>
    </row>
    <row r="1055" spans="1:13">
      <c r="A1055" s="9"/>
      <c r="B1055" s="9"/>
      <c r="C1055" s="10" t="s">
        <v>27</v>
      </c>
      <c r="D1055" s="30"/>
      <c r="E1055" s="10" t="s">
        <v>942</v>
      </c>
      <c r="F1055" s="19">
        <v>1</v>
      </c>
      <c r="G1055" s="20">
        <v>22.98</v>
      </c>
      <c r="H1055" s="20">
        <v>0</v>
      </c>
      <c r="I1055" s="20">
        <v>0</v>
      </c>
      <c r="J1055" s="16">
        <f>OR(F1055&lt;&gt;0,G1055&lt;&gt;0,H1055&lt;&gt;0,I1055&lt;&gt;0)*(F1055 + (F1055 = 0))*(G1055 + (G1055 = 0))*(H1055 + (H1055 = 0))*(I1055 + (I1055 = 0))</f>
        <v>22.98</v>
      </c>
      <c r="K1055" s="9"/>
      <c r="L1055" s="9"/>
      <c r="M1055" s="9"/>
    </row>
    <row r="1056" spans="1:13">
      <c r="A1056" s="9"/>
      <c r="B1056" s="9"/>
      <c r="C1056" s="10" t="s">
        <v>27</v>
      </c>
      <c r="D1056" s="30"/>
      <c r="E1056" s="10" t="s">
        <v>946</v>
      </c>
      <c r="F1056" s="19">
        <v>1</v>
      </c>
      <c r="G1056" s="20">
        <v>17.27</v>
      </c>
      <c r="H1056" s="20">
        <v>0</v>
      </c>
      <c r="I1056" s="20">
        <v>0</v>
      </c>
      <c r="J1056" s="16">
        <f>OR(F1056&lt;&gt;0,G1056&lt;&gt;0,H1056&lt;&gt;0,I1056&lt;&gt;0)*(F1056 + (F1056 = 0))*(G1056 + (G1056 = 0))*(H1056 + (H1056 = 0))*(I1056 + (I1056 = 0))</f>
        <v>17.27</v>
      </c>
      <c r="K1056" s="9"/>
      <c r="L1056" s="9"/>
      <c r="M1056" s="9"/>
    </row>
    <row r="1057" spans="1:13">
      <c r="A1057" s="9"/>
      <c r="B1057" s="9"/>
      <c r="C1057" s="9"/>
      <c r="D1057" s="30"/>
      <c r="E1057" s="9"/>
      <c r="F1057" s="9"/>
      <c r="G1057" s="9"/>
      <c r="H1057" s="9"/>
      <c r="I1057" s="9"/>
      <c r="J1057" s="21" t="s">
        <v>947</v>
      </c>
      <c r="K1057" s="22">
        <f>SUM(J1054:J1056)</f>
        <v>107.57</v>
      </c>
      <c r="L1057" s="23">
        <v>0</v>
      </c>
      <c r="M1057" s="24">
        <f>ROUND(K1057*L1057,2)</f>
        <v>0</v>
      </c>
    </row>
    <row r="1058" spans="1:13" ht="0.95" customHeight="1">
      <c r="A1058" s="25"/>
      <c r="B1058" s="25"/>
      <c r="C1058" s="25"/>
      <c r="D1058" s="31"/>
      <c r="E1058" s="25"/>
      <c r="F1058" s="25"/>
      <c r="G1058" s="25"/>
      <c r="H1058" s="25"/>
      <c r="I1058" s="25"/>
      <c r="J1058" s="25"/>
      <c r="K1058" s="25"/>
      <c r="L1058" s="25"/>
      <c r="M1058" s="25"/>
    </row>
    <row r="1059" spans="1:13" ht="45">
      <c r="A1059" s="15" t="s">
        <v>948</v>
      </c>
      <c r="B1059" s="10" t="s">
        <v>23</v>
      </c>
      <c r="C1059" s="10" t="s">
        <v>66</v>
      </c>
      <c r="D1059" s="18" t="s">
        <v>940</v>
      </c>
      <c r="E1059" s="9"/>
      <c r="F1059" s="9"/>
      <c r="G1059" s="9"/>
      <c r="H1059" s="9"/>
      <c r="I1059" s="9"/>
      <c r="J1059" s="9"/>
      <c r="K1059" s="16">
        <f>K1063</f>
        <v>13</v>
      </c>
      <c r="L1059" s="17">
        <f>L1063</f>
        <v>0</v>
      </c>
      <c r="M1059" s="17">
        <f>M1063</f>
        <v>0</v>
      </c>
    </row>
    <row r="1060" spans="1:13">
      <c r="A1060" s="9"/>
      <c r="B1060" s="9"/>
      <c r="C1060" s="9"/>
      <c r="D1060" s="18" t="s">
        <v>949</v>
      </c>
      <c r="E1060" s="9"/>
      <c r="F1060" s="9"/>
      <c r="G1060" s="9"/>
      <c r="H1060" s="9"/>
      <c r="I1060" s="9"/>
      <c r="J1060" s="9"/>
      <c r="K1060" s="9"/>
      <c r="L1060" s="9"/>
      <c r="M1060" s="9"/>
    </row>
    <row r="1061" spans="1:13">
      <c r="A1061" s="9"/>
      <c r="B1061" s="9"/>
      <c r="C1061" s="10" t="s">
        <v>27</v>
      </c>
      <c r="D1061" s="30"/>
      <c r="E1061" s="10" t="s">
        <v>934</v>
      </c>
      <c r="F1061" s="19">
        <v>1</v>
      </c>
      <c r="G1061" s="20">
        <v>12.62</v>
      </c>
      <c r="H1061" s="20">
        <v>0</v>
      </c>
      <c r="I1061" s="20">
        <v>0</v>
      </c>
      <c r="J1061" s="16">
        <f>OR(F1061&lt;&gt;0,G1061&lt;&gt;0,H1061&lt;&gt;0,I1061&lt;&gt;0)*(F1061 + (F1061 = 0))*(G1061 + (G1061 = 0))*(H1061 + (H1061 = 0))*(I1061 + (I1061 = 0))</f>
        <v>12.62</v>
      </c>
      <c r="K1061" s="9"/>
      <c r="L1061" s="9"/>
      <c r="M1061" s="9"/>
    </row>
    <row r="1062" spans="1:13">
      <c r="A1062" s="9"/>
      <c r="B1062" s="9"/>
      <c r="C1062" s="10" t="s">
        <v>27</v>
      </c>
      <c r="D1062" s="30"/>
      <c r="E1062" s="10" t="s">
        <v>946</v>
      </c>
      <c r="F1062" s="19">
        <v>1</v>
      </c>
      <c r="G1062" s="20">
        <v>0.38</v>
      </c>
      <c r="H1062" s="20">
        <v>0</v>
      </c>
      <c r="I1062" s="20">
        <v>0</v>
      </c>
      <c r="J1062" s="16">
        <f>OR(F1062&lt;&gt;0,G1062&lt;&gt;0,H1062&lt;&gt;0,I1062&lt;&gt;0)*(F1062 + (F1062 = 0))*(G1062 + (G1062 = 0))*(H1062 + (H1062 = 0))*(I1062 + (I1062 = 0))</f>
        <v>0.38</v>
      </c>
      <c r="K1062" s="9"/>
      <c r="L1062" s="9"/>
      <c r="M1062" s="9"/>
    </row>
    <row r="1063" spans="1:13">
      <c r="A1063" s="9"/>
      <c r="B1063" s="9"/>
      <c r="C1063" s="9"/>
      <c r="D1063" s="30"/>
      <c r="E1063" s="9"/>
      <c r="F1063" s="9"/>
      <c r="G1063" s="9"/>
      <c r="H1063" s="9"/>
      <c r="I1063" s="9"/>
      <c r="J1063" s="21" t="s">
        <v>950</v>
      </c>
      <c r="K1063" s="22">
        <f>SUM(J1061:J1062)</f>
        <v>13</v>
      </c>
      <c r="L1063" s="23">
        <v>0</v>
      </c>
      <c r="M1063" s="24">
        <f>ROUND(K1063*L1063,2)</f>
        <v>0</v>
      </c>
    </row>
    <row r="1064" spans="1:13" ht="0.95" customHeight="1">
      <c r="A1064" s="25"/>
      <c r="B1064" s="25"/>
      <c r="C1064" s="25"/>
      <c r="D1064" s="31"/>
      <c r="E1064" s="25"/>
      <c r="F1064" s="25"/>
      <c r="G1064" s="25"/>
      <c r="H1064" s="25"/>
      <c r="I1064" s="25"/>
      <c r="J1064" s="25"/>
      <c r="K1064" s="25"/>
      <c r="L1064" s="25"/>
      <c r="M1064" s="25"/>
    </row>
    <row r="1065" spans="1:13" ht="45">
      <c r="A1065" s="15" t="s">
        <v>951</v>
      </c>
      <c r="B1065" s="10" t="s">
        <v>23</v>
      </c>
      <c r="C1065" s="10" t="s">
        <v>66</v>
      </c>
      <c r="D1065" s="18" t="s">
        <v>940</v>
      </c>
      <c r="E1065" s="9"/>
      <c r="F1065" s="9"/>
      <c r="G1065" s="9"/>
      <c r="H1065" s="9"/>
      <c r="I1065" s="9"/>
      <c r="J1065" s="9"/>
      <c r="K1065" s="16">
        <f>K1068</f>
        <v>7.82</v>
      </c>
      <c r="L1065" s="17">
        <f>L1068</f>
        <v>0</v>
      </c>
      <c r="M1065" s="17">
        <f>M1068</f>
        <v>0</v>
      </c>
    </row>
    <row r="1066" spans="1:13">
      <c r="A1066" s="9"/>
      <c r="B1066" s="9"/>
      <c r="C1066" s="9"/>
      <c r="D1066" s="18" t="s">
        <v>952</v>
      </c>
      <c r="E1066" s="9"/>
      <c r="F1066" s="9"/>
      <c r="G1066" s="9"/>
      <c r="H1066" s="9"/>
      <c r="I1066" s="9"/>
      <c r="J1066" s="9"/>
      <c r="K1066" s="9"/>
      <c r="L1066" s="9"/>
      <c r="M1066" s="9"/>
    </row>
    <row r="1067" spans="1:13">
      <c r="A1067" s="9"/>
      <c r="B1067" s="9"/>
      <c r="C1067" s="10" t="s">
        <v>27</v>
      </c>
      <c r="D1067" s="30"/>
      <c r="E1067" s="10" t="s">
        <v>946</v>
      </c>
      <c r="F1067" s="19">
        <v>1</v>
      </c>
      <c r="G1067" s="20">
        <v>7.82</v>
      </c>
      <c r="H1067" s="20">
        <v>0</v>
      </c>
      <c r="I1067" s="20">
        <v>0</v>
      </c>
      <c r="J1067" s="16">
        <f>OR(F1067&lt;&gt;0,G1067&lt;&gt;0,H1067&lt;&gt;0,I1067&lt;&gt;0)*(F1067 + (F1067 = 0))*(G1067 + (G1067 = 0))*(H1067 + (H1067 = 0))*(I1067 + (I1067 = 0))</f>
        <v>7.82</v>
      </c>
      <c r="K1067" s="9"/>
      <c r="L1067" s="9"/>
      <c r="M1067" s="9"/>
    </row>
    <row r="1068" spans="1:13">
      <c r="A1068" s="9"/>
      <c r="B1068" s="9"/>
      <c r="C1068" s="9"/>
      <c r="D1068" s="30"/>
      <c r="E1068" s="9"/>
      <c r="F1068" s="9"/>
      <c r="G1068" s="9"/>
      <c r="H1068" s="9"/>
      <c r="I1068" s="9"/>
      <c r="J1068" s="21" t="s">
        <v>953</v>
      </c>
      <c r="K1068" s="22">
        <f>J1067</f>
        <v>7.82</v>
      </c>
      <c r="L1068" s="23">
        <v>0</v>
      </c>
      <c r="M1068" s="24">
        <f>ROUND(K1068*L1068,2)</f>
        <v>0</v>
      </c>
    </row>
    <row r="1069" spans="1:13" ht="0.95" customHeight="1">
      <c r="A1069" s="25"/>
      <c r="B1069" s="25"/>
      <c r="C1069" s="25"/>
      <c r="D1069" s="31"/>
      <c r="E1069" s="25"/>
      <c r="F1069" s="25"/>
      <c r="G1069" s="25"/>
      <c r="H1069" s="25"/>
      <c r="I1069" s="25"/>
      <c r="J1069" s="25"/>
      <c r="K1069" s="25"/>
      <c r="L1069" s="25"/>
      <c r="M1069" s="25"/>
    </row>
    <row r="1070" spans="1:13" ht="33.75">
      <c r="A1070" s="15" t="s">
        <v>954</v>
      </c>
      <c r="B1070" s="10" t="s">
        <v>23</v>
      </c>
      <c r="C1070" s="10" t="s">
        <v>4</v>
      </c>
      <c r="D1070" s="18" t="s">
        <v>955</v>
      </c>
      <c r="E1070" s="9"/>
      <c r="F1070" s="9"/>
      <c r="G1070" s="9"/>
      <c r="H1070" s="9"/>
      <c r="I1070" s="9"/>
      <c r="J1070" s="9"/>
      <c r="K1070" s="16">
        <f>K1073</f>
        <v>16</v>
      </c>
      <c r="L1070" s="17">
        <f>L1073</f>
        <v>0</v>
      </c>
      <c r="M1070" s="17">
        <f>M1073</f>
        <v>0</v>
      </c>
    </row>
    <row r="1071" spans="1:13" ht="56.25">
      <c r="A1071" s="9"/>
      <c r="B1071" s="9"/>
      <c r="C1071" s="9"/>
      <c r="D1071" s="18" t="s">
        <v>956</v>
      </c>
      <c r="E1071" s="9"/>
      <c r="F1071" s="9"/>
      <c r="G1071" s="9"/>
      <c r="H1071" s="9"/>
      <c r="I1071" s="9"/>
      <c r="J1071" s="9"/>
      <c r="K1071" s="9"/>
      <c r="L1071" s="9"/>
      <c r="M1071" s="9"/>
    </row>
    <row r="1072" spans="1:13">
      <c r="A1072" s="9"/>
      <c r="B1072" s="9"/>
      <c r="C1072" s="10" t="s">
        <v>27</v>
      </c>
      <c r="D1072" s="30"/>
      <c r="E1072" s="10" t="s">
        <v>957</v>
      </c>
      <c r="F1072" s="19">
        <v>1</v>
      </c>
      <c r="G1072" s="20">
        <v>16</v>
      </c>
      <c r="H1072" s="20">
        <v>0</v>
      </c>
      <c r="I1072" s="20">
        <v>0</v>
      </c>
      <c r="J1072" s="16">
        <f>OR(F1072&lt;&gt;0,G1072&lt;&gt;0,H1072&lt;&gt;0,I1072&lt;&gt;0)*(F1072 + (F1072 = 0))*(G1072 + (G1072 = 0))*(H1072 + (H1072 = 0))*(I1072 + (I1072 = 0))</f>
        <v>16</v>
      </c>
      <c r="K1072" s="9"/>
      <c r="L1072" s="9"/>
      <c r="M1072" s="9"/>
    </row>
    <row r="1073" spans="1:13">
      <c r="A1073" s="9"/>
      <c r="B1073" s="9"/>
      <c r="C1073" s="9"/>
      <c r="D1073" s="30"/>
      <c r="E1073" s="9"/>
      <c r="F1073" s="9"/>
      <c r="G1073" s="9"/>
      <c r="H1073" s="9"/>
      <c r="I1073" s="9"/>
      <c r="J1073" s="21" t="s">
        <v>958</v>
      </c>
      <c r="K1073" s="22">
        <f>J1072</f>
        <v>16</v>
      </c>
      <c r="L1073" s="23">
        <v>0</v>
      </c>
      <c r="M1073" s="24">
        <f>ROUND(K1073*L1073,2)</f>
        <v>0</v>
      </c>
    </row>
    <row r="1074" spans="1:13" ht="0.95" customHeight="1">
      <c r="A1074" s="25"/>
      <c r="B1074" s="25"/>
      <c r="C1074" s="25"/>
      <c r="D1074" s="31"/>
      <c r="E1074" s="25"/>
      <c r="F1074" s="25"/>
      <c r="G1074" s="25"/>
      <c r="H1074" s="25"/>
      <c r="I1074" s="25"/>
      <c r="J1074" s="25"/>
      <c r="K1074" s="25"/>
      <c r="L1074" s="25"/>
      <c r="M1074" s="25"/>
    </row>
    <row r="1075" spans="1:13" ht="33.75">
      <c r="A1075" s="15" t="s">
        <v>959</v>
      </c>
      <c r="B1075" s="10" t="s">
        <v>23</v>
      </c>
      <c r="C1075" s="10" t="s">
        <v>4</v>
      </c>
      <c r="D1075" s="18" t="s">
        <v>960</v>
      </c>
      <c r="E1075" s="9"/>
      <c r="F1075" s="9"/>
      <c r="G1075" s="9"/>
      <c r="H1075" s="9"/>
      <c r="I1075" s="9"/>
      <c r="J1075" s="9"/>
      <c r="K1075" s="16">
        <f>K1078</f>
        <v>1</v>
      </c>
      <c r="L1075" s="17">
        <f>L1078</f>
        <v>0</v>
      </c>
      <c r="M1075" s="17">
        <f>M1078</f>
        <v>0</v>
      </c>
    </row>
    <row r="1076" spans="1:13" ht="56.25">
      <c r="A1076" s="9"/>
      <c r="B1076" s="9"/>
      <c r="C1076" s="9"/>
      <c r="D1076" s="18" t="s">
        <v>961</v>
      </c>
      <c r="E1076" s="9"/>
      <c r="F1076" s="9"/>
      <c r="G1076" s="9"/>
      <c r="H1076" s="9"/>
      <c r="I1076" s="9"/>
      <c r="J1076" s="9"/>
      <c r="K1076" s="9"/>
      <c r="L1076" s="9"/>
      <c r="M1076" s="9"/>
    </row>
    <row r="1077" spans="1:13">
      <c r="A1077" s="9"/>
      <c r="B1077" s="9"/>
      <c r="C1077" s="10" t="s">
        <v>27</v>
      </c>
      <c r="D1077" s="30"/>
      <c r="E1077" s="10" t="s">
        <v>962</v>
      </c>
      <c r="F1077" s="19">
        <v>1</v>
      </c>
      <c r="G1077" s="20">
        <v>1</v>
      </c>
      <c r="H1077" s="20">
        <v>0</v>
      </c>
      <c r="I1077" s="20">
        <v>0</v>
      </c>
      <c r="J1077" s="16">
        <f>OR(F1077&lt;&gt;0,G1077&lt;&gt;0,H1077&lt;&gt;0,I1077&lt;&gt;0)*(F1077 + (F1077 = 0))*(G1077 + (G1077 = 0))*(H1077 + (H1077 = 0))*(I1077 + (I1077 = 0))</f>
        <v>1</v>
      </c>
      <c r="K1077" s="9"/>
      <c r="L1077" s="9"/>
      <c r="M1077" s="9"/>
    </row>
    <row r="1078" spans="1:13">
      <c r="A1078" s="9"/>
      <c r="B1078" s="9"/>
      <c r="C1078" s="9"/>
      <c r="D1078" s="30"/>
      <c r="E1078" s="9"/>
      <c r="F1078" s="9"/>
      <c r="G1078" s="9"/>
      <c r="H1078" s="9"/>
      <c r="I1078" s="9"/>
      <c r="J1078" s="21" t="s">
        <v>963</v>
      </c>
      <c r="K1078" s="22">
        <f>J1077</f>
        <v>1</v>
      </c>
      <c r="L1078" s="23">
        <v>0</v>
      </c>
      <c r="M1078" s="24">
        <f>ROUND(K1078*L1078,2)</f>
        <v>0</v>
      </c>
    </row>
    <row r="1079" spans="1:13" ht="0.95" customHeight="1">
      <c r="A1079" s="25"/>
      <c r="B1079" s="25"/>
      <c r="C1079" s="25"/>
      <c r="D1079" s="31"/>
      <c r="E1079" s="25"/>
      <c r="F1079" s="25"/>
      <c r="G1079" s="25"/>
      <c r="H1079" s="25"/>
      <c r="I1079" s="25"/>
      <c r="J1079" s="25"/>
      <c r="K1079" s="25"/>
      <c r="L1079" s="25"/>
      <c r="M1079" s="25"/>
    </row>
    <row r="1080" spans="1:13">
      <c r="A1080" s="9"/>
      <c r="B1080" s="9"/>
      <c r="C1080" s="9"/>
      <c r="D1080" s="30"/>
      <c r="E1080" s="9"/>
      <c r="F1080" s="9"/>
      <c r="G1080" s="9"/>
      <c r="H1080" s="9"/>
      <c r="I1080" s="9"/>
      <c r="J1080" s="21" t="s">
        <v>964</v>
      </c>
      <c r="K1080" s="20">
        <v>1</v>
      </c>
      <c r="L1080" s="24">
        <f>M1037+M1039+M1044+M1046+M1052+M1059+M1065+M1070+M1075</f>
        <v>0</v>
      </c>
      <c r="M1080" s="24">
        <f>ROUND(K1080*L1080,2)</f>
        <v>0</v>
      </c>
    </row>
    <row r="1081" spans="1:13" ht="0.95" customHeight="1">
      <c r="A1081" s="25"/>
      <c r="B1081" s="25"/>
      <c r="C1081" s="25"/>
      <c r="D1081" s="31"/>
      <c r="E1081" s="25"/>
      <c r="F1081" s="25"/>
      <c r="G1081" s="25"/>
      <c r="H1081" s="25"/>
      <c r="I1081" s="25"/>
      <c r="J1081" s="25"/>
      <c r="K1081" s="25"/>
      <c r="L1081" s="25"/>
      <c r="M1081" s="25"/>
    </row>
    <row r="1082" spans="1:13">
      <c r="A1082" s="11" t="s">
        <v>965</v>
      </c>
      <c r="B1082" s="11" t="s">
        <v>16</v>
      </c>
      <c r="C1082" s="11" t="s">
        <v>17</v>
      </c>
      <c r="D1082" s="29" t="s">
        <v>966</v>
      </c>
      <c r="E1082" s="12"/>
      <c r="F1082" s="12"/>
      <c r="G1082" s="12"/>
      <c r="H1082" s="12"/>
      <c r="I1082" s="12"/>
      <c r="J1082" s="12"/>
      <c r="K1082" s="13">
        <f>K1090</f>
        <v>1</v>
      </c>
      <c r="L1082" s="14">
        <f>L1090</f>
        <v>0</v>
      </c>
      <c r="M1082" s="14">
        <f>M1090</f>
        <v>0</v>
      </c>
    </row>
    <row r="1083" spans="1:13" ht="45">
      <c r="A1083" s="15" t="s">
        <v>967</v>
      </c>
      <c r="B1083" s="10" t="s">
        <v>23</v>
      </c>
      <c r="C1083" s="10" t="s">
        <v>4</v>
      </c>
      <c r="D1083" s="18" t="s">
        <v>968</v>
      </c>
      <c r="E1083" s="9"/>
      <c r="F1083" s="9"/>
      <c r="G1083" s="9"/>
      <c r="H1083" s="9"/>
      <c r="I1083" s="9"/>
      <c r="J1083" s="9"/>
      <c r="K1083" s="16">
        <f>K1086</f>
        <v>1</v>
      </c>
      <c r="L1083" s="17">
        <f>L1086</f>
        <v>0</v>
      </c>
      <c r="M1083" s="17">
        <f>M1086</f>
        <v>0</v>
      </c>
    </row>
    <row r="1084" spans="1:13">
      <c r="A1084" s="9"/>
      <c r="B1084" s="9"/>
      <c r="C1084" s="9"/>
      <c r="D1084" s="18" t="s">
        <v>969</v>
      </c>
      <c r="E1084" s="9"/>
      <c r="F1084" s="9"/>
      <c r="G1084" s="9"/>
      <c r="H1084" s="9"/>
      <c r="I1084" s="9"/>
      <c r="J1084" s="9"/>
      <c r="K1084" s="9"/>
      <c r="L1084" s="9"/>
      <c r="M1084" s="9"/>
    </row>
    <row r="1085" spans="1:13">
      <c r="A1085" s="9"/>
      <c r="B1085" s="9"/>
      <c r="C1085" s="10" t="s">
        <v>27</v>
      </c>
      <c r="D1085" s="30"/>
      <c r="E1085" s="10" t="s">
        <v>772</v>
      </c>
      <c r="F1085" s="19">
        <v>1</v>
      </c>
      <c r="G1085" s="20">
        <v>0</v>
      </c>
      <c r="H1085" s="20">
        <v>0</v>
      </c>
      <c r="I1085" s="20">
        <v>0</v>
      </c>
      <c r="J1085" s="16">
        <f>OR(F1085&lt;&gt;0,G1085&lt;&gt;0,H1085&lt;&gt;0,I1085&lt;&gt;0)*(F1085 + (F1085 = 0))*(G1085 + (G1085 = 0))*(H1085 + (H1085 = 0))*(I1085 + (I1085 = 0))</f>
        <v>1</v>
      </c>
      <c r="K1085" s="9"/>
      <c r="L1085" s="9"/>
      <c r="M1085" s="9"/>
    </row>
    <row r="1086" spans="1:13">
      <c r="A1086" s="9"/>
      <c r="B1086" s="9"/>
      <c r="C1086" s="9"/>
      <c r="D1086" s="30"/>
      <c r="E1086" s="9"/>
      <c r="F1086" s="9"/>
      <c r="G1086" s="9"/>
      <c r="H1086" s="9"/>
      <c r="I1086" s="9"/>
      <c r="J1086" s="21" t="s">
        <v>970</v>
      </c>
      <c r="K1086" s="22">
        <f>J1085</f>
        <v>1</v>
      </c>
      <c r="L1086" s="23">
        <v>0</v>
      </c>
      <c r="M1086" s="24">
        <f>ROUND(K1086*L1086,2)</f>
        <v>0</v>
      </c>
    </row>
    <row r="1087" spans="1:13" ht="0.95" customHeight="1">
      <c r="A1087" s="25"/>
      <c r="B1087" s="25"/>
      <c r="C1087" s="25"/>
      <c r="D1087" s="31"/>
      <c r="E1087" s="25"/>
      <c r="F1087" s="25"/>
      <c r="G1087" s="25"/>
      <c r="H1087" s="25"/>
      <c r="I1087" s="25"/>
      <c r="J1087" s="25"/>
      <c r="K1087" s="25"/>
      <c r="L1087" s="25"/>
      <c r="M1087" s="25"/>
    </row>
    <row r="1088" spans="1:13" ht="33.75">
      <c r="A1088" s="15" t="s">
        <v>971</v>
      </c>
      <c r="B1088" s="10" t="s">
        <v>23</v>
      </c>
      <c r="C1088" s="10" t="s">
        <v>4</v>
      </c>
      <c r="D1088" s="18" t="s">
        <v>972</v>
      </c>
      <c r="E1088" s="9"/>
      <c r="F1088" s="9"/>
      <c r="G1088" s="9"/>
      <c r="H1088" s="9"/>
      <c r="I1088" s="9"/>
      <c r="J1088" s="9"/>
      <c r="K1088" s="20">
        <v>1</v>
      </c>
      <c r="L1088" s="23">
        <v>0</v>
      </c>
      <c r="M1088" s="17">
        <f>ROUND(K1088*L1088,2)</f>
        <v>0</v>
      </c>
    </row>
    <row r="1089" spans="1:13">
      <c r="A1089" s="9"/>
      <c r="B1089" s="9"/>
      <c r="C1089" s="9"/>
      <c r="D1089" s="18" t="s">
        <v>973</v>
      </c>
      <c r="E1089" s="9"/>
      <c r="F1089" s="9"/>
      <c r="G1089" s="9"/>
      <c r="H1089" s="9"/>
      <c r="I1089" s="9"/>
      <c r="J1089" s="9"/>
      <c r="K1089" s="9"/>
      <c r="L1089" s="9"/>
      <c r="M1089" s="9"/>
    </row>
    <row r="1090" spans="1:13">
      <c r="A1090" s="9"/>
      <c r="B1090" s="9"/>
      <c r="C1090" s="9"/>
      <c r="D1090" s="30"/>
      <c r="E1090" s="9"/>
      <c r="F1090" s="9"/>
      <c r="G1090" s="9"/>
      <c r="H1090" s="9"/>
      <c r="I1090" s="9"/>
      <c r="J1090" s="21" t="s">
        <v>974</v>
      </c>
      <c r="K1090" s="20">
        <v>1</v>
      </c>
      <c r="L1090" s="24">
        <f>M1083+M1088</f>
        <v>0</v>
      </c>
      <c r="M1090" s="24">
        <f>ROUND(K1090*L1090,2)</f>
        <v>0</v>
      </c>
    </row>
    <row r="1091" spans="1:13" ht="0.95" customHeight="1">
      <c r="A1091" s="25"/>
      <c r="B1091" s="25"/>
      <c r="C1091" s="25"/>
      <c r="D1091" s="31"/>
      <c r="E1091" s="25"/>
      <c r="F1091" s="25"/>
      <c r="G1091" s="25"/>
      <c r="H1091" s="25"/>
      <c r="I1091" s="25"/>
      <c r="J1091" s="25"/>
      <c r="K1091" s="25"/>
      <c r="L1091" s="25"/>
      <c r="M1091" s="25"/>
    </row>
    <row r="1092" spans="1:13">
      <c r="A1092" s="11" t="s">
        <v>975</v>
      </c>
      <c r="B1092" s="11" t="s">
        <v>16</v>
      </c>
      <c r="C1092" s="11" t="s">
        <v>17</v>
      </c>
      <c r="D1092" s="29" t="s">
        <v>976</v>
      </c>
      <c r="E1092" s="12"/>
      <c r="F1092" s="12"/>
      <c r="G1092" s="12"/>
      <c r="H1092" s="12"/>
      <c r="I1092" s="12"/>
      <c r="J1092" s="12"/>
      <c r="K1092" s="13">
        <f>K1109</f>
        <v>1</v>
      </c>
      <c r="L1092" s="14">
        <f>L1109</f>
        <v>0</v>
      </c>
      <c r="M1092" s="14">
        <f>M1109</f>
        <v>0</v>
      </c>
    </row>
    <row r="1093" spans="1:13" ht="33.75">
      <c r="A1093" s="15" t="s">
        <v>977</v>
      </c>
      <c r="B1093" s="10" t="s">
        <v>23</v>
      </c>
      <c r="C1093" s="10" t="s">
        <v>66</v>
      </c>
      <c r="D1093" s="18" t="s">
        <v>978</v>
      </c>
      <c r="E1093" s="9"/>
      <c r="F1093" s="9"/>
      <c r="G1093" s="9"/>
      <c r="H1093" s="9"/>
      <c r="I1093" s="9"/>
      <c r="J1093" s="9"/>
      <c r="K1093" s="20">
        <v>17.45</v>
      </c>
      <c r="L1093" s="23">
        <v>0</v>
      </c>
      <c r="M1093" s="17">
        <f>ROUND(K1093*L1093,2)</f>
        <v>0</v>
      </c>
    </row>
    <row r="1094" spans="1:13">
      <c r="A1094" s="9"/>
      <c r="B1094" s="9"/>
      <c r="C1094" s="9"/>
      <c r="D1094" s="18" t="s">
        <v>979</v>
      </c>
      <c r="E1094" s="9"/>
      <c r="F1094" s="9"/>
      <c r="G1094" s="9"/>
      <c r="H1094" s="9"/>
      <c r="I1094" s="9"/>
      <c r="J1094" s="9"/>
      <c r="K1094" s="9"/>
      <c r="L1094" s="9"/>
      <c r="M1094" s="9"/>
    </row>
    <row r="1095" spans="1:13" ht="33.75">
      <c r="A1095" s="15" t="s">
        <v>980</v>
      </c>
      <c r="B1095" s="10" t="s">
        <v>23</v>
      </c>
      <c r="C1095" s="10" t="s">
        <v>4</v>
      </c>
      <c r="D1095" s="18" t="s">
        <v>981</v>
      </c>
      <c r="E1095" s="9"/>
      <c r="F1095" s="9"/>
      <c r="G1095" s="9"/>
      <c r="H1095" s="9"/>
      <c r="I1095" s="9"/>
      <c r="J1095" s="9"/>
      <c r="K1095" s="20">
        <v>1</v>
      </c>
      <c r="L1095" s="23">
        <v>0</v>
      </c>
      <c r="M1095" s="17">
        <f>ROUND(K1095*L1095,2)</f>
        <v>0</v>
      </c>
    </row>
    <row r="1096" spans="1:13">
      <c r="A1096" s="9"/>
      <c r="B1096" s="9"/>
      <c r="C1096" s="9"/>
      <c r="D1096" s="18" t="s">
        <v>982</v>
      </c>
      <c r="E1096" s="9"/>
      <c r="F1096" s="9"/>
      <c r="G1096" s="9"/>
      <c r="H1096" s="9"/>
      <c r="I1096" s="9"/>
      <c r="J1096" s="9"/>
      <c r="K1096" s="9"/>
      <c r="L1096" s="9"/>
      <c r="M1096" s="9"/>
    </row>
    <row r="1097" spans="1:13" ht="33.75">
      <c r="A1097" s="15" t="s">
        <v>983</v>
      </c>
      <c r="B1097" s="10" t="s">
        <v>23</v>
      </c>
      <c r="C1097" s="10" t="s">
        <v>66</v>
      </c>
      <c r="D1097" s="18" t="s">
        <v>984</v>
      </c>
      <c r="E1097" s="9"/>
      <c r="F1097" s="9"/>
      <c r="G1097" s="9"/>
      <c r="H1097" s="9"/>
      <c r="I1097" s="9"/>
      <c r="J1097" s="9"/>
      <c r="K1097" s="20">
        <v>12.21</v>
      </c>
      <c r="L1097" s="23">
        <v>0</v>
      </c>
      <c r="M1097" s="17">
        <f>ROUND(K1097*L1097,2)</f>
        <v>0</v>
      </c>
    </row>
    <row r="1098" spans="1:13">
      <c r="A1098" s="9"/>
      <c r="B1098" s="9"/>
      <c r="C1098" s="9"/>
      <c r="D1098" s="18" t="s">
        <v>985</v>
      </c>
      <c r="E1098" s="9"/>
      <c r="F1098" s="9"/>
      <c r="G1098" s="9"/>
      <c r="H1098" s="9"/>
      <c r="I1098" s="9"/>
      <c r="J1098" s="9"/>
      <c r="K1098" s="9"/>
      <c r="L1098" s="9"/>
      <c r="M1098" s="9"/>
    </row>
    <row r="1099" spans="1:13" ht="33.75">
      <c r="A1099" s="15" t="s">
        <v>986</v>
      </c>
      <c r="B1099" s="10" t="s">
        <v>23</v>
      </c>
      <c r="C1099" s="10" t="s">
        <v>66</v>
      </c>
      <c r="D1099" s="18" t="s">
        <v>987</v>
      </c>
      <c r="E1099" s="9"/>
      <c r="F1099" s="9"/>
      <c r="G1099" s="9"/>
      <c r="H1099" s="9"/>
      <c r="I1099" s="9"/>
      <c r="J1099" s="9"/>
      <c r="K1099" s="20">
        <v>3</v>
      </c>
      <c r="L1099" s="23">
        <v>0</v>
      </c>
      <c r="M1099" s="17">
        <f>ROUND(K1099*L1099,2)</f>
        <v>0</v>
      </c>
    </row>
    <row r="1100" spans="1:13">
      <c r="A1100" s="9"/>
      <c r="B1100" s="9"/>
      <c r="C1100" s="9"/>
      <c r="D1100" s="18" t="s">
        <v>988</v>
      </c>
      <c r="E1100" s="9"/>
      <c r="F1100" s="9"/>
      <c r="G1100" s="9"/>
      <c r="H1100" s="9"/>
      <c r="I1100" s="9"/>
      <c r="J1100" s="9"/>
      <c r="K1100" s="9"/>
      <c r="L1100" s="9"/>
      <c r="M1100" s="9"/>
    </row>
    <row r="1101" spans="1:13" ht="33.75">
      <c r="A1101" s="15" t="s">
        <v>989</v>
      </c>
      <c r="B1101" s="10" t="s">
        <v>23</v>
      </c>
      <c r="C1101" s="10" t="s">
        <v>66</v>
      </c>
      <c r="D1101" s="18" t="s">
        <v>990</v>
      </c>
      <c r="E1101" s="9"/>
      <c r="F1101" s="9"/>
      <c r="G1101" s="9"/>
      <c r="H1101" s="9"/>
      <c r="I1101" s="9"/>
      <c r="J1101" s="9"/>
      <c r="K1101" s="20">
        <v>9.43</v>
      </c>
      <c r="L1101" s="23">
        <v>0</v>
      </c>
      <c r="M1101" s="17">
        <f>ROUND(K1101*L1101,2)</f>
        <v>0</v>
      </c>
    </row>
    <row r="1102" spans="1:13">
      <c r="A1102" s="9"/>
      <c r="B1102" s="9"/>
      <c r="C1102" s="9"/>
      <c r="D1102" s="18" t="s">
        <v>991</v>
      </c>
      <c r="E1102" s="9"/>
      <c r="F1102" s="9"/>
      <c r="G1102" s="9"/>
      <c r="H1102" s="9"/>
      <c r="I1102" s="9"/>
      <c r="J1102" s="9"/>
      <c r="K1102" s="9"/>
      <c r="L1102" s="9"/>
      <c r="M1102" s="9"/>
    </row>
    <row r="1103" spans="1:13" ht="33.75">
      <c r="A1103" s="15" t="s">
        <v>992</v>
      </c>
      <c r="B1103" s="10" t="s">
        <v>23</v>
      </c>
      <c r="C1103" s="10" t="s">
        <v>66</v>
      </c>
      <c r="D1103" s="18" t="s">
        <v>993</v>
      </c>
      <c r="E1103" s="9"/>
      <c r="F1103" s="9"/>
      <c r="G1103" s="9"/>
      <c r="H1103" s="9"/>
      <c r="I1103" s="9"/>
      <c r="J1103" s="9"/>
      <c r="K1103" s="20">
        <v>1.45</v>
      </c>
      <c r="L1103" s="23">
        <v>0</v>
      </c>
      <c r="M1103" s="17">
        <f>ROUND(K1103*L1103,2)</f>
        <v>0</v>
      </c>
    </row>
    <row r="1104" spans="1:13">
      <c r="A1104" s="9"/>
      <c r="B1104" s="9"/>
      <c r="C1104" s="9"/>
      <c r="D1104" s="18" t="s">
        <v>994</v>
      </c>
      <c r="E1104" s="9"/>
      <c r="F1104" s="9"/>
      <c r="G1104" s="9"/>
      <c r="H1104" s="9"/>
      <c r="I1104" s="9"/>
      <c r="J1104" s="9"/>
      <c r="K1104" s="9"/>
      <c r="L1104" s="9"/>
      <c r="M1104" s="9"/>
    </row>
    <row r="1105" spans="1:13" ht="33.75">
      <c r="A1105" s="15" t="s">
        <v>995</v>
      </c>
      <c r="B1105" s="10" t="s">
        <v>23</v>
      </c>
      <c r="C1105" s="10" t="s">
        <v>66</v>
      </c>
      <c r="D1105" s="18" t="s">
        <v>996</v>
      </c>
      <c r="E1105" s="9"/>
      <c r="F1105" s="9"/>
      <c r="G1105" s="9"/>
      <c r="H1105" s="9"/>
      <c r="I1105" s="9"/>
      <c r="J1105" s="9"/>
      <c r="K1105" s="20">
        <v>7.88</v>
      </c>
      <c r="L1105" s="23">
        <v>0</v>
      </c>
      <c r="M1105" s="17">
        <f>ROUND(K1105*L1105,2)</f>
        <v>0</v>
      </c>
    </row>
    <row r="1106" spans="1:13">
      <c r="A1106" s="9"/>
      <c r="B1106" s="9"/>
      <c r="C1106" s="9"/>
      <c r="D1106" s="18" t="s">
        <v>997</v>
      </c>
      <c r="E1106" s="9"/>
      <c r="F1106" s="9"/>
      <c r="G1106" s="9"/>
      <c r="H1106" s="9"/>
      <c r="I1106" s="9"/>
      <c r="J1106" s="9"/>
      <c r="K1106" s="9"/>
      <c r="L1106" s="9"/>
      <c r="M1106" s="9"/>
    </row>
    <row r="1107" spans="1:13" ht="33.75">
      <c r="A1107" s="15" t="s">
        <v>998</v>
      </c>
      <c r="B1107" s="10" t="s">
        <v>23</v>
      </c>
      <c r="C1107" s="10" t="s">
        <v>4</v>
      </c>
      <c r="D1107" s="18" t="s">
        <v>999</v>
      </c>
      <c r="E1107" s="9"/>
      <c r="F1107" s="9"/>
      <c r="G1107" s="9"/>
      <c r="H1107" s="9"/>
      <c r="I1107" s="9"/>
      <c r="J1107" s="9"/>
      <c r="K1107" s="20">
        <v>3</v>
      </c>
      <c r="L1107" s="23">
        <v>0</v>
      </c>
      <c r="M1107" s="17">
        <f>ROUND(K1107*L1107,2)</f>
        <v>0</v>
      </c>
    </row>
    <row r="1108" spans="1:13" ht="67.5">
      <c r="A1108" s="9"/>
      <c r="B1108" s="9"/>
      <c r="C1108" s="9"/>
      <c r="D1108" s="18" t="s">
        <v>1000</v>
      </c>
      <c r="E1108" s="9"/>
      <c r="F1108" s="9"/>
      <c r="G1108" s="9"/>
      <c r="H1108" s="9"/>
      <c r="I1108" s="9"/>
      <c r="J1108" s="9"/>
      <c r="K1108" s="9"/>
      <c r="L1108" s="9"/>
      <c r="M1108" s="9"/>
    </row>
    <row r="1109" spans="1:13">
      <c r="A1109" s="9"/>
      <c r="B1109" s="9"/>
      <c r="C1109" s="9"/>
      <c r="D1109" s="30"/>
      <c r="E1109" s="9"/>
      <c r="F1109" s="9"/>
      <c r="G1109" s="9"/>
      <c r="H1109" s="9"/>
      <c r="I1109" s="9"/>
      <c r="J1109" s="21" t="s">
        <v>1001</v>
      </c>
      <c r="K1109" s="20">
        <v>1</v>
      </c>
      <c r="L1109" s="24">
        <f>M1093+M1095+M1097+M1099+M1101+M1103+M1105+M1107</f>
        <v>0</v>
      </c>
      <c r="M1109" s="24">
        <f>ROUND(K1109*L1109,2)</f>
        <v>0</v>
      </c>
    </row>
    <row r="1110" spans="1:13" ht="0.95" customHeight="1">
      <c r="A1110" s="25"/>
      <c r="B1110" s="25"/>
      <c r="C1110" s="25"/>
      <c r="D1110" s="31"/>
      <c r="E1110" s="25"/>
      <c r="F1110" s="25"/>
      <c r="G1110" s="25"/>
      <c r="H1110" s="25"/>
      <c r="I1110" s="25"/>
      <c r="J1110" s="25"/>
      <c r="K1110" s="25"/>
      <c r="L1110" s="25"/>
      <c r="M1110" s="25"/>
    </row>
    <row r="1111" spans="1:13">
      <c r="A1111" s="11" t="s">
        <v>1002</v>
      </c>
      <c r="B1111" s="11" t="s">
        <v>16</v>
      </c>
      <c r="C1111" s="11" t="s">
        <v>17</v>
      </c>
      <c r="D1111" s="29" t="s">
        <v>1003</v>
      </c>
      <c r="E1111" s="12"/>
      <c r="F1111" s="12"/>
      <c r="G1111" s="12"/>
      <c r="H1111" s="12"/>
      <c r="I1111" s="12"/>
      <c r="J1111" s="12"/>
      <c r="K1111" s="13">
        <f>K1115</f>
        <v>1</v>
      </c>
      <c r="L1111" s="14">
        <f>L1115</f>
        <v>0</v>
      </c>
      <c r="M1111" s="14">
        <f>M1115</f>
        <v>0</v>
      </c>
    </row>
    <row r="1112" spans="1:13">
      <c r="A1112" s="9"/>
      <c r="B1112" s="9"/>
      <c r="C1112" s="9"/>
      <c r="D1112" s="18" t="s">
        <v>1003</v>
      </c>
      <c r="E1112" s="9"/>
      <c r="F1112" s="9"/>
      <c r="G1112" s="9"/>
      <c r="H1112" s="9"/>
      <c r="I1112" s="9"/>
      <c r="J1112" s="9"/>
      <c r="K1112" s="9"/>
      <c r="L1112" s="9"/>
      <c r="M1112" s="9"/>
    </row>
    <row r="1113" spans="1:13" ht="33.75">
      <c r="A1113" s="15" t="s">
        <v>1004</v>
      </c>
      <c r="B1113" s="10" t="s">
        <v>23</v>
      </c>
      <c r="C1113" s="10" t="s">
        <v>4</v>
      </c>
      <c r="D1113" s="18" t="s">
        <v>1005</v>
      </c>
      <c r="E1113" s="9"/>
      <c r="F1113" s="9"/>
      <c r="G1113" s="9"/>
      <c r="H1113" s="9"/>
      <c r="I1113" s="9"/>
      <c r="J1113" s="9"/>
      <c r="K1113" s="20">
        <v>0</v>
      </c>
      <c r="L1113" s="23">
        <v>0</v>
      </c>
      <c r="M1113" s="17">
        <f>ROUND(K1113*L1113,2)</f>
        <v>0</v>
      </c>
    </row>
    <row r="1114" spans="1:13">
      <c r="A1114" s="9"/>
      <c r="B1114" s="9"/>
      <c r="C1114" s="9"/>
      <c r="D1114" s="18" t="s">
        <v>1006</v>
      </c>
      <c r="E1114" s="9"/>
      <c r="F1114" s="9"/>
      <c r="G1114" s="9"/>
      <c r="H1114" s="9"/>
      <c r="I1114" s="9"/>
      <c r="J1114" s="9"/>
      <c r="K1114" s="9"/>
      <c r="L1114" s="9"/>
      <c r="M1114" s="9"/>
    </row>
    <row r="1115" spans="1:13">
      <c r="A1115" s="9"/>
      <c r="B1115" s="9"/>
      <c r="C1115" s="9"/>
      <c r="D1115" s="30"/>
      <c r="E1115" s="9"/>
      <c r="F1115" s="9"/>
      <c r="G1115" s="9"/>
      <c r="H1115" s="9"/>
      <c r="I1115" s="9"/>
      <c r="J1115" s="21" t="s">
        <v>1007</v>
      </c>
      <c r="K1115" s="20">
        <v>1</v>
      </c>
      <c r="L1115" s="23">
        <v>0</v>
      </c>
      <c r="M1115" s="24">
        <f>ROUND(K1115*L1115,2)</f>
        <v>0</v>
      </c>
    </row>
    <row r="1116" spans="1:13" ht="0.95" customHeight="1">
      <c r="A1116" s="25"/>
      <c r="B1116" s="25"/>
      <c r="C1116" s="25"/>
      <c r="D1116" s="31"/>
      <c r="E1116" s="25"/>
      <c r="F1116" s="25"/>
      <c r="G1116" s="25"/>
      <c r="H1116" s="25"/>
      <c r="I1116" s="25"/>
      <c r="J1116" s="25"/>
      <c r="K1116" s="25"/>
      <c r="L1116" s="25"/>
      <c r="M1116" s="25"/>
    </row>
    <row r="1117" spans="1:13">
      <c r="A1117" s="11" t="s">
        <v>1008</v>
      </c>
      <c r="B1117" s="11" t="s">
        <v>16</v>
      </c>
      <c r="C1117" s="11" t="s">
        <v>17</v>
      </c>
      <c r="D1117" s="29" t="s">
        <v>1009</v>
      </c>
      <c r="E1117" s="12"/>
      <c r="F1117" s="12"/>
      <c r="G1117" s="12"/>
      <c r="H1117" s="12"/>
      <c r="I1117" s="12"/>
      <c r="J1117" s="12"/>
      <c r="K1117" s="13">
        <f>K1183</f>
        <v>1</v>
      </c>
      <c r="L1117" s="14">
        <f>L1183</f>
        <v>0</v>
      </c>
      <c r="M1117" s="14">
        <f>M1183</f>
        <v>0</v>
      </c>
    </row>
    <row r="1118" spans="1:13" ht="33.75">
      <c r="A1118" s="15" t="s">
        <v>1010</v>
      </c>
      <c r="B1118" s="10" t="s">
        <v>23</v>
      </c>
      <c r="C1118" s="10" t="s">
        <v>4</v>
      </c>
      <c r="D1118" s="18" t="s">
        <v>1011</v>
      </c>
      <c r="E1118" s="9"/>
      <c r="F1118" s="9"/>
      <c r="G1118" s="9"/>
      <c r="H1118" s="9"/>
      <c r="I1118" s="9"/>
      <c r="J1118" s="9"/>
      <c r="K1118" s="16">
        <f>K1124</f>
        <v>5</v>
      </c>
      <c r="L1118" s="17">
        <f>L1124</f>
        <v>0</v>
      </c>
      <c r="M1118" s="17">
        <f>M1124</f>
        <v>0</v>
      </c>
    </row>
    <row r="1119" spans="1:13">
      <c r="A1119" s="9"/>
      <c r="B1119" s="9"/>
      <c r="C1119" s="9"/>
      <c r="D1119" s="18" t="s">
        <v>1012</v>
      </c>
      <c r="E1119" s="9"/>
      <c r="F1119" s="9"/>
      <c r="G1119" s="9"/>
      <c r="H1119" s="9"/>
      <c r="I1119" s="9"/>
      <c r="J1119" s="9"/>
      <c r="K1119" s="9"/>
      <c r="L1119" s="9"/>
      <c r="M1119" s="9"/>
    </row>
    <row r="1120" spans="1:13">
      <c r="A1120" s="9"/>
      <c r="B1120" s="9"/>
      <c r="C1120" s="10" t="s">
        <v>27</v>
      </c>
      <c r="D1120" s="30"/>
      <c r="E1120" s="10" t="s">
        <v>1013</v>
      </c>
      <c r="F1120" s="19">
        <v>2</v>
      </c>
      <c r="G1120" s="20">
        <v>0</v>
      </c>
      <c r="H1120" s="20">
        <v>0</v>
      </c>
      <c r="I1120" s="20">
        <v>0</v>
      </c>
      <c r="J1120" s="16">
        <f>OR(F1120&lt;&gt;0,G1120&lt;&gt;0,H1120&lt;&gt;0,I1120&lt;&gt;0)*(F1120 + (F1120 = 0))*(G1120 + (G1120 = 0))*(H1120 + (H1120 = 0))*(I1120 + (I1120 = 0))</f>
        <v>2</v>
      </c>
      <c r="K1120" s="9"/>
      <c r="L1120" s="9"/>
      <c r="M1120" s="9"/>
    </row>
    <row r="1121" spans="1:13">
      <c r="A1121" s="9"/>
      <c r="B1121" s="9"/>
      <c r="C1121" s="10" t="s">
        <v>27</v>
      </c>
      <c r="D1121" s="30"/>
      <c r="E1121" s="10" t="s">
        <v>1014</v>
      </c>
      <c r="F1121" s="19">
        <v>1</v>
      </c>
      <c r="G1121" s="20">
        <v>0</v>
      </c>
      <c r="H1121" s="20">
        <v>0</v>
      </c>
      <c r="I1121" s="20">
        <v>0</v>
      </c>
      <c r="J1121" s="16">
        <f>OR(F1121&lt;&gt;0,G1121&lt;&gt;0,H1121&lt;&gt;0,I1121&lt;&gt;0)*(F1121 + (F1121 = 0))*(G1121 + (G1121 = 0))*(H1121 + (H1121 = 0))*(I1121 + (I1121 = 0))</f>
        <v>1</v>
      </c>
      <c r="K1121" s="9"/>
      <c r="L1121" s="9"/>
      <c r="M1121" s="9"/>
    </row>
    <row r="1122" spans="1:13">
      <c r="A1122" s="9"/>
      <c r="B1122" s="9"/>
      <c r="C1122" s="10" t="s">
        <v>27</v>
      </c>
      <c r="D1122" s="30"/>
      <c r="E1122" s="10" t="s">
        <v>1015</v>
      </c>
      <c r="F1122" s="19">
        <v>1</v>
      </c>
      <c r="G1122" s="20">
        <v>0</v>
      </c>
      <c r="H1122" s="20">
        <v>0</v>
      </c>
      <c r="I1122" s="20">
        <v>0</v>
      </c>
      <c r="J1122" s="16">
        <f>OR(F1122&lt;&gt;0,G1122&lt;&gt;0,H1122&lt;&gt;0,I1122&lt;&gt;0)*(F1122 + (F1122 = 0))*(G1122 + (G1122 = 0))*(H1122 + (H1122 = 0))*(I1122 + (I1122 = 0))</f>
        <v>1</v>
      </c>
      <c r="K1122" s="9"/>
      <c r="L1122" s="9"/>
      <c r="M1122" s="9"/>
    </row>
    <row r="1123" spans="1:13">
      <c r="A1123" s="9"/>
      <c r="B1123" s="9"/>
      <c r="C1123" s="10" t="s">
        <v>27</v>
      </c>
      <c r="D1123" s="30"/>
      <c r="E1123" s="10" t="s">
        <v>1016</v>
      </c>
      <c r="F1123" s="19">
        <v>1</v>
      </c>
      <c r="G1123" s="20">
        <v>0</v>
      </c>
      <c r="H1123" s="20">
        <v>0</v>
      </c>
      <c r="I1123" s="20">
        <v>0</v>
      </c>
      <c r="J1123" s="16">
        <f>OR(F1123&lt;&gt;0,G1123&lt;&gt;0,H1123&lt;&gt;0,I1123&lt;&gt;0)*(F1123 + (F1123 = 0))*(G1123 + (G1123 = 0))*(H1123 + (H1123 = 0))*(I1123 + (I1123 = 0))</f>
        <v>1</v>
      </c>
      <c r="K1123" s="9"/>
      <c r="L1123" s="9"/>
      <c r="M1123" s="9"/>
    </row>
    <row r="1124" spans="1:13">
      <c r="A1124" s="9"/>
      <c r="B1124" s="9"/>
      <c r="C1124" s="9"/>
      <c r="D1124" s="30"/>
      <c r="E1124" s="9"/>
      <c r="F1124" s="9"/>
      <c r="G1124" s="9"/>
      <c r="H1124" s="9"/>
      <c r="I1124" s="9"/>
      <c r="J1124" s="21" t="s">
        <v>1017</v>
      </c>
      <c r="K1124" s="22">
        <f>SUM(J1120:J1123)</f>
        <v>5</v>
      </c>
      <c r="L1124" s="23">
        <v>0</v>
      </c>
      <c r="M1124" s="24">
        <f>ROUND(K1124*L1124,2)</f>
        <v>0</v>
      </c>
    </row>
    <row r="1125" spans="1:13" ht="0.95" customHeight="1">
      <c r="A1125" s="25"/>
      <c r="B1125" s="25"/>
      <c r="C1125" s="25"/>
      <c r="D1125" s="31"/>
      <c r="E1125" s="25"/>
      <c r="F1125" s="25"/>
      <c r="G1125" s="25"/>
      <c r="H1125" s="25"/>
      <c r="I1125" s="25"/>
      <c r="J1125" s="25"/>
      <c r="K1125" s="25"/>
      <c r="L1125" s="25"/>
      <c r="M1125" s="25"/>
    </row>
    <row r="1126" spans="1:13" ht="45">
      <c r="A1126" s="15" t="s">
        <v>1018</v>
      </c>
      <c r="B1126" s="10" t="s">
        <v>23</v>
      </c>
      <c r="C1126" s="10" t="s">
        <v>4</v>
      </c>
      <c r="D1126" s="18" t="s">
        <v>1019</v>
      </c>
      <c r="E1126" s="9"/>
      <c r="F1126" s="9"/>
      <c r="G1126" s="9"/>
      <c r="H1126" s="9"/>
      <c r="I1126" s="9"/>
      <c r="J1126" s="9"/>
      <c r="K1126" s="16">
        <f>K1132</f>
        <v>4</v>
      </c>
      <c r="L1126" s="17">
        <f>L1132</f>
        <v>0</v>
      </c>
      <c r="M1126" s="17">
        <f>M1132</f>
        <v>0</v>
      </c>
    </row>
    <row r="1127" spans="1:13">
      <c r="A1127" s="9"/>
      <c r="B1127" s="9"/>
      <c r="C1127" s="9"/>
      <c r="D1127" s="18" t="s">
        <v>1020</v>
      </c>
      <c r="E1127" s="9"/>
      <c r="F1127" s="9"/>
      <c r="G1127" s="9"/>
      <c r="H1127" s="9"/>
      <c r="I1127" s="9"/>
      <c r="J1127" s="9"/>
      <c r="K1127" s="9"/>
      <c r="L1127" s="9"/>
      <c r="M1127" s="9"/>
    </row>
    <row r="1128" spans="1:13">
      <c r="A1128" s="9"/>
      <c r="B1128" s="9"/>
      <c r="C1128" s="10" t="s">
        <v>27</v>
      </c>
      <c r="D1128" s="30"/>
      <c r="E1128" s="10" t="s">
        <v>1021</v>
      </c>
      <c r="F1128" s="19">
        <v>1</v>
      </c>
      <c r="G1128" s="20">
        <v>0</v>
      </c>
      <c r="H1128" s="20">
        <v>0</v>
      </c>
      <c r="I1128" s="20">
        <v>0</v>
      </c>
      <c r="J1128" s="16">
        <f>OR(F1128&lt;&gt;0,G1128&lt;&gt;0,H1128&lt;&gt;0,I1128&lt;&gt;0)*(F1128 + (F1128 = 0))*(G1128 + (G1128 = 0))*(H1128 + (H1128 = 0))*(I1128 + (I1128 = 0))</f>
        <v>1</v>
      </c>
      <c r="K1128" s="9"/>
      <c r="L1128" s="9"/>
      <c r="M1128" s="9"/>
    </row>
    <row r="1129" spans="1:13">
      <c r="A1129" s="9"/>
      <c r="B1129" s="9"/>
      <c r="C1129" s="10" t="s">
        <v>27</v>
      </c>
      <c r="D1129" s="30"/>
      <c r="E1129" s="10" t="s">
        <v>1022</v>
      </c>
      <c r="F1129" s="19">
        <v>1</v>
      </c>
      <c r="G1129" s="20">
        <v>0</v>
      </c>
      <c r="H1129" s="20">
        <v>0</v>
      </c>
      <c r="I1129" s="20">
        <v>0</v>
      </c>
      <c r="J1129" s="16">
        <f>OR(F1129&lt;&gt;0,G1129&lt;&gt;0,H1129&lt;&gt;0,I1129&lt;&gt;0)*(F1129 + (F1129 = 0))*(G1129 + (G1129 = 0))*(H1129 + (H1129 = 0))*(I1129 + (I1129 = 0))</f>
        <v>1</v>
      </c>
      <c r="K1129" s="9"/>
      <c r="L1129" s="9"/>
      <c r="M1129" s="9"/>
    </row>
    <row r="1130" spans="1:13">
      <c r="A1130" s="9"/>
      <c r="B1130" s="9"/>
      <c r="C1130" s="10" t="s">
        <v>27</v>
      </c>
      <c r="D1130" s="30"/>
      <c r="E1130" s="10" t="s">
        <v>1023</v>
      </c>
      <c r="F1130" s="19">
        <v>1</v>
      </c>
      <c r="G1130" s="20">
        <v>0</v>
      </c>
      <c r="H1130" s="20">
        <v>0</v>
      </c>
      <c r="I1130" s="20">
        <v>0</v>
      </c>
      <c r="J1130" s="16">
        <f>OR(F1130&lt;&gt;0,G1130&lt;&gt;0,H1130&lt;&gt;0,I1130&lt;&gt;0)*(F1130 + (F1130 = 0))*(G1130 + (G1130 = 0))*(H1130 + (H1130 = 0))*(I1130 + (I1130 = 0))</f>
        <v>1</v>
      </c>
      <c r="K1130" s="9"/>
      <c r="L1130" s="9"/>
      <c r="M1130" s="9"/>
    </row>
    <row r="1131" spans="1:13">
      <c r="A1131" s="9"/>
      <c r="B1131" s="9"/>
      <c r="C1131" s="10" t="s">
        <v>27</v>
      </c>
      <c r="D1131" s="30"/>
      <c r="E1131" s="10" t="s">
        <v>1024</v>
      </c>
      <c r="F1131" s="19">
        <v>1</v>
      </c>
      <c r="G1131" s="20">
        <v>0</v>
      </c>
      <c r="H1131" s="20">
        <v>0</v>
      </c>
      <c r="I1131" s="20">
        <v>0</v>
      </c>
      <c r="J1131" s="16">
        <f>OR(F1131&lt;&gt;0,G1131&lt;&gt;0,H1131&lt;&gt;0,I1131&lt;&gt;0)*(F1131 + (F1131 = 0))*(G1131 + (G1131 = 0))*(H1131 + (H1131 = 0))*(I1131 + (I1131 = 0))</f>
        <v>1</v>
      </c>
      <c r="K1131" s="9"/>
      <c r="L1131" s="9"/>
      <c r="M1131" s="9"/>
    </row>
    <row r="1132" spans="1:13">
      <c r="A1132" s="9"/>
      <c r="B1132" s="9"/>
      <c r="C1132" s="9"/>
      <c r="D1132" s="30"/>
      <c r="E1132" s="9"/>
      <c r="F1132" s="9"/>
      <c r="G1132" s="9"/>
      <c r="H1132" s="9"/>
      <c r="I1132" s="9"/>
      <c r="J1132" s="21" t="s">
        <v>1025</v>
      </c>
      <c r="K1132" s="22">
        <f>SUM(J1128:J1131)</f>
        <v>4</v>
      </c>
      <c r="L1132" s="23">
        <v>0</v>
      </c>
      <c r="M1132" s="24">
        <f>ROUND(K1132*L1132,2)</f>
        <v>0</v>
      </c>
    </row>
    <row r="1133" spans="1:13" ht="0.95" customHeight="1">
      <c r="A1133" s="25"/>
      <c r="B1133" s="25"/>
      <c r="C1133" s="25"/>
      <c r="D1133" s="31"/>
      <c r="E1133" s="25"/>
      <c r="F1133" s="25"/>
      <c r="G1133" s="25"/>
      <c r="H1133" s="25"/>
      <c r="I1133" s="25"/>
      <c r="J1133" s="25"/>
      <c r="K1133" s="25"/>
      <c r="L1133" s="25"/>
      <c r="M1133" s="25"/>
    </row>
    <row r="1134" spans="1:13" ht="45">
      <c r="A1134" s="15" t="s">
        <v>1026</v>
      </c>
      <c r="B1134" s="10" t="s">
        <v>23</v>
      </c>
      <c r="C1134" s="10" t="s">
        <v>4</v>
      </c>
      <c r="D1134" s="18" t="s">
        <v>1027</v>
      </c>
      <c r="E1134" s="9"/>
      <c r="F1134" s="9"/>
      <c r="G1134" s="9"/>
      <c r="H1134" s="9"/>
      <c r="I1134" s="9"/>
      <c r="J1134" s="9"/>
      <c r="K1134" s="16">
        <f>K1137</f>
        <v>1</v>
      </c>
      <c r="L1134" s="17">
        <f>L1137</f>
        <v>0</v>
      </c>
      <c r="M1134" s="17">
        <f>M1137</f>
        <v>0</v>
      </c>
    </row>
    <row r="1135" spans="1:13">
      <c r="A1135" s="9"/>
      <c r="B1135" s="9"/>
      <c r="C1135" s="9"/>
      <c r="D1135" s="18" t="s">
        <v>1028</v>
      </c>
      <c r="E1135" s="9"/>
      <c r="F1135" s="9"/>
      <c r="G1135" s="9"/>
      <c r="H1135" s="9"/>
      <c r="I1135" s="9"/>
      <c r="J1135" s="9"/>
      <c r="K1135" s="9"/>
      <c r="L1135" s="9"/>
      <c r="M1135" s="9"/>
    </row>
    <row r="1136" spans="1:13">
      <c r="A1136" s="9"/>
      <c r="B1136" s="9"/>
      <c r="C1136" s="10" t="s">
        <v>27</v>
      </c>
      <c r="D1136" s="30"/>
      <c r="E1136" s="10" t="s">
        <v>1029</v>
      </c>
      <c r="F1136" s="19">
        <v>1</v>
      </c>
      <c r="G1136" s="20">
        <v>0</v>
      </c>
      <c r="H1136" s="20">
        <v>0</v>
      </c>
      <c r="I1136" s="20">
        <v>0</v>
      </c>
      <c r="J1136" s="16">
        <f>OR(F1136&lt;&gt;0,G1136&lt;&gt;0,H1136&lt;&gt;0,I1136&lt;&gt;0)*(F1136 + (F1136 = 0))*(G1136 + (G1136 = 0))*(H1136 + (H1136 = 0))*(I1136 + (I1136 = 0))</f>
        <v>1</v>
      </c>
      <c r="K1136" s="9"/>
      <c r="L1136" s="9"/>
      <c r="M1136" s="9"/>
    </row>
    <row r="1137" spans="1:13">
      <c r="A1137" s="9"/>
      <c r="B1137" s="9"/>
      <c r="C1137" s="9"/>
      <c r="D1137" s="30"/>
      <c r="E1137" s="9"/>
      <c r="F1137" s="9"/>
      <c r="G1137" s="9"/>
      <c r="H1137" s="9"/>
      <c r="I1137" s="9"/>
      <c r="J1137" s="21" t="s">
        <v>1030</v>
      </c>
      <c r="K1137" s="22">
        <f>J1136</f>
        <v>1</v>
      </c>
      <c r="L1137" s="23">
        <v>0</v>
      </c>
      <c r="M1137" s="24">
        <f>ROUND(K1137*L1137,2)</f>
        <v>0</v>
      </c>
    </row>
    <row r="1138" spans="1:13" ht="0.95" customHeight="1">
      <c r="A1138" s="25"/>
      <c r="B1138" s="25"/>
      <c r="C1138" s="25"/>
      <c r="D1138" s="31"/>
      <c r="E1138" s="25"/>
      <c r="F1138" s="25"/>
      <c r="G1138" s="25"/>
      <c r="H1138" s="25"/>
      <c r="I1138" s="25"/>
      <c r="J1138" s="25"/>
      <c r="K1138" s="25"/>
      <c r="L1138" s="25"/>
      <c r="M1138" s="25"/>
    </row>
    <row r="1139" spans="1:13" ht="33.75">
      <c r="A1139" s="15" t="s">
        <v>1031</v>
      </c>
      <c r="B1139" s="10" t="s">
        <v>23</v>
      </c>
      <c r="C1139" s="10" t="s">
        <v>4</v>
      </c>
      <c r="D1139" s="18" t="s">
        <v>1032</v>
      </c>
      <c r="E1139" s="9"/>
      <c r="F1139" s="9"/>
      <c r="G1139" s="9"/>
      <c r="H1139" s="9"/>
      <c r="I1139" s="9"/>
      <c r="J1139" s="9"/>
      <c r="K1139" s="16">
        <f>K1142</f>
        <v>1</v>
      </c>
      <c r="L1139" s="17">
        <f>L1142</f>
        <v>0</v>
      </c>
      <c r="M1139" s="17">
        <f>M1142</f>
        <v>0</v>
      </c>
    </row>
    <row r="1140" spans="1:13">
      <c r="A1140" s="9"/>
      <c r="B1140" s="9"/>
      <c r="C1140" s="9"/>
      <c r="D1140" s="18" t="s">
        <v>1033</v>
      </c>
      <c r="E1140" s="9"/>
      <c r="F1140" s="9"/>
      <c r="G1140" s="9"/>
      <c r="H1140" s="9"/>
      <c r="I1140" s="9"/>
      <c r="J1140" s="9"/>
      <c r="K1140" s="9"/>
      <c r="L1140" s="9"/>
      <c r="M1140" s="9"/>
    </row>
    <row r="1141" spans="1:13">
      <c r="A1141" s="9"/>
      <c r="B1141" s="9"/>
      <c r="C1141" s="10" t="s">
        <v>27</v>
      </c>
      <c r="D1141" s="30"/>
      <c r="E1141" s="10" t="s">
        <v>1034</v>
      </c>
      <c r="F1141" s="19">
        <v>1</v>
      </c>
      <c r="G1141" s="20">
        <v>0</v>
      </c>
      <c r="H1141" s="20">
        <v>0</v>
      </c>
      <c r="I1141" s="20">
        <v>0</v>
      </c>
      <c r="J1141" s="16">
        <f>OR(F1141&lt;&gt;0,G1141&lt;&gt;0,H1141&lt;&gt;0,I1141&lt;&gt;0)*(F1141 + (F1141 = 0))*(G1141 + (G1141 = 0))*(H1141 + (H1141 = 0))*(I1141 + (I1141 = 0))</f>
        <v>1</v>
      </c>
      <c r="K1141" s="9"/>
      <c r="L1141" s="9"/>
      <c r="M1141" s="9"/>
    </row>
    <row r="1142" spans="1:13">
      <c r="A1142" s="9"/>
      <c r="B1142" s="9"/>
      <c r="C1142" s="9"/>
      <c r="D1142" s="30"/>
      <c r="E1142" s="9"/>
      <c r="F1142" s="9"/>
      <c r="G1142" s="9"/>
      <c r="H1142" s="9"/>
      <c r="I1142" s="9"/>
      <c r="J1142" s="21" t="s">
        <v>1035</v>
      </c>
      <c r="K1142" s="22">
        <f>J1141</f>
        <v>1</v>
      </c>
      <c r="L1142" s="23">
        <v>0</v>
      </c>
      <c r="M1142" s="24">
        <f>ROUND(K1142*L1142,2)</f>
        <v>0</v>
      </c>
    </row>
    <row r="1143" spans="1:13" ht="0.95" customHeight="1">
      <c r="A1143" s="25"/>
      <c r="B1143" s="25"/>
      <c r="C1143" s="25"/>
      <c r="D1143" s="31"/>
      <c r="E1143" s="25"/>
      <c r="F1143" s="25"/>
      <c r="G1143" s="25"/>
      <c r="H1143" s="25"/>
      <c r="I1143" s="25"/>
      <c r="J1143" s="25"/>
      <c r="K1143" s="25"/>
      <c r="L1143" s="25"/>
      <c r="M1143" s="25"/>
    </row>
    <row r="1144" spans="1:13" ht="45">
      <c r="A1144" s="15" t="s">
        <v>1036</v>
      </c>
      <c r="B1144" s="10" t="s">
        <v>23</v>
      </c>
      <c r="C1144" s="10" t="s">
        <v>4</v>
      </c>
      <c r="D1144" s="18" t="s">
        <v>1037</v>
      </c>
      <c r="E1144" s="9"/>
      <c r="F1144" s="9"/>
      <c r="G1144" s="9"/>
      <c r="H1144" s="9"/>
      <c r="I1144" s="9"/>
      <c r="J1144" s="9"/>
      <c r="K1144" s="16">
        <f>K1147</f>
        <v>1</v>
      </c>
      <c r="L1144" s="17">
        <f>L1147</f>
        <v>0</v>
      </c>
      <c r="M1144" s="17">
        <f>M1147</f>
        <v>0</v>
      </c>
    </row>
    <row r="1145" spans="1:13">
      <c r="A1145" s="9"/>
      <c r="B1145" s="9"/>
      <c r="C1145" s="9"/>
      <c r="D1145" s="18" t="s">
        <v>1038</v>
      </c>
      <c r="E1145" s="9"/>
      <c r="F1145" s="9"/>
      <c r="G1145" s="9"/>
      <c r="H1145" s="9"/>
      <c r="I1145" s="9"/>
      <c r="J1145" s="9"/>
      <c r="K1145" s="9"/>
      <c r="L1145" s="9"/>
      <c r="M1145" s="9"/>
    </row>
    <row r="1146" spans="1:13">
      <c r="A1146" s="9"/>
      <c r="B1146" s="9"/>
      <c r="C1146" s="10" t="s">
        <v>27</v>
      </c>
      <c r="D1146" s="30"/>
      <c r="E1146" s="10" t="s">
        <v>1029</v>
      </c>
      <c r="F1146" s="19">
        <v>1</v>
      </c>
      <c r="G1146" s="20">
        <v>0</v>
      </c>
      <c r="H1146" s="20">
        <v>0</v>
      </c>
      <c r="I1146" s="20">
        <v>0</v>
      </c>
      <c r="J1146" s="16">
        <f>OR(F1146&lt;&gt;0,G1146&lt;&gt;0,H1146&lt;&gt;0,I1146&lt;&gt;0)*(F1146 + (F1146 = 0))*(G1146 + (G1146 = 0))*(H1146 + (H1146 = 0))*(I1146 + (I1146 = 0))</f>
        <v>1</v>
      </c>
      <c r="K1146" s="9"/>
      <c r="L1146" s="9"/>
      <c r="M1146" s="9"/>
    </row>
    <row r="1147" spans="1:13">
      <c r="A1147" s="9"/>
      <c r="B1147" s="9"/>
      <c r="C1147" s="9"/>
      <c r="D1147" s="30"/>
      <c r="E1147" s="9"/>
      <c r="F1147" s="9"/>
      <c r="G1147" s="9"/>
      <c r="H1147" s="9"/>
      <c r="I1147" s="9"/>
      <c r="J1147" s="21" t="s">
        <v>1039</v>
      </c>
      <c r="K1147" s="22">
        <f>J1146</f>
        <v>1</v>
      </c>
      <c r="L1147" s="23">
        <v>0</v>
      </c>
      <c r="M1147" s="24">
        <f>ROUND(K1147*L1147,2)</f>
        <v>0</v>
      </c>
    </row>
    <row r="1148" spans="1:13" ht="0.95" customHeight="1">
      <c r="A1148" s="25"/>
      <c r="B1148" s="25"/>
      <c r="C1148" s="25"/>
      <c r="D1148" s="31"/>
      <c r="E1148" s="25"/>
      <c r="F1148" s="25"/>
      <c r="G1148" s="25"/>
      <c r="H1148" s="25"/>
      <c r="I1148" s="25"/>
      <c r="J1148" s="25"/>
      <c r="K1148" s="25"/>
      <c r="L1148" s="25"/>
      <c r="M1148" s="25"/>
    </row>
    <row r="1149" spans="1:13" ht="45">
      <c r="A1149" s="15" t="s">
        <v>1040</v>
      </c>
      <c r="B1149" s="10" t="s">
        <v>23</v>
      </c>
      <c r="C1149" s="10" t="s">
        <v>4</v>
      </c>
      <c r="D1149" s="18" t="s">
        <v>1041</v>
      </c>
      <c r="E1149" s="9"/>
      <c r="F1149" s="9"/>
      <c r="G1149" s="9"/>
      <c r="H1149" s="9"/>
      <c r="I1149" s="9"/>
      <c r="J1149" s="9"/>
      <c r="K1149" s="16">
        <f>K1152</f>
        <v>1</v>
      </c>
      <c r="L1149" s="17">
        <f>L1152</f>
        <v>0</v>
      </c>
      <c r="M1149" s="17">
        <f>M1152</f>
        <v>0</v>
      </c>
    </row>
    <row r="1150" spans="1:13">
      <c r="A1150" s="9"/>
      <c r="B1150" s="9"/>
      <c r="C1150" s="9"/>
      <c r="D1150" s="18" t="s">
        <v>1042</v>
      </c>
      <c r="E1150" s="9"/>
      <c r="F1150" s="9"/>
      <c r="G1150" s="9"/>
      <c r="H1150" s="9"/>
      <c r="I1150" s="9"/>
      <c r="J1150" s="9"/>
      <c r="K1150" s="9"/>
      <c r="L1150" s="9"/>
      <c r="M1150" s="9"/>
    </row>
    <row r="1151" spans="1:13">
      <c r="A1151" s="9"/>
      <c r="B1151" s="9"/>
      <c r="C1151" s="10" t="s">
        <v>27</v>
      </c>
      <c r="D1151" s="30"/>
      <c r="E1151" s="10" t="s">
        <v>1043</v>
      </c>
      <c r="F1151" s="19">
        <v>1</v>
      </c>
      <c r="G1151" s="20">
        <v>0</v>
      </c>
      <c r="H1151" s="20">
        <v>0</v>
      </c>
      <c r="I1151" s="20">
        <v>0</v>
      </c>
      <c r="J1151" s="16">
        <f>OR(F1151&lt;&gt;0,G1151&lt;&gt;0,H1151&lt;&gt;0,I1151&lt;&gt;0)*(F1151 + (F1151 = 0))*(G1151 + (G1151 = 0))*(H1151 + (H1151 = 0))*(I1151 + (I1151 = 0))</f>
        <v>1</v>
      </c>
      <c r="K1151" s="9"/>
      <c r="L1151" s="9"/>
      <c r="M1151" s="9"/>
    </row>
    <row r="1152" spans="1:13">
      <c r="A1152" s="9"/>
      <c r="B1152" s="9"/>
      <c r="C1152" s="9"/>
      <c r="D1152" s="30"/>
      <c r="E1152" s="9"/>
      <c r="F1152" s="9"/>
      <c r="G1152" s="9"/>
      <c r="H1152" s="9"/>
      <c r="I1152" s="9"/>
      <c r="J1152" s="21" t="s">
        <v>1044</v>
      </c>
      <c r="K1152" s="22">
        <f>J1151</f>
        <v>1</v>
      </c>
      <c r="L1152" s="23">
        <v>0</v>
      </c>
      <c r="M1152" s="24">
        <f>ROUND(K1152*L1152,2)</f>
        <v>0</v>
      </c>
    </row>
    <row r="1153" spans="1:13" ht="0.95" customHeight="1">
      <c r="A1153" s="25"/>
      <c r="B1153" s="25"/>
      <c r="C1153" s="25"/>
      <c r="D1153" s="31"/>
      <c r="E1153" s="25"/>
      <c r="F1153" s="25"/>
      <c r="G1153" s="25"/>
      <c r="H1153" s="25"/>
      <c r="I1153" s="25"/>
      <c r="J1153" s="25"/>
      <c r="K1153" s="25"/>
      <c r="L1153" s="25"/>
      <c r="M1153" s="25"/>
    </row>
    <row r="1154" spans="1:13" ht="33.75">
      <c r="A1154" s="15" t="s">
        <v>1045</v>
      </c>
      <c r="B1154" s="10" t="s">
        <v>23</v>
      </c>
      <c r="C1154" s="10" t="s">
        <v>66</v>
      </c>
      <c r="D1154" s="18" t="s">
        <v>1046</v>
      </c>
      <c r="E1154" s="9"/>
      <c r="F1154" s="9"/>
      <c r="G1154" s="9"/>
      <c r="H1154" s="9"/>
      <c r="I1154" s="9"/>
      <c r="J1154" s="9"/>
      <c r="K1154" s="16">
        <f>K1157</f>
        <v>0.25</v>
      </c>
      <c r="L1154" s="17">
        <f>L1157</f>
        <v>0</v>
      </c>
      <c r="M1154" s="17">
        <f>M1157</f>
        <v>0</v>
      </c>
    </row>
    <row r="1155" spans="1:13">
      <c r="A1155" s="9"/>
      <c r="B1155" s="9"/>
      <c r="C1155" s="9"/>
      <c r="D1155" s="18" t="s">
        <v>1047</v>
      </c>
      <c r="E1155" s="9"/>
      <c r="F1155" s="9"/>
      <c r="G1155" s="9"/>
      <c r="H1155" s="9"/>
      <c r="I1155" s="9"/>
      <c r="J1155" s="9"/>
      <c r="K1155" s="9"/>
      <c r="L1155" s="9"/>
      <c r="M1155" s="9"/>
    </row>
    <row r="1156" spans="1:13">
      <c r="A1156" s="9"/>
      <c r="B1156" s="9"/>
      <c r="C1156" s="10" t="s">
        <v>27</v>
      </c>
      <c r="D1156" s="30"/>
      <c r="E1156" s="10" t="s">
        <v>1034</v>
      </c>
      <c r="F1156" s="19">
        <v>1</v>
      </c>
      <c r="G1156" s="20">
        <v>0.25</v>
      </c>
      <c r="H1156" s="20">
        <v>0</v>
      </c>
      <c r="I1156" s="20">
        <v>0</v>
      </c>
      <c r="J1156" s="16">
        <f>OR(F1156&lt;&gt;0,G1156&lt;&gt;0,H1156&lt;&gt;0,I1156&lt;&gt;0)*(F1156 + (F1156 = 0))*(G1156 + (G1156 = 0))*(H1156 + (H1156 = 0))*(I1156 + (I1156 = 0))</f>
        <v>0.25</v>
      </c>
      <c r="K1156" s="9"/>
      <c r="L1156" s="9"/>
      <c r="M1156" s="9"/>
    </row>
    <row r="1157" spans="1:13">
      <c r="A1157" s="9"/>
      <c r="B1157" s="9"/>
      <c r="C1157" s="9"/>
      <c r="D1157" s="30"/>
      <c r="E1157" s="9"/>
      <c r="F1157" s="9"/>
      <c r="G1157" s="9"/>
      <c r="H1157" s="9"/>
      <c r="I1157" s="9"/>
      <c r="J1157" s="21" t="s">
        <v>1048</v>
      </c>
      <c r="K1157" s="22">
        <f>J1156</f>
        <v>0.25</v>
      </c>
      <c r="L1157" s="23">
        <v>0</v>
      </c>
      <c r="M1157" s="24">
        <f>ROUND(K1157*L1157,2)</f>
        <v>0</v>
      </c>
    </row>
    <row r="1158" spans="1:13" ht="0.95" customHeight="1">
      <c r="A1158" s="25"/>
      <c r="B1158" s="25"/>
      <c r="C1158" s="25"/>
      <c r="D1158" s="31"/>
      <c r="E1158" s="25"/>
      <c r="F1158" s="25"/>
      <c r="G1158" s="25"/>
      <c r="H1158" s="25"/>
      <c r="I1158" s="25"/>
      <c r="J1158" s="25"/>
      <c r="K1158" s="25"/>
      <c r="L1158" s="25"/>
      <c r="M1158" s="25"/>
    </row>
    <row r="1159" spans="1:13" ht="33.75">
      <c r="A1159" s="15" t="s">
        <v>1049</v>
      </c>
      <c r="B1159" s="10" t="s">
        <v>23</v>
      </c>
      <c r="C1159" s="10" t="s">
        <v>66</v>
      </c>
      <c r="D1159" s="18" t="s">
        <v>1050</v>
      </c>
      <c r="E1159" s="9"/>
      <c r="F1159" s="9"/>
      <c r="G1159" s="9"/>
      <c r="H1159" s="9"/>
      <c r="I1159" s="9"/>
      <c r="J1159" s="9"/>
      <c r="K1159" s="16">
        <f>K1162</f>
        <v>3.52</v>
      </c>
      <c r="L1159" s="17">
        <f>L1162</f>
        <v>0</v>
      </c>
      <c r="M1159" s="17">
        <f>M1162</f>
        <v>0</v>
      </c>
    </row>
    <row r="1160" spans="1:13">
      <c r="A1160" s="9"/>
      <c r="B1160" s="9"/>
      <c r="C1160" s="9"/>
      <c r="D1160" s="18" t="s">
        <v>1051</v>
      </c>
      <c r="E1160" s="9"/>
      <c r="F1160" s="9"/>
      <c r="G1160" s="9"/>
      <c r="H1160" s="9"/>
      <c r="I1160" s="9"/>
      <c r="J1160" s="9"/>
      <c r="K1160" s="9"/>
      <c r="L1160" s="9"/>
      <c r="M1160" s="9"/>
    </row>
    <row r="1161" spans="1:13">
      <c r="A1161" s="9"/>
      <c r="B1161" s="9"/>
      <c r="C1161" s="10" t="s">
        <v>27</v>
      </c>
      <c r="D1161" s="30"/>
      <c r="E1161" s="10" t="s">
        <v>1034</v>
      </c>
      <c r="F1161" s="19">
        <v>1</v>
      </c>
      <c r="G1161" s="20">
        <v>3.52</v>
      </c>
      <c r="H1161" s="20">
        <v>0</v>
      </c>
      <c r="I1161" s="20">
        <v>0</v>
      </c>
      <c r="J1161" s="16">
        <f>OR(F1161&lt;&gt;0,G1161&lt;&gt;0,H1161&lt;&gt;0,I1161&lt;&gt;0)*(F1161 + (F1161 = 0))*(G1161 + (G1161 = 0))*(H1161 + (H1161 = 0))*(I1161 + (I1161 = 0))</f>
        <v>3.52</v>
      </c>
      <c r="K1161" s="9"/>
      <c r="L1161" s="9"/>
      <c r="M1161" s="9"/>
    </row>
    <row r="1162" spans="1:13">
      <c r="A1162" s="9"/>
      <c r="B1162" s="9"/>
      <c r="C1162" s="9"/>
      <c r="D1162" s="30"/>
      <c r="E1162" s="9"/>
      <c r="F1162" s="9"/>
      <c r="G1162" s="9"/>
      <c r="H1162" s="9"/>
      <c r="I1162" s="9"/>
      <c r="J1162" s="21" t="s">
        <v>1052</v>
      </c>
      <c r="K1162" s="22">
        <f>J1161</f>
        <v>3.52</v>
      </c>
      <c r="L1162" s="23">
        <v>0</v>
      </c>
      <c r="M1162" s="24">
        <f>ROUND(K1162*L1162,2)</f>
        <v>0</v>
      </c>
    </row>
    <row r="1163" spans="1:13" ht="0.95" customHeight="1">
      <c r="A1163" s="25"/>
      <c r="B1163" s="25"/>
      <c r="C1163" s="25"/>
      <c r="D1163" s="31"/>
      <c r="E1163" s="25"/>
      <c r="F1163" s="25"/>
      <c r="G1163" s="25"/>
      <c r="H1163" s="25"/>
      <c r="I1163" s="25"/>
      <c r="J1163" s="25"/>
      <c r="K1163" s="25"/>
      <c r="L1163" s="25"/>
      <c r="M1163" s="25"/>
    </row>
    <row r="1164" spans="1:13" ht="33.75">
      <c r="A1164" s="15" t="s">
        <v>1053</v>
      </c>
      <c r="B1164" s="10" t="s">
        <v>23</v>
      </c>
      <c r="C1164" s="10" t="s">
        <v>66</v>
      </c>
      <c r="D1164" s="18" t="s">
        <v>1054</v>
      </c>
      <c r="E1164" s="9"/>
      <c r="F1164" s="9"/>
      <c r="G1164" s="9"/>
      <c r="H1164" s="9"/>
      <c r="I1164" s="9"/>
      <c r="J1164" s="9"/>
      <c r="K1164" s="16">
        <f>K1167</f>
        <v>3.77</v>
      </c>
      <c r="L1164" s="17">
        <f>L1167</f>
        <v>0</v>
      </c>
      <c r="M1164" s="17">
        <f>M1167</f>
        <v>0</v>
      </c>
    </row>
    <row r="1165" spans="1:13">
      <c r="A1165" s="9"/>
      <c r="B1165" s="9"/>
      <c r="C1165" s="9"/>
      <c r="D1165" s="18" t="s">
        <v>1055</v>
      </c>
      <c r="E1165" s="9"/>
      <c r="F1165" s="9"/>
      <c r="G1165" s="9"/>
      <c r="H1165" s="9"/>
      <c r="I1165" s="9"/>
      <c r="J1165" s="9"/>
      <c r="K1165" s="9"/>
      <c r="L1165" s="9"/>
      <c r="M1165" s="9"/>
    </row>
    <row r="1166" spans="1:13">
      <c r="A1166" s="9"/>
      <c r="B1166" s="9"/>
      <c r="C1166" s="10" t="s">
        <v>27</v>
      </c>
      <c r="D1166" s="30"/>
      <c r="E1166" s="10" t="s">
        <v>1043</v>
      </c>
      <c r="F1166" s="19">
        <v>1</v>
      </c>
      <c r="G1166" s="20">
        <v>3.77</v>
      </c>
      <c r="H1166" s="20">
        <v>0</v>
      </c>
      <c r="I1166" s="20">
        <v>0</v>
      </c>
      <c r="J1166" s="16">
        <f>OR(F1166&lt;&gt;0,G1166&lt;&gt;0,H1166&lt;&gt;0,I1166&lt;&gt;0)*(F1166 + (F1166 = 0))*(G1166 + (G1166 = 0))*(H1166 + (H1166 = 0))*(I1166 + (I1166 = 0))</f>
        <v>3.77</v>
      </c>
      <c r="K1166" s="9"/>
      <c r="L1166" s="9"/>
      <c r="M1166" s="9"/>
    </row>
    <row r="1167" spans="1:13">
      <c r="A1167" s="9"/>
      <c r="B1167" s="9"/>
      <c r="C1167" s="9"/>
      <c r="D1167" s="30"/>
      <c r="E1167" s="9"/>
      <c r="F1167" s="9"/>
      <c r="G1167" s="9"/>
      <c r="H1167" s="9"/>
      <c r="I1167" s="9"/>
      <c r="J1167" s="21" t="s">
        <v>1056</v>
      </c>
      <c r="K1167" s="22">
        <f>J1166</f>
        <v>3.77</v>
      </c>
      <c r="L1167" s="23">
        <v>0</v>
      </c>
      <c r="M1167" s="24">
        <f>ROUND(K1167*L1167,2)</f>
        <v>0</v>
      </c>
    </row>
    <row r="1168" spans="1:13" ht="0.95" customHeight="1">
      <c r="A1168" s="25"/>
      <c r="B1168" s="25"/>
      <c r="C1168" s="25"/>
      <c r="D1168" s="31"/>
      <c r="E1168" s="25"/>
      <c r="F1168" s="25"/>
      <c r="G1168" s="25"/>
      <c r="H1168" s="25"/>
      <c r="I1168" s="25"/>
      <c r="J1168" s="25"/>
      <c r="K1168" s="25"/>
      <c r="L1168" s="25"/>
      <c r="M1168" s="25"/>
    </row>
    <row r="1169" spans="1:13" ht="33.75">
      <c r="A1169" s="15" t="s">
        <v>1057</v>
      </c>
      <c r="B1169" s="10" t="s">
        <v>23</v>
      </c>
      <c r="C1169" s="10" t="s">
        <v>66</v>
      </c>
      <c r="D1169" s="18" t="s">
        <v>1046</v>
      </c>
      <c r="E1169" s="9"/>
      <c r="F1169" s="9"/>
      <c r="G1169" s="9"/>
      <c r="H1169" s="9"/>
      <c r="I1169" s="9"/>
      <c r="J1169" s="9"/>
      <c r="K1169" s="16">
        <f>K1172</f>
        <v>3.99</v>
      </c>
      <c r="L1169" s="17">
        <f>L1172</f>
        <v>0</v>
      </c>
      <c r="M1169" s="17">
        <f>M1172</f>
        <v>0</v>
      </c>
    </row>
    <row r="1170" spans="1:13">
      <c r="A1170" s="9"/>
      <c r="B1170" s="9"/>
      <c r="C1170" s="9"/>
      <c r="D1170" s="18" t="s">
        <v>1058</v>
      </c>
      <c r="E1170" s="9"/>
      <c r="F1170" s="9"/>
      <c r="G1170" s="9"/>
      <c r="H1170" s="9"/>
      <c r="I1170" s="9"/>
      <c r="J1170" s="9"/>
      <c r="K1170" s="9"/>
      <c r="L1170" s="9"/>
      <c r="M1170" s="9"/>
    </row>
    <row r="1171" spans="1:13">
      <c r="A1171" s="9"/>
      <c r="B1171" s="9"/>
      <c r="C1171" s="10" t="s">
        <v>27</v>
      </c>
      <c r="D1171" s="30"/>
      <c r="E1171" s="10" t="s">
        <v>1034</v>
      </c>
      <c r="F1171" s="19">
        <v>1</v>
      </c>
      <c r="G1171" s="20">
        <v>3.99</v>
      </c>
      <c r="H1171" s="20">
        <v>0</v>
      </c>
      <c r="I1171" s="20">
        <v>0</v>
      </c>
      <c r="J1171" s="16">
        <f>OR(F1171&lt;&gt;0,G1171&lt;&gt;0,H1171&lt;&gt;0,I1171&lt;&gt;0)*(F1171 + (F1171 = 0))*(G1171 + (G1171 = 0))*(H1171 + (H1171 = 0))*(I1171 + (I1171 = 0))</f>
        <v>3.99</v>
      </c>
      <c r="K1171" s="9"/>
      <c r="L1171" s="9"/>
      <c r="M1171" s="9"/>
    </row>
    <row r="1172" spans="1:13">
      <c r="A1172" s="9"/>
      <c r="B1172" s="9"/>
      <c r="C1172" s="9"/>
      <c r="D1172" s="30"/>
      <c r="E1172" s="9"/>
      <c r="F1172" s="9"/>
      <c r="G1172" s="9"/>
      <c r="H1172" s="9"/>
      <c r="I1172" s="9"/>
      <c r="J1172" s="21" t="s">
        <v>1059</v>
      </c>
      <c r="K1172" s="22">
        <f>J1171</f>
        <v>3.99</v>
      </c>
      <c r="L1172" s="23">
        <v>0</v>
      </c>
      <c r="M1172" s="24">
        <f>ROUND(K1172*L1172,2)</f>
        <v>0</v>
      </c>
    </row>
    <row r="1173" spans="1:13" ht="0.95" customHeight="1">
      <c r="A1173" s="25"/>
      <c r="B1173" s="25"/>
      <c r="C1173" s="25"/>
      <c r="D1173" s="31"/>
      <c r="E1173" s="25"/>
      <c r="F1173" s="25"/>
      <c r="G1173" s="25"/>
      <c r="H1173" s="25"/>
      <c r="I1173" s="25"/>
      <c r="J1173" s="25"/>
      <c r="K1173" s="25"/>
      <c r="L1173" s="25"/>
      <c r="M1173" s="25"/>
    </row>
    <row r="1174" spans="1:13" ht="33.75">
      <c r="A1174" s="15" t="s">
        <v>1060</v>
      </c>
      <c r="B1174" s="10" t="s">
        <v>23</v>
      </c>
      <c r="C1174" s="10" t="s">
        <v>66</v>
      </c>
      <c r="D1174" s="18" t="s">
        <v>1061</v>
      </c>
      <c r="E1174" s="9"/>
      <c r="F1174" s="9"/>
      <c r="G1174" s="9"/>
      <c r="H1174" s="9"/>
      <c r="I1174" s="9"/>
      <c r="J1174" s="9"/>
      <c r="K1174" s="16">
        <f>K1177</f>
        <v>4</v>
      </c>
      <c r="L1174" s="17">
        <f>L1177</f>
        <v>0</v>
      </c>
      <c r="M1174" s="17">
        <f>M1177</f>
        <v>0</v>
      </c>
    </row>
    <row r="1175" spans="1:13">
      <c r="A1175" s="9"/>
      <c r="B1175" s="9"/>
      <c r="C1175" s="9"/>
      <c r="D1175" s="18" t="s">
        <v>1062</v>
      </c>
      <c r="E1175" s="9"/>
      <c r="F1175" s="9"/>
      <c r="G1175" s="9"/>
      <c r="H1175" s="9"/>
      <c r="I1175" s="9"/>
      <c r="J1175" s="9"/>
      <c r="K1175" s="9"/>
      <c r="L1175" s="9"/>
      <c r="M1175" s="9"/>
    </row>
    <row r="1176" spans="1:13">
      <c r="A1176" s="9"/>
      <c r="B1176" s="9"/>
      <c r="C1176" s="10" t="s">
        <v>27</v>
      </c>
      <c r="D1176" s="30"/>
      <c r="E1176" s="10" t="s">
        <v>17</v>
      </c>
      <c r="F1176" s="19">
        <v>4</v>
      </c>
      <c r="G1176" s="20">
        <v>1</v>
      </c>
      <c r="H1176" s="20">
        <v>0</v>
      </c>
      <c r="I1176" s="20">
        <v>0</v>
      </c>
      <c r="J1176" s="16">
        <f>OR(F1176&lt;&gt;0,G1176&lt;&gt;0,H1176&lt;&gt;0,I1176&lt;&gt;0)*(F1176 + (F1176 = 0))*(G1176 + (G1176 = 0))*(H1176 + (H1176 = 0))*(I1176 + (I1176 = 0))</f>
        <v>4</v>
      </c>
      <c r="K1176" s="9"/>
      <c r="L1176" s="9"/>
      <c r="M1176" s="9"/>
    </row>
    <row r="1177" spans="1:13">
      <c r="A1177" s="9"/>
      <c r="B1177" s="9"/>
      <c r="C1177" s="9"/>
      <c r="D1177" s="30"/>
      <c r="E1177" s="9"/>
      <c r="F1177" s="9"/>
      <c r="G1177" s="9"/>
      <c r="H1177" s="9"/>
      <c r="I1177" s="9"/>
      <c r="J1177" s="21" t="s">
        <v>1063</v>
      </c>
      <c r="K1177" s="22">
        <f>J1176</f>
        <v>4</v>
      </c>
      <c r="L1177" s="23">
        <v>0</v>
      </c>
      <c r="M1177" s="24">
        <f>ROUND(K1177*L1177,2)</f>
        <v>0</v>
      </c>
    </row>
    <row r="1178" spans="1:13" ht="0.95" customHeight="1">
      <c r="A1178" s="25"/>
      <c r="B1178" s="25"/>
      <c r="C1178" s="25"/>
      <c r="D1178" s="31"/>
      <c r="E1178" s="25"/>
      <c r="F1178" s="25"/>
      <c r="G1178" s="25"/>
      <c r="H1178" s="25"/>
      <c r="I1178" s="25"/>
      <c r="J1178" s="25"/>
      <c r="K1178" s="25"/>
      <c r="L1178" s="25"/>
      <c r="M1178" s="25"/>
    </row>
    <row r="1179" spans="1:13" ht="33.75">
      <c r="A1179" s="15" t="s">
        <v>1064</v>
      </c>
      <c r="B1179" s="10" t="s">
        <v>23</v>
      </c>
      <c r="C1179" s="10" t="s">
        <v>4</v>
      </c>
      <c r="D1179" s="18" t="s">
        <v>1065</v>
      </c>
      <c r="E1179" s="9"/>
      <c r="F1179" s="9"/>
      <c r="G1179" s="9"/>
      <c r="H1179" s="9"/>
      <c r="I1179" s="9"/>
      <c r="J1179" s="9"/>
      <c r="K1179" s="20">
        <v>4</v>
      </c>
      <c r="L1179" s="23">
        <v>0</v>
      </c>
      <c r="M1179" s="17">
        <f>ROUND(K1179*L1179,2)</f>
        <v>0</v>
      </c>
    </row>
    <row r="1180" spans="1:13" ht="67.5">
      <c r="A1180" s="9"/>
      <c r="B1180" s="9"/>
      <c r="C1180" s="9"/>
      <c r="D1180" s="18" t="s">
        <v>1066</v>
      </c>
      <c r="E1180" s="9"/>
      <c r="F1180" s="9"/>
      <c r="G1180" s="9"/>
      <c r="H1180" s="9"/>
      <c r="I1180" s="9"/>
      <c r="J1180" s="9"/>
      <c r="K1180" s="9"/>
      <c r="L1180" s="9"/>
      <c r="M1180" s="9"/>
    </row>
    <row r="1181" spans="1:13" ht="33.75">
      <c r="A1181" s="15" t="s">
        <v>1067</v>
      </c>
      <c r="B1181" s="10" t="s">
        <v>23</v>
      </c>
      <c r="C1181" s="10" t="s">
        <v>66</v>
      </c>
      <c r="D1181" s="18" t="s">
        <v>1068</v>
      </c>
      <c r="E1181" s="9"/>
      <c r="F1181" s="9"/>
      <c r="G1181" s="9"/>
      <c r="H1181" s="9"/>
      <c r="I1181" s="9"/>
      <c r="J1181" s="9"/>
      <c r="K1181" s="20">
        <v>4.8499999999999996</v>
      </c>
      <c r="L1181" s="23">
        <v>0</v>
      </c>
      <c r="M1181" s="17">
        <f>ROUND(K1181*L1181,2)</f>
        <v>0</v>
      </c>
    </row>
    <row r="1182" spans="1:13">
      <c r="A1182" s="9"/>
      <c r="B1182" s="9"/>
      <c r="C1182" s="9"/>
      <c r="D1182" s="18" t="s">
        <v>1069</v>
      </c>
      <c r="E1182" s="9"/>
      <c r="F1182" s="9"/>
      <c r="G1182" s="9"/>
      <c r="H1182" s="9"/>
      <c r="I1182" s="9"/>
      <c r="J1182" s="9"/>
      <c r="K1182" s="9"/>
      <c r="L1182" s="9"/>
      <c r="M1182" s="9"/>
    </row>
    <row r="1183" spans="1:13">
      <c r="A1183" s="9"/>
      <c r="B1183" s="9"/>
      <c r="C1183" s="9"/>
      <c r="D1183" s="30"/>
      <c r="E1183" s="9"/>
      <c r="F1183" s="9"/>
      <c r="G1183" s="9"/>
      <c r="H1183" s="9"/>
      <c r="I1183" s="9"/>
      <c r="J1183" s="21" t="s">
        <v>1070</v>
      </c>
      <c r="K1183" s="20">
        <v>1</v>
      </c>
      <c r="L1183" s="24">
        <f>M1118+M1126+M1134+M1139+M1144+M1149+M1154+M1159+M1164+M1169+M1174+M1179+M1181</f>
        <v>0</v>
      </c>
      <c r="M1183" s="24">
        <f>ROUND(K1183*L1183,2)</f>
        <v>0</v>
      </c>
    </row>
    <row r="1184" spans="1:13" ht="0.95" customHeight="1">
      <c r="A1184" s="25"/>
      <c r="B1184" s="25"/>
      <c r="C1184" s="25"/>
      <c r="D1184" s="31"/>
      <c r="E1184" s="25"/>
      <c r="F1184" s="25"/>
      <c r="G1184" s="25"/>
      <c r="H1184" s="25"/>
      <c r="I1184" s="25"/>
      <c r="J1184" s="25"/>
      <c r="K1184" s="25"/>
      <c r="L1184" s="25"/>
      <c r="M1184" s="25"/>
    </row>
    <row r="1185" spans="1:13">
      <c r="A1185" s="11" t="s">
        <v>1071</v>
      </c>
      <c r="B1185" s="11" t="s">
        <v>16</v>
      </c>
      <c r="C1185" s="11" t="s">
        <v>17</v>
      </c>
      <c r="D1185" s="29" t="s">
        <v>1072</v>
      </c>
      <c r="E1185" s="12"/>
      <c r="F1185" s="12"/>
      <c r="G1185" s="12"/>
      <c r="H1185" s="12"/>
      <c r="I1185" s="12"/>
      <c r="J1185" s="12"/>
      <c r="K1185" s="13">
        <f>K1203</f>
        <v>1</v>
      </c>
      <c r="L1185" s="14">
        <f>L1203</f>
        <v>0</v>
      </c>
      <c r="M1185" s="14">
        <f>M1203</f>
        <v>0</v>
      </c>
    </row>
    <row r="1186" spans="1:13" ht="22.5">
      <c r="A1186" s="15" t="s">
        <v>1073</v>
      </c>
      <c r="B1186" s="10" t="s">
        <v>23</v>
      </c>
      <c r="C1186" s="10" t="s">
        <v>17</v>
      </c>
      <c r="D1186" s="18" t="s">
        <v>1074</v>
      </c>
      <c r="E1186" s="9"/>
      <c r="F1186" s="9"/>
      <c r="G1186" s="9"/>
      <c r="H1186" s="9"/>
      <c r="I1186" s="9"/>
      <c r="J1186" s="9"/>
      <c r="K1186" s="16">
        <f>K1189</f>
        <v>15</v>
      </c>
      <c r="L1186" s="17">
        <f>L1189</f>
        <v>0</v>
      </c>
      <c r="M1186" s="17">
        <f>M1189</f>
        <v>0</v>
      </c>
    </row>
    <row r="1187" spans="1:13">
      <c r="A1187" s="9"/>
      <c r="B1187" s="9"/>
      <c r="C1187" s="9"/>
      <c r="D1187" s="18" t="s">
        <v>1075</v>
      </c>
      <c r="E1187" s="9"/>
      <c r="F1187" s="9"/>
      <c r="G1187" s="9"/>
      <c r="H1187" s="9"/>
      <c r="I1187" s="9"/>
      <c r="J1187" s="9"/>
      <c r="K1187" s="9"/>
      <c r="L1187" s="9"/>
      <c r="M1187" s="9"/>
    </row>
    <row r="1188" spans="1:13">
      <c r="A1188" s="9"/>
      <c r="B1188" s="9"/>
      <c r="C1188" s="10" t="s">
        <v>27</v>
      </c>
      <c r="D1188" s="30"/>
      <c r="E1188" s="10" t="s">
        <v>17</v>
      </c>
      <c r="F1188" s="19">
        <v>15</v>
      </c>
      <c r="G1188" s="23">
        <v>0</v>
      </c>
      <c r="H1188" s="23">
        <v>0</v>
      </c>
      <c r="I1188" s="23">
        <v>0</v>
      </c>
      <c r="J1188" s="17">
        <f>OR(F1188&lt;&gt;0,G1188&lt;&gt;0,H1188&lt;&gt;0,I1188&lt;&gt;0)*(F1188 + (F1188 = 0))*(G1188 + (G1188 = 0))*(H1188 + (H1188 = 0))*(I1188 + (I1188 = 0))</f>
        <v>15</v>
      </c>
      <c r="K1188" s="9"/>
      <c r="L1188" s="9"/>
      <c r="M1188" s="9"/>
    </row>
    <row r="1189" spans="1:13">
      <c r="A1189" s="9"/>
      <c r="B1189" s="9"/>
      <c r="C1189" s="9"/>
      <c r="D1189" s="30"/>
      <c r="E1189" s="9"/>
      <c r="F1189" s="9"/>
      <c r="G1189" s="9"/>
      <c r="H1189" s="9"/>
      <c r="I1189" s="9"/>
      <c r="J1189" s="21" t="s">
        <v>1076</v>
      </c>
      <c r="K1189" s="22">
        <f>J1188</f>
        <v>15</v>
      </c>
      <c r="L1189" s="23">
        <v>0</v>
      </c>
      <c r="M1189" s="24">
        <f>ROUND(K1189*L1189,2)</f>
        <v>0</v>
      </c>
    </row>
    <row r="1190" spans="1:13" ht="0.95" customHeight="1">
      <c r="A1190" s="25"/>
      <c r="B1190" s="25"/>
      <c r="C1190" s="25"/>
      <c r="D1190" s="31"/>
      <c r="E1190" s="25"/>
      <c r="F1190" s="25"/>
      <c r="G1190" s="25"/>
      <c r="H1190" s="25"/>
      <c r="I1190" s="25"/>
      <c r="J1190" s="25"/>
      <c r="K1190" s="25"/>
      <c r="L1190" s="25"/>
      <c r="M1190" s="25"/>
    </row>
    <row r="1191" spans="1:13" ht="22.5">
      <c r="A1191" s="15" t="s">
        <v>1077</v>
      </c>
      <c r="B1191" s="10" t="s">
        <v>23</v>
      </c>
      <c r="C1191" s="10" t="s">
        <v>17</v>
      </c>
      <c r="D1191" s="18" t="s">
        <v>1078</v>
      </c>
      <c r="E1191" s="9"/>
      <c r="F1191" s="9"/>
      <c r="G1191" s="9"/>
      <c r="H1191" s="9"/>
      <c r="I1191" s="9"/>
      <c r="J1191" s="9"/>
      <c r="K1191" s="16">
        <f>K1196</f>
        <v>39</v>
      </c>
      <c r="L1191" s="17">
        <f>L1196</f>
        <v>0</v>
      </c>
      <c r="M1191" s="17">
        <f>M1196</f>
        <v>0</v>
      </c>
    </row>
    <row r="1192" spans="1:13">
      <c r="A1192" s="9"/>
      <c r="B1192" s="9"/>
      <c r="C1192" s="9"/>
      <c r="D1192" s="18" t="s">
        <v>1079</v>
      </c>
      <c r="E1192" s="9"/>
      <c r="F1192" s="9"/>
      <c r="G1192" s="9"/>
      <c r="H1192" s="9"/>
      <c r="I1192" s="9"/>
      <c r="J1192" s="9"/>
      <c r="K1192" s="9"/>
      <c r="L1192" s="9"/>
      <c r="M1192" s="9"/>
    </row>
    <row r="1193" spans="1:13">
      <c r="A1193" s="9"/>
      <c r="B1193" s="9"/>
      <c r="C1193" s="10" t="s">
        <v>27</v>
      </c>
      <c r="D1193" s="30"/>
      <c r="E1193" s="10" t="s">
        <v>1080</v>
      </c>
      <c r="F1193" s="19">
        <v>3</v>
      </c>
      <c r="G1193" s="23">
        <v>0</v>
      </c>
      <c r="H1193" s="23">
        <v>0</v>
      </c>
      <c r="I1193" s="23">
        <v>0</v>
      </c>
      <c r="J1193" s="17">
        <f>OR(F1193&lt;&gt;0,G1193&lt;&gt;0,H1193&lt;&gt;0,I1193&lt;&gt;0)*(F1193 + (F1193 = 0))*(G1193 + (G1193 = 0))*(H1193 + (H1193 = 0))*(I1193 + (I1193 = 0))</f>
        <v>3</v>
      </c>
      <c r="K1193" s="9"/>
      <c r="L1193" s="9"/>
      <c r="M1193" s="9"/>
    </row>
    <row r="1194" spans="1:13">
      <c r="A1194" s="9"/>
      <c r="B1194" s="9"/>
      <c r="C1194" s="10" t="s">
        <v>27</v>
      </c>
      <c r="D1194" s="30"/>
      <c r="E1194" s="10" t="s">
        <v>111</v>
      </c>
      <c r="F1194" s="19">
        <v>18</v>
      </c>
      <c r="G1194" s="23">
        <v>0</v>
      </c>
      <c r="H1194" s="23">
        <v>0</v>
      </c>
      <c r="I1194" s="23">
        <v>0</v>
      </c>
      <c r="J1194" s="17">
        <f>OR(F1194&lt;&gt;0,G1194&lt;&gt;0,H1194&lt;&gt;0,I1194&lt;&gt;0)*(F1194 + (F1194 = 0))*(G1194 + (G1194 = 0))*(H1194 + (H1194 = 0))*(I1194 + (I1194 = 0))</f>
        <v>18</v>
      </c>
      <c r="K1194" s="9"/>
      <c r="L1194" s="9"/>
      <c r="M1194" s="9"/>
    </row>
    <row r="1195" spans="1:13">
      <c r="A1195" s="9"/>
      <c r="B1195" s="9"/>
      <c r="C1195" s="10" t="s">
        <v>27</v>
      </c>
      <c r="D1195" s="30"/>
      <c r="E1195" s="10" t="s">
        <v>1081</v>
      </c>
      <c r="F1195" s="19">
        <v>18</v>
      </c>
      <c r="G1195" s="23">
        <v>0</v>
      </c>
      <c r="H1195" s="23">
        <v>0</v>
      </c>
      <c r="I1195" s="23">
        <v>0</v>
      </c>
      <c r="J1195" s="17">
        <f>OR(F1195&lt;&gt;0,G1195&lt;&gt;0,H1195&lt;&gt;0,I1195&lt;&gt;0)*(F1195 + (F1195 = 0))*(G1195 + (G1195 = 0))*(H1195 + (H1195 = 0))*(I1195 + (I1195 = 0))</f>
        <v>18</v>
      </c>
      <c r="K1195" s="9"/>
      <c r="L1195" s="9"/>
      <c r="M1195" s="9"/>
    </row>
    <row r="1196" spans="1:13">
      <c r="A1196" s="9"/>
      <c r="B1196" s="9"/>
      <c r="C1196" s="9"/>
      <c r="D1196" s="30"/>
      <c r="E1196" s="9"/>
      <c r="F1196" s="9"/>
      <c r="G1196" s="9"/>
      <c r="H1196" s="9"/>
      <c r="I1196" s="9"/>
      <c r="J1196" s="21" t="s">
        <v>1082</v>
      </c>
      <c r="K1196" s="22">
        <f>SUM(J1193:J1195)</f>
        <v>39</v>
      </c>
      <c r="L1196" s="23">
        <v>0</v>
      </c>
      <c r="M1196" s="24">
        <f>ROUND(K1196*L1196,2)</f>
        <v>0</v>
      </c>
    </row>
    <row r="1197" spans="1:13" ht="0.95" customHeight="1">
      <c r="A1197" s="25"/>
      <c r="B1197" s="25"/>
      <c r="C1197" s="25"/>
      <c r="D1197" s="31"/>
      <c r="E1197" s="25"/>
      <c r="F1197" s="25"/>
      <c r="G1197" s="25"/>
      <c r="H1197" s="25"/>
      <c r="I1197" s="25"/>
      <c r="J1197" s="25"/>
      <c r="K1197" s="25"/>
      <c r="L1197" s="25"/>
      <c r="M1197" s="25"/>
    </row>
    <row r="1198" spans="1:13">
      <c r="A1198" s="15" t="s">
        <v>1083</v>
      </c>
      <c r="B1198" s="10" t="s">
        <v>23</v>
      </c>
      <c r="C1198" s="10" t="s">
        <v>17</v>
      </c>
      <c r="D1198" s="18" t="s">
        <v>1084</v>
      </c>
      <c r="E1198" s="9"/>
      <c r="F1198" s="9"/>
      <c r="G1198" s="9"/>
      <c r="H1198" s="9"/>
      <c r="I1198" s="9"/>
      <c r="J1198" s="9"/>
      <c r="K1198" s="16">
        <f>K1201</f>
        <v>4</v>
      </c>
      <c r="L1198" s="17">
        <f>L1201</f>
        <v>0</v>
      </c>
      <c r="M1198" s="17">
        <f>M1201</f>
        <v>0</v>
      </c>
    </row>
    <row r="1199" spans="1:13" ht="67.5">
      <c r="A1199" s="9"/>
      <c r="B1199" s="9"/>
      <c r="C1199" s="9"/>
      <c r="D1199" s="18" t="s">
        <v>1085</v>
      </c>
      <c r="E1199" s="9"/>
      <c r="F1199" s="9"/>
      <c r="G1199" s="9"/>
      <c r="H1199" s="9"/>
      <c r="I1199" s="9"/>
      <c r="J1199" s="9"/>
      <c r="K1199" s="9"/>
      <c r="L1199" s="9"/>
      <c r="M1199" s="9"/>
    </row>
    <row r="1200" spans="1:13">
      <c r="A1200" s="9"/>
      <c r="B1200" s="9"/>
      <c r="C1200" s="10" t="s">
        <v>27</v>
      </c>
      <c r="D1200" s="30"/>
      <c r="E1200" s="10" t="s">
        <v>1080</v>
      </c>
      <c r="F1200" s="19">
        <v>4</v>
      </c>
      <c r="G1200" s="23">
        <v>0</v>
      </c>
      <c r="H1200" s="23">
        <v>0</v>
      </c>
      <c r="I1200" s="23">
        <v>0</v>
      </c>
      <c r="J1200" s="17">
        <f>OR(F1200&lt;&gt;0,G1200&lt;&gt;0,H1200&lt;&gt;0,I1200&lt;&gt;0)*(F1200 + (F1200 = 0))*(G1200 + (G1200 = 0))*(H1200 + (H1200 = 0))*(I1200 + (I1200 = 0))</f>
        <v>4</v>
      </c>
      <c r="K1200" s="9"/>
      <c r="L1200" s="9"/>
      <c r="M1200" s="9"/>
    </row>
    <row r="1201" spans="1:13">
      <c r="A1201" s="9"/>
      <c r="B1201" s="9"/>
      <c r="C1201" s="9"/>
      <c r="D1201" s="30"/>
      <c r="E1201" s="9"/>
      <c r="F1201" s="9"/>
      <c r="G1201" s="9"/>
      <c r="H1201" s="9"/>
      <c r="I1201" s="9"/>
      <c r="J1201" s="21" t="s">
        <v>1086</v>
      </c>
      <c r="K1201" s="22">
        <f>J1200</f>
        <v>4</v>
      </c>
      <c r="L1201" s="23">
        <v>0</v>
      </c>
      <c r="M1201" s="24">
        <f>ROUND(K1201*L1201,2)</f>
        <v>0</v>
      </c>
    </row>
    <row r="1202" spans="1:13" ht="0.95" customHeight="1">
      <c r="A1202" s="25"/>
      <c r="B1202" s="25"/>
      <c r="C1202" s="25"/>
      <c r="D1202" s="31"/>
      <c r="E1202" s="25"/>
      <c r="F1202" s="25"/>
      <c r="G1202" s="25"/>
      <c r="H1202" s="25"/>
      <c r="I1202" s="25"/>
      <c r="J1202" s="25"/>
      <c r="K1202" s="25"/>
      <c r="L1202" s="25"/>
      <c r="M1202" s="25"/>
    </row>
    <row r="1203" spans="1:13">
      <c r="A1203" s="9"/>
      <c r="B1203" s="9"/>
      <c r="C1203" s="9"/>
      <c r="D1203" s="30"/>
      <c r="E1203" s="9"/>
      <c r="F1203" s="9"/>
      <c r="G1203" s="9"/>
      <c r="H1203" s="9"/>
      <c r="I1203" s="9"/>
      <c r="J1203" s="21" t="s">
        <v>1087</v>
      </c>
      <c r="K1203" s="20">
        <v>1</v>
      </c>
      <c r="L1203" s="24">
        <f>M1186+M1191+M1198</f>
        <v>0</v>
      </c>
      <c r="M1203" s="24">
        <f>ROUND(K1203*L1203,2)</f>
        <v>0</v>
      </c>
    </row>
    <row r="1204" spans="1:13" ht="0.95" customHeight="1">
      <c r="A1204" s="25"/>
      <c r="B1204" s="25"/>
      <c r="C1204" s="25"/>
      <c r="D1204" s="31"/>
      <c r="E1204" s="25"/>
      <c r="F1204" s="25"/>
      <c r="G1204" s="25"/>
      <c r="H1204" s="25"/>
      <c r="I1204" s="25"/>
      <c r="J1204" s="25"/>
      <c r="K1204" s="25"/>
      <c r="L1204" s="25"/>
      <c r="M1204" s="25"/>
    </row>
    <row r="1205" spans="1:13">
      <c r="A1205" s="9"/>
      <c r="B1205" s="9"/>
      <c r="C1205" s="9"/>
      <c r="D1205" s="30"/>
      <c r="E1205" s="9"/>
      <c r="F1205" s="9"/>
      <c r="G1205" s="9"/>
      <c r="H1205" s="9"/>
      <c r="I1205" s="9"/>
      <c r="J1205" s="21" t="s">
        <v>1088</v>
      </c>
      <c r="K1205" s="26">
        <v>1</v>
      </c>
      <c r="L1205" s="24">
        <f>M808+M819+M853+M951+M1036+M1082+M1092+M1111+M1117+M1185</f>
        <v>0</v>
      </c>
      <c r="M1205" s="24">
        <f>ROUND(K1205*L1205,2)</f>
        <v>0</v>
      </c>
    </row>
    <row r="1206" spans="1:13" ht="0.95" customHeight="1">
      <c r="A1206" s="25"/>
      <c r="B1206" s="25"/>
      <c r="C1206" s="25"/>
      <c r="D1206" s="31"/>
      <c r="E1206" s="25"/>
      <c r="F1206" s="25"/>
      <c r="G1206" s="25"/>
      <c r="H1206" s="25"/>
      <c r="I1206" s="25"/>
      <c r="J1206" s="25"/>
      <c r="K1206" s="25"/>
      <c r="L1206" s="25"/>
      <c r="M1206" s="25"/>
    </row>
    <row r="1207" spans="1:13">
      <c r="A1207" s="5" t="s">
        <v>1089</v>
      </c>
      <c r="B1207" s="5" t="s">
        <v>16</v>
      </c>
      <c r="C1207" s="5" t="s">
        <v>17</v>
      </c>
      <c r="D1207" s="28" t="s">
        <v>1090</v>
      </c>
      <c r="E1207" s="6"/>
      <c r="F1207" s="6"/>
      <c r="G1207" s="6"/>
      <c r="H1207" s="6"/>
      <c r="I1207" s="6"/>
      <c r="J1207" s="6"/>
      <c r="K1207" s="7">
        <f>K1416</f>
        <v>1</v>
      </c>
      <c r="L1207" s="8">
        <f>L1416</f>
        <v>0</v>
      </c>
      <c r="M1207" s="8">
        <f>M1416</f>
        <v>0</v>
      </c>
    </row>
    <row r="1208" spans="1:13">
      <c r="A1208" s="11" t="s">
        <v>1091</v>
      </c>
      <c r="B1208" s="11" t="s">
        <v>16</v>
      </c>
      <c r="C1208" s="11" t="s">
        <v>17</v>
      </c>
      <c r="D1208" s="29" t="s">
        <v>1092</v>
      </c>
      <c r="E1208" s="12"/>
      <c r="F1208" s="12"/>
      <c r="G1208" s="12"/>
      <c r="H1208" s="12"/>
      <c r="I1208" s="12"/>
      <c r="J1208" s="12"/>
      <c r="K1208" s="13">
        <f>K1316</f>
        <v>1</v>
      </c>
      <c r="L1208" s="14">
        <f>L1316</f>
        <v>0</v>
      </c>
      <c r="M1208" s="14">
        <f>M1316</f>
        <v>0</v>
      </c>
    </row>
    <row r="1209" spans="1:13" ht="33.75">
      <c r="A1209" s="15" t="s">
        <v>1093</v>
      </c>
      <c r="B1209" s="10" t="s">
        <v>23</v>
      </c>
      <c r="C1209" s="10" t="s">
        <v>94</v>
      </c>
      <c r="D1209" s="18" t="s">
        <v>1094</v>
      </c>
      <c r="E1209" s="9"/>
      <c r="F1209" s="9"/>
      <c r="G1209" s="9"/>
      <c r="H1209" s="9"/>
      <c r="I1209" s="9"/>
      <c r="J1209" s="9"/>
      <c r="K1209" s="16">
        <f>K1224</f>
        <v>103.63</v>
      </c>
      <c r="L1209" s="17">
        <f>L1224</f>
        <v>0</v>
      </c>
      <c r="M1209" s="17">
        <f>M1224</f>
        <v>0</v>
      </c>
    </row>
    <row r="1210" spans="1:13">
      <c r="A1210" s="9"/>
      <c r="B1210" s="9"/>
      <c r="C1210" s="9"/>
      <c r="D1210" s="18" t="s">
        <v>1095</v>
      </c>
      <c r="E1210" s="9"/>
      <c r="F1210" s="9"/>
      <c r="G1210" s="9"/>
      <c r="H1210" s="9"/>
      <c r="I1210" s="9"/>
      <c r="J1210" s="9"/>
      <c r="K1210" s="9"/>
      <c r="L1210" s="9"/>
      <c r="M1210" s="9"/>
    </row>
    <row r="1211" spans="1:13">
      <c r="A1211" s="9"/>
      <c r="B1211" s="9"/>
      <c r="C1211" s="10" t="s">
        <v>27</v>
      </c>
      <c r="D1211" s="30"/>
      <c r="E1211" s="10" t="s">
        <v>1096</v>
      </c>
      <c r="F1211" s="19">
        <v>1</v>
      </c>
      <c r="G1211" s="20">
        <v>7.62</v>
      </c>
      <c r="H1211" s="20">
        <v>0</v>
      </c>
      <c r="I1211" s="20">
        <v>0</v>
      </c>
      <c r="J1211" s="16">
        <f>OR(F1211&lt;&gt;0,G1211&lt;&gt;0,H1211&lt;&gt;0,I1211&lt;&gt;0)*(F1211 + (F1211 = 0))*(G1211 + (G1211 = 0))*(H1211 + (H1211 = 0))*(I1211 + (I1211 = 0))</f>
        <v>7.62</v>
      </c>
      <c r="K1211" s="9"/>
      <c r="L1211" s="9"/>
      <c r="M1211" s="9"/>
    </row>
    <row r="1212" spans="1:13">
      <c r="A1212" s="9"/>
      <c r="B1212" s="9"/>
      <c r="C1212" s="10" t="s">
        <v>27</v>
      </c>
      <c r="D1212" s="30"/>
      <c r="E1212" s="10" t="s">
        <v>1097</v>
      </c>
      <c r="F1212" s="19"/>
      <c r="G1212" s="20"/>
      <c r="H1212" s="20"/>
      <c r="I1212" s="20"/>
      <c r="J1212" s="16">
        <f>OR(F1212&lt;&gt;0,G1212&lt;&gt;0,H1212&lt;&gt;0,I1212&lt;&gt;0)*(F1212 + (F1212 = 0))*(G1212 + (G1212 = 0))*(H1212 + (H1212 = 0))*(I1212 + (I1212 = 0))</f>
        <v>0</v>
      </c>
      <c r="K1212" s="9"/>
      <c r="L1212" s="9"/>
      <c r="M1212" s="9"/>
    </row>
    <row r="1213" spans="1:13">
      <c r="A1213" s="9"/>
      <c r="B1213" s="9"/>
      <c r="C1213" s="10" t="s">
        <v>27</v>
      </c>
      <c r="D1213" s="30"/>
      <c r="E1213" s="10" t="s">
        <v>709</v>
      </c>
      <c r="F1213" s="19">
        <v>1</v>
      </c>
      <c r="G1213" s="20">
        <v>10.52</v>
      </c>
      <c r="H1213" s="20">
        <v>0</v>
      </c>
      <c r="I1213" s="20">
        <v>0</v>
      </c>
      <c r="J1213" s="16">
        <f>OR(F1213&lt;&gt;0,G1213&lt;&gt;0,H1213&lt;&gt;0,I1213&lt;&gt;0)*(F1213 + (F1213 = 0))*(G1213 + (G1213 = 0))*(H1213 + (H1213 = 0))*(I1213 + (I1213 = 0))</f>
        <v>10.52</v>
      </c>
      <c r="K1213" s="9"/>
      <c r="L1213" s="9"/>
      <c r="M1213" s="9"/>
    </row>
    <row r="1214" spans="1:13">
      <c r="A1214" s="9"/>
      <c r="B1214" s="9"/>
      <c r="C1214" s="10" t="s">
        <v>27</v>
      </c>
      <c r="D1214" s="30"/>
      <c r="E1214" s="10" t="s">
        <v>1098</v>
      </c>
      <c r="F1214" s="19">
        <v>1</v>
      </c>
      <c r="G1214" s="20">
        <v>45.15</v>
      </c>
      <c r="H1214" s="20">
        <v>0</v>
      </c>
      <c r="I1214" s="20">
        <v>0</v>
      </c>
      <c r="J1214" s="16">
        <f>OR(F1214&lt;&gt;0,G1214&lt;&gt;0,H1214&lt;&gt;0,I1214&lt;&gt;0)*(F1214 + (F1214 = 0))*(G1214 + (G1214 = 0))*(H1214 + (H1214 = 0))*(I1214 + (I1214 = 0))</f>
        <v>45.15</v>
      </c>
      <c r="K1214" s="9"/>
      <c r="L1214" s="9"/>
      <c r="M1214" s="9"/>
    </row>
    <row r="1215" spans="1:13">
      <c r="A1215" s="9"/>
      <c r="B1215" s="9"/>
      <c r="C1215" s="10" t="s">
        <v>27</v>
      </c>
      <c r="D1215" s="30"/>
      <c r="E1215" s="10" t="s">
        <v>1099</v>
      </c>
      <c r="F1215" s="19">
        <v>1</v>
      </c>
      <c r="G1215" s="20">
        <v>4.4000000000000004</v>
      </c>
      <c r="H1215" s="20">
        <v>0</v>
      </c>
      <c r="I1215" s="20">
        <v>0</v>
      </c>
      <c r="J1215" s="16">
        <f>OR(F1215&lt;&gt;0,G1215&lt;&gt;0,H1215&lt;&gt;0,I1215&lt;&gt;0)*(F1215 + (F1215 = 0))*(G1215 + (G1215 = 0))*(H1215 + (H1215 = 0))*(I1215 + (I1215 = 0))</f>
        <v>4.4000000000000004</v>
      </c>
      <c r="K1215" s="9"/>
      <c r="L1215" s="9"/>
      <c r="M1215" s="9"/>
    </row>
    <row r="1216" spans="1:13">
      <c r="A1216" s="9"/>
      <c r="B1216" s="9"/>
      <c r="C1216" s="10" t="s">
        <v>27</v>
      </c>
      <c r="D1216" s="30"/>
      <c r="E1216" s="10" t="s">
        <v>1100</v>
      </c>
      <c r="F1216" s="19">
        <v>1</v>
      </c>
      <c r="G1216" s="20">
        <v>5.8</v>
      </c>
      <c r="H1216" s="20">
        <v>0</v>
      </c>
      <c r="I1216" s="20">
        <v>0</v>
      </c>
      <c r="J1216" s="16">
        <f>OR(F1216&lt;&gt;0,G1216&lt;&gt;0,H1216&lt;&gt;0,I1216&lt;&gt;0)*(F1216 + (F1216 = 0))*(G1216 + (G1216 = 0))*(H1216 + (H1216 = 0))*(I1216 + (I1216 = 0))</f>
        <v>5.8</v>
      </c>
      <c r="K1216" s="9"/>
      <c r="L1216" s="9"/>
      <c r="M1216" s="9"/>
    </row>
    <row r="1217" spans="1:13">
      <c r="A1217" s="9"/>
      <c r="B1217" s="9"/>
      <c r="C1217" s="10" t="s">
        <v>27</v>
      </c>
      <c r="D1217" s="30"/>
      <c r="E1217" s="10" t="s">
        <v>1101</v>
      </c>
      <c r="F1217" s="19"/>
      <c r="G1217" s="20"/>
      <c r="H1217" s="20"/>
      <c r="I1217" s="20"/>
      <c r="J1217" s="16">
        <f>OR(F1217&lt;&gt;0,G1217&lt;&gt;0,H1217&lt;&gt;0,I1217&lt;&gt;0)*(F1217 + (F1217 = 0))*(G1217 + (G1217 = 0))*(H1217 + (H1217 = 0))*(I1217 + (I1217 = 0))</f>
        <v>0</v>
      </c>
      <c r="K1217" s="9"/>
      <c r="L1217" s="9"/>
      <c r="M1217" s="9"/>
    </row>
    <row r="1218" spans="1:13">
      <c r="A1218" s="9"/>
      <c r="B1218" s="9"/>
      <c r="C1218" s="10" t="s">
        <v>27</v>
      </c>
      <c r="D1218" s="30"/>
      <c r="E1218" s="10" t="s">
        <v>627</v>
      </c>
      <c r="F1218" s="19">
        <v>1</v>
      </c>
      <c r="G1218" s="20">
        <v>2.77</v>
      </c>
      <c r="H1218" s="20">
        <v>0</v>
      </c>
      <c r="I1218" s="20">
        <v>0</v>
      </c>
      <c r="J1218" s="16">
        <f>OR(F1218&lt;&gt;0,G1218&lt;&gt;0,H1218&lt;&gt;0,I1218&lt;&gt;0)*(F1218 + (F1218 = 0))*(G1218 + (G1218 = 0))*(H1218 + (H1218 = 0))*(I1218 + (I1218 = 0))</f>
        <v>2.77</v>
      </c>
      <c r="K1218" s="9"/>
      <c r="L1218" s="9"/>
      <c r="M1218" s="9"/>
    </row>
    <row r="1219" spans="1:13">
      <c r="A1219" s="9"/>
      <c r="B1219" s="9"/>
      <c r="C1219" s="10" t="s">
        <v>27</v>
      </c>
      <c r="D1219" s="30"/>
      <c r="E1219" s="10" t="s">
        <v>628</v>
      </c>
      <c r="F1219" s="19">
        <v>1</v>
      </c>
      <c r="G1219" s="20">
        <v>3.27</v>
      </c>
      <c r="H1219" s="20">
        <v>0</v>
      </c>
      <c r="I1219" s="20">
        <v>0</v>
      </c>
      <c r="J1219" s="16">
        <f>OR(F1219&lt;&gt;0,G1219&lt;&gt;0,H1219&lt;&gt;0,I1219&lt;&gt;0)*(F1219 + (F1219 = 0))*(G1219 + (G1219 = 0))*(H1219 + (H1219 = 0))*(I1219 + (I1219 = 0))</f>
        <v>3.27</v>
      </c>
      <c r="K1219" s="9"/>
      <c r="L1219" s="9"/>
      <c r="M1219" s="9"/>
    </row>
    <row r="1220" spans="1:13">
      <c r="A1220" s="9"/>
      <c r="B1220" s="9"/>
      <c r="C1220" s="10" t="s">
        <v>27</v>
      </c>
      <c r="D1220" s="30"/>
      <c r="E1220" s="10" t="s">
        <v>624</v>
      </c>
      <c r="F1220" s="19">
        <v>1</v>
      </c>
      <c r="G1220" s="20">
        <v>13.5</v>
      </c>
      <c r="H1220" s="20">
        <v>0</v>
      </c>
      <c r="I1220" s="20">
        <v>0</v>
      </c>
      <c r="J1220" s="16">
        <f>OR(F1220&lt;&gt;0,G1220&lt;&gt;0,H1220&lt;&gt;0,I1220&lt;&gt;0)*(F1220 + (F1220 = 0))*(G1220 + (G1220 = 0))*(H1220 + (H1220 = 0))*(I1220 + (I1220 = 0))</f>
        <v>13.5</v>
      </c>
      <c r="K1220" s="9"/>
      <c r="L1220" s="9"/>
      <c r="M1220" s="9"/>
    </row>
    <row r="1221" spans="1:13">
      <c r="A1221" s="9"/>
      <c r="B1221" s="9"/>
      <c r="C1221" s="10" t="s">
        <v>27</v>
      </c>
      <c r="D1221" s="30"/>
      <c r="E1221" s="10" t="s">
        <v>1102</v>
      </c>
      <c r="F1221" s="19"/>
      <c r="G1221" s="20"/>
      <c r="H1221" s="20"/>
      <c r="I1221" s="20"/>
      <c r="J1221" s="16">
        <f>OR(F1221&lt;&gt;0,G1221&lt;&gt;0,H1221&lt;&gt;0,I1221&lt;&gt;0)*(F1221 + (F1221 = 0))*(G1221 + (G1221 = 0))*(H1221 + (H1221 = 0))*(I1221 + (I1221 = 0))</f>
        <v>0</v>
      </c>
      <c r="K1221" s="9"/>
      <c r="L1221" s="9"/>
      <c r="M1221" s="9"/>
    </row>
    <row r="1222" spans="1:13">
      <c r="A1222" s="9"/>
      <c r="B1222" s="9"/>
      <c r="C1222" s="10" t="s">
        <v>27</v>
      </c>
      <c r="D1222" s="30"/>
      <c r="E1222" s="10" t="s">
        <v>1103</v>
      </c>
      <c r="F1222" s="19">
        <v>1</v>
      </c>
      <c r="G1222" s="20">
        <v>8.02</v>
      </c>
      <c r="H1222" s="20">
        <v>0</v>
      </c>
      <c r="I1222" s="20">
        <v>0</v>
      </c>
      <c r="J1222" s="16">
        <f>OR(F1222&lt;&gt;0,G1222&lt;&gt;0,H1222&lt;&gt;0,I1222&lt;&gt;0)*(F1222 + (F1222 = 0))*(G1222 + (G1222 = 0))*(H1222 + (H1222 = 0))*(I1222 + (I1222 = 0))</f>
        <v>8.02</v>
      </c>
      <c r="K1222" s="9"/>
      <c r="L1222" s="9"/>
      <c r="M1222" s="9"/>
    </row>
    <row r="1223" spans="1:13">
      <c r="A1223" s="9"/>
      <c r="B1223" s="9"/>
      <c r="C1223" s="10" t="s">
        <v>27</v>
      </c>
      <c r="D1223" s="30"/>
      <c r="E1223" s="10" t="s">
        <v>1104</v>
      </c>
      <c r="F1223" s="19">
        <v>1</v>
      </c>
      <c r="G1223" s="20">
        <v>2.58</v>
      </c>
      <c r="H1223" s="20">
        <v>0</v>
      </c>
      <c r="I1223" s="20">
        <v>0</v>
      </c>
      <c r="J1223" s="16">
        <f>OR(F1223&lt;&gt;0,G1223&lt;&gt;0,H1223&lt;&gt;0,I1223&lt;&gt;0)*(F1223 + (F1223 = 0))*(G1223 + (G1223 = 0))*(H1223 + (H1223 = 0))*(I1223 + (I1223 = 0))</f>
        <v>2.58</v>
      </c>
      <c r="K1223" s="9"/>
      <c r="L1223" s="9"/>
      <c r="M1223" s="9"/>
    </row>
    <row r="1224" spans="1:13">
      <c r="A1224" s="9"/>
      <c r="B1224" s="9"/>
      <c r="C1224" s="9"/>
      <c r="D1224" s="30"/>
      <c r="E1224" s="9"/>
      <c r="F1224" s="9"/>
      <c r="G1224" s="9"/>
      <c r="H1224" s="9"/>
      <c r="I1224" s="9"/>
      <c r="J1224" s="21" t="s">
        <v>1105</v>
      </c>
      <c r="K1224" s="22">
        <f>SUM(J1211:J1223)</f>
        <v>103.63</v>
      </c>
      <c r="L1224" s="23">
        <v>0</v>
      </c>
      <c r="M1224" s="24">
        <f>ROUND(K1224*L1224,2)</f>
        <v>0</v>
      </c>
    </row>
    <row r="1225" spans="1:13" ht="0.95" customHeight="1">
      <c r="A1225" s="25"/>
      <c r="B1225" s="25"/>
      <c r="C1225" s="25"/>
      <c r="D1225" s="31"/>
      <c r="E1225" s="25"/>
      <c r="F1225" s="25"/>
      <c r="G1225" s="25"/>
      <c r="H1225" s="25"/>
      <c r="I1225" s="25"/>
      <c r="J1225" s="25"/>
      <c r="K1225" s="25"/>
      <c r="L1225" s="25"/>
      <c r="M1225" s="25"/>
    </row>
    <row r="1226" spans="1:13" ht="33.75">
      <c r="A1226" s="15" t="s">
        <v>1106</v>
      </c>
      <c r="B1226" s="10" t="s">
        <v>23</v>
      </c>
      <c r="C1226" s="10" t="s">
        <v>94</v>
      </c>
      <c r="D1226" s="18" t="s">
        <v>1107</v>
      </c>
      <c r="E1226" s="9"/>
      <c r="F1226" s="9"/>
      <c r="G1226" s="9"/>
      <c r="H1226" s="9"/>
      <c r="I1226" s="9"/>
      <c r="J1226" s="9"/>
      <c r="K1226" s="16">
        <f>K1234</f>
        <v>81.278999999999996</v>
      </c>
      <c r="L1226" s="17">
        <f>L1234</f>
        <v>0</v>
      </c>
      <c r="M1226" s="17">
        <f>M1234</f>
        <v>0</v>
      </c>
    </row>
    <row r="1227" spans="1:13">
      <c r="A1227" s="9"/>
      <c r="B1227" s="9"/>
      <c r="C1227" s="9"/>
      <c r="D1227" s="18" t="s">
        <v>1108</v>
      </c>
      <c r="E1227" s="9"/>
      <c r="F1227" s="9"/>
      <c r="G1227" s="9"/>
      <c r="H1227" s="9"/>
      <c r="I1227" s="9"/>
      <c r="J1227" s="9"/>
      <c r="K1227" s="9"/>
      <c r="L1227" s="9"/>
      <c r="M1227" s="9"/>
    </row>
    <row r="1228" spans="1:13">
      <c r="A1228" s="9"/>
      <c r="B1228" s="9"/>
      <c r="C1228" s="10" t="s">
        <v>27</v>
      </c>
      <c r="D1228" s="30"/>
      <c r="E1228" s="10" t="s">
        <v>1109</v>
      </c>
      <c r="F1228" s="19"/>
      <c r="G1228" s="20"/>
      <c r="H1228" s="20"/>
      <c r="I1228" s="20"/>
      <c r="J1228" s="16">
        <f>OR(F1228&lt;&gt;0,G1228&lt;&gt;0,H1228&lt;&gt;0,I1228&lt;&gt;0)*(F1228 + (F1228 = 0))*(G1228 + (G1228 = 0))*(H1228 + (H1228 = 0))*(I1228 + (I1228 = 0))</f>
        <v>0</v>
      </c>
      <c r="K1228" s="9"/>
      <c r="L1228" s="9"/>
      <c r="M1228" s="9"/>
    </row>
    <row r="1229" spans="1:13">
      <c r="A1229" s="9"/>
      <c r="B1229" s="9"/>
      <c r="C1229" s="10" t="s">
        <v>27</v>
      </c>
      <c r="D1229" s="30"/>
      <c r="E1229" s="10" t="s">
        <v>1110</v>
      </c>
      <c r="F1229" s="19">
        <v>1</v>
      </c>
      <c r="G1229" s="20">
        <v>6.5</v>
      </c>
      <c r="H1229" s="20">
        <v>4.3</v>
      </c>
      <c r="I1229" s="20">
        <v>0</v>
      </c>
      <c r="J1229" s="16">
        <f>OR(F1229&lt;&gt;0,G1229&lt;&gt;0,H1229&lt;&gt;0,I1229&lt;&gt;0)*(F1229 + (F1229 = 0))*(G1229 + (G1229 = 0))*(H1229 + (H1229 = 0))*(I1229 + (I1229 = 0))</f>
        <v>27.95</v>
      </c>
      <c r="K1229" s="9"/>
      <c r="L1229" s="9"/>
      <c r="M1229" s="9"/>
    </row>
    <row r="1230" spans="1:13">
      <c r="A1230" s="9"/>
      <c r="B1230" s="9"/>
      <c r="C1230" s="10" t="s">
        <v>27</v>
      </c>
      <c r="D1230" s="30"/>
      <c r="E1230" s="10" t="s">
        <v>17</v>
      </c>
      <c r="F1230" s="19">
        <v>1</v>
      </c>
      <c r="G1230" s="20">
        <v>6.5</v>
      </c>
      <c r="H1230" s="20">
        <v>6.25</v>
      </c>
      <c r="I1230" s="20">
        <v>0</v>
      </c>
      <c r="J1230" s="16">
        <f>OR(F1230&lt;&gt;0,G1230&lt;&gt;0,H1230&lt;&gt;0,I1230&lt;&gt;0)*(F1230 + (F1230 = 0))*(G1230 + (G1230 = 0))*(H1230 + (H1230 = 0))*(I1230 + (I1230 = 0))</f>
        <v>40.625</v>
      </c>
      <c r="K1230" s="9"/>
      <c r="L1230" s="9"/>
      <c r="M1230" s="9"/>
    </row>
    <row r="1231" spans="1:13">
      <c r="A1231" s="9"/>
      <c r="B1231" s="9"/>
      <c r="C1231" s="10" t="s">
        <v>27</v>
      </c>
      <c r="D1231" s="30"/>
      <c r="E1231" s="10" t="s">
        <v>17</v>
      </c>
      <c r="F1231" s="19">
        <v>1</v>
      </c>
      <c r="G1231" s="20">
        <v>5.6</v>
      </c>
      <c r="H1231" s="20">
        <v>4.1500000000000004</v>
      </c>
      <c r="I1231" s="20">
        <v>0</v>
      </c>
      <c r="J1231" s="16">
        <f>OR(F1231&lt;&gt;0,G1231&lt;&gt;0,H1231&lt;&gt;0,I1231&lt;&gt;0)*(F1231 + (F1231 = 0))*(G1231 + (G1231 = 0))*(H1231 + (H1231 = 0))*(I1231 + (I1231 = 0))</f>
        <v>23.24</v>
      </c>
      <c r="K1231" s="9"/>
      <c r="L1231" s="9"/>
      <c r="M1231" s="9"/>
    </row>
    <row r="1232" spans="1:13">
      <c r="A1232" s="9"/>
      <c r="B1232" s="9"/>
      <c r="C1232" s="10" t="s">
        <v>27</v>
      </c>
      <c r="D1232" s="30"/>
      <c r="E1232" s="10" t="s">
        <v>17</v>
      </c>
      <c r="F1232" s="19">
        <v>-1</v>
      </c>
      <c r="G1232" s="20">
        <v>1.75</v>
      </c>
      <c r="H1232" s="20">
        <v>2.4500000000000002</v>
      </c>
      <c r="I1232" s="20">
        <v>0</v>
      </c>
      <c r="J1232" s="16">
        <f>OR(F1232&lt;&gt;0,G1232&lt;&gt;0,H1232&lt;&gt;0,I1232&lt;&gt;0)*(F1232 + (F1232 = 0))*(G1232 + (G1232 = 0))*(H1232 + (H1232 = 0))*(I1232 + (I1232 = 0))</f>
        <v>-4.2880000000000003</v>
      </c>
      <c r="K1232" s="9"/>
      <c r="L1232" s="9"/>
      <c r="M1232" s="9"/>
    </row>
    <row r="1233" spans="1:13">
      <c r="A1233" s="9"/>
      <c r="B1233" s="9"/>
      <c r="C1233" s="10" t="s">
        <v>27</v>
      </c>
      <c r="D1233" s="30"/>
      <c r="E1233" s="10" t="s">
        <v>17</v>
      </c>
      <c r="F1233" s="19">
        <v>-1</v>
      </c>
      <c r="G1233" s="20">
        <v>2.5499999999999998</v>
      </c>
      <c r="H1233" s="20">
        <v>2.4500000000000002</v>
      </c>
      <c r="I1233" s="20">
        <v>0</v>
      </c>
      <c r="J1233" s="16">
        <f>OR(F1233&lt;&gt;0,G1233&lt;&gt;0,H1233&lt;&gt;0,I1233&lt;&gt;0)*(F1233 + (F1233 = 0))*(G1233 + (G1233 = 0))*(H1233 + (H1233 = 0))*(I1233 + (I1233 = 0))</f>
        <v>-6.2480000000000002</v>
      </c>
      <c r="K1233" s="9"/>
      <c r="L1233" s="9"/>
      <c r="M1233" s="9"/>
    </row>
    <row r="1234" spans="1:13">
      <c r="A1234" s="9"/>
      <c r="B1234" s="9"/>
      <c r="C1234" s="9"/>
      <c r="D1234" s="30"/>
      <c r="E1234" s="9"/>
      <c r="F1234" s="9"/>
      <c r="G1234" s="9"/>
      <c r="H1234" s="9"/>
      <c r="I1234" s="9"/>
      <c r="J1234" s="21" t="s">
        <v>1111</v>
      </c>
      <c r="K1234" s="22">
        <f>SUM(J1228:J1233)</f>
        <v>81.278999999999996</v>
      </c>
      <c r="L1234" s="23">
        <v>0</v>
      </c>
      <c r="M1234" s="24">
        <f>ROUND(K1234*L1234,2)</f>
        <v>0</v>
      </c>
    </row>
    <row r="1235" spans="1:13" ht="0.95" customHeight="1">
      <c r="A1235" s="25"/>
      <c r="B1235" s="25"/>
      <c r="C1235" s="25"/>
      <c r="D1235" s="31"/>
      <c r="E1235" s="25"/>
      <c r="F1235" s="25"/>
      <c r="G1235" s="25"/>
      <c r="H1235" s="25"/>
      <c r="I1235" s="25"/>
      <c r="J1235" s="25"/>
      <c r="K1235" s="25"/>
      <c r="L1235" s="25"/>
      <c r="M1235" s="25"/>
    </row>
    <row r="1236" spans="1:13" ht="45">
      <c r="A1236" s="15" t="s">
        <v>1112</v>
      </c>
      <c r="B1236" s="10" t="s">
        <v>23</v>
      </c>
      <c r="C1236" s="10" t="s">
        <v>94</v>
      </c>
      <c r="D1236" s="18" t="s">
        <v>1113</v>
      </c>
      <c r="E1236" s="9"/>
      <c r="F1236" s="9"/>
      <c r="G1236" s="9"/>
      <c r="H1236" s="9"/>
      <c r="I1236" s="9"/>
      <c r="J1236" s="9"/>
      <c r="K1236" s="16">
        <f>K1257</f>
        <v>198.74299999999999</v>
      </c>
      <c r="L1236" s="17">
        <f>L1257</f>
        <v>0</v>
      </c>
      <c r="M1236" s="17">
        <f>M1257</f>
        <v>0</v>
      </c>
    </row>
    <row r="1237" spans="1:13">
      <c r="A1237" s="9"/>
      <c r="B1237" s="9"/>
      <c r="C1237" s="9"/>
      <c r="D1237" s="18" t="s">
        <v>1114</v>
      </c>
      <c r="E1237" s="9"/>
      <c r="F1237" s="9"/>
      <c r="G1237" s="9"/>
      <c r="H1237" s="9"/>
      <c r="I1237" s="9"/>
      <c r="J1237" s="9"/>
      <c r="K1237" s="9"/>
      <c r="L1237" s="9"/>
      <c r="M1237" s="9"/>
    </row>
    <row r="1238" spans="1:13">
      <c r="A1238" s="9"/>
      <c r="B1238" s="9"/>
      <c r="C1238" s="10" t="s">
        <v>27</v>
      </c>
      <c r="D1238" s="30"/>
      <c r="E1238" s="10" t="s">
        <v>227</v>
      </c>
      <c r="F1238" s="19">
        <v>1</v>
      </c>
      <c r="G1238" s="20">
        <v>45.85</v>
      </c>
      <c r="H1238" s="20">
        <v>0</v>
      </c>
      <c r="I1238" s="20">
        <v>2.6</v>
      </c>
      <c r="J1238" s="16">
        <f>OR(F1238&lt;&gt;0,G1238&lt;&gt;0,H1238&lt;&gt;0,I1238&lt;&gt;0)*(F1238 + (F1238 = 0))*(G1238 + (G1238 = 0))*(H1238 + (H1238 = 0))*(I1238 + (I1238 = 0))</f>
        <v>119.21</v>
      </c>
      <c r="K1238" s="9"/>
      <c r="L1238" s="9"/>
      <c r="M1238" s="9"/>
    </row>
    <row r="1239" spans="1:13">
      <c r="A1239" s="9"/>
      <c r="B1239" s="9"/>
      <c r="C1239" s="10" t="s">
        <v>27</v>
      </c>
      <c r="D1239" s="30"/>
      <c r="E1239" s="10" t="s">
        <v>17</v>
      </c>
      <c r="F1239" s="19">
        <v>-1</v>
      </c>
      <c r="G1239" s="20">
        <v>2.5</v>
      </c>
      <c r="H1239" s="20">
        <v>0</v>
      </c>
      <c r="I1239" s="20">
        <v>0</v>
      </c>
      <c r="J1239" s="16">
        <f>OR(F1239&lt;&gt;0,G1239&lt;&gt;0,H1239&lt;&gt;0,I1239&lt;&gt;0)*(F1239 + (F1239 = 0))*(G1239 + (G1239 = 0))*(H1239 + (H1239 = 0))*(I1239 + (I1239 = 0))</f>
        <v>-2.5</v>
      </c>
      <c r="K1239" s="9"/>
      <c r="L1239" s="9"/>
      <c r="M1239" s="9"/>
    </row>
    <row r="1240" spans="1:13">
      <c r="A1240" s="9"/>
      <c r="B1240" s="9"/>
      <c r="C1240" s="10" t="s">
        <v>27</v>
      </c>
      <c r="D1240" s="30"/>
      <c r="E1240" s="10" t="s">
        <v>17</v>
      </c>
      <c r="F1240" s="19">
        <v>-1</v>
      </c>
      <c r="G1240" s="20">
        <v>3.38</v>
      </c>
      <c r="H1240" s="20">
        <v>0</v>
      </c>
      <c r="I1240" s="20">
        <v>0</v>
      </c>
      <c r="J1240" s="16">
        <f>OR(F1240&lt;&gt;0,G1240&lt;&gt;0,H1240&lt;&gt;0,I1240&lt;&gt;0)*(F1240 + (F1240 = 0))*(G1240 + (G1240 = 0))*(H1240 + (H1240 = 0))*(I1240 + (I1240 = 0))</f>
        <v>-3.38</v>
      </c>
      <c r="K1240" s="9"/>
      <c r="L1240" s="9"/>
      <c r="M1240" s="9"/>
    </row>
    <row r="1241" spans="1:13">
      <c r="A1241" s="9"/>
      <c r="B1241" s="9"/>
      <c r="C1241" s="10" t="s">
        <v>27</v>
      </c>
      <c r="D1241" s="30"/>
      <c r="E1241" s="10" t="s">
        <v>17</v>
      </c>
      <c r="F1241" s="19">
        <v>-1</v>
      </c>
      <c r="G1241" s="20">
        <v>3.32</v>
      </c>
      <c r="H1241" s="20">
        <v>0</v>
      </c>
      <c r="I1241" s="20">
        <v>0</v>
      </c>
      <c r="J1241" s="16">
        <f>OR(F1241&lt;&gt;0,G1241&lt;&gt;0,H1241&lt;&gt;0,I1241&lt;&gt;0)*(F1241 + (F1241 = 0))*(G1241 + (G1241 = 0))*(H1241 + (H1241 = 0))*(I1241 + (I1241 = 0))</f>
        <v>-3.32</v>
      </c>
      <c r="K1241" s="9"/>
      <c r="L1241" s="9"/>
      <c r="M1241" s="9"/>
    </row>
    <row r="1242" spans="1:13">
      <c r="A1242" s="9"/>
      <c r="B1242" s="9"/>
      <c r="C1242" s="10" t="s">
        <v>27</v>
      </c>
      <c r="D1242" s="30"/>
      <c r="E1242" s="10" t="s">
        <v>17</v>
      </c>
      <c r="F1242" s="19">
        <v>-1</v>
      </c>
      <c r="G1242" s="20">
        <v>6</v>
      </c>
      <c r="H1242" s="20">
        <v>0</v>
      </c>
      <c r="I1242" s="20">
        <v>0</v>
      </c>
      <c r="J1242" s="16">
        <f>OR(F1242&lt;&gt;0,G1242&lt;&gt;0,H1242&lt;&gt;0,I1242&lt;&gt;0)*(F1242 + (F1242 = 0))*(G1242 + (G1242 = 0))*(H1242 + (H1242 = 0))*(I1242 + (I1242 = 0))</f>
        <v>-6</v>
      </c>
      <c r="K1242" s="9"/>
      <c r="L1242" s="9"/>
      <c r="M1242" s="9"/>
    </row>
    <row r="1243" spans="1:13">
      <c r="A1243" s="9"/>
      <c r="B1243" s="9"/>
      <c r="C1243" s="10" t="s">
        <v>27</v>
      </c>
      <c r="D1243" s="30"/>
      <c r="E1243" s="10" t="s">
        <v>17</v>
      </c>
      <c r="F1243" s="19">
        <v>-1</v>
      </c>
      <c r="G1243" s="20">
        <v>3.92</v>
      </c>
      <c r="H1243" s="20">
        <v>0</v>
      </c>
      <c r="I1243" s="20">
        <v>0</v>
      </c>
      <c r="J1243" s="16">
        <f>OR(F1243&lt;&gt;0,G1243&lt;&gt;0,H1243&lt;&gt;0,I1243&lt;&gt;0)*(F1243 + (F1243 = 0))*(G1243 + (G1243 = 0))*(H1243 + (H1243 = 0))*(I1243 + (I1243 = 0))</f>
        <v>-3.92</v>
      </c>
      <c r="K1243" s="9"/>
      <c r="L1243" s="9"/>
      <c r="M1243" s="9"/>
    </row>
    <row r="1244" spans="1:13">
      <c r="A1244" s="9"/>
      <c r="B1244" s="9"/>
      <c r="C1244" s="10" t="s">
        <v>27</v>
      </c>
      <c r="D1244" s="30"/>
      <c r="E1244" s="10" t="s">
        <v>17</v>
      </c>
      <c r="F1244" s="19">
        <v>-1</v>
      </c>
      <c r="G1244" s="20">
        <v>3.25</v>
      </c>
      <c r="H1244" s="20">
        <v>0</v>
      </c>
      <c r="I1244" s="20">
        <v>0</v>
      </c>
      <c r="J1244" s="16">
        <f>OR(F1244&lt;&gt;0,G1244&lt;&gt;0,H1244&lt;&gt;0,I1244&lt;&gt;0)*(F1244 + (F1244 = 0))*(G1244 + (G1244 = 0))*(H1244 + (H1244 = 0))*(I1244 + (I1244 = 0))</f>
        <v>-3.25</v>
      </c>
      <c r="K1244" s="9"/>
      <c r="L1244" s="9"/>
      <c r="M1244" s="9"/>
    </row>
    <row r="1245" spans="1:13">
      <c r="A1245" s="9"/>
      <c r="B1245" s="9"/>
      <c r="C1245" s="10" t="s">
        <v>27</v>
      </c>
      <c r="D1245" s="30"/>
      <c r="E1245" s="10" t="s">
        <v>17</v>
      </c>
      <c r="F1245" s="19">
        <v>-1</v>
      </c>
      <c r="G1245" s="20">
        <v>10.34</v>
      </c>
      <c r="H1245" s="20">
        <v>0</v>
      </c>
      <c r="I1245" s="20">
        <v>0</v>
      </c>
      <c r="J1245" s="16">
        <f>OR(F1245&lt;&gt;0,G1245&lt;&gt;0,H1245&lt;&gt;0,I1245&lt;&gt;0)*(F1245 + (F1245 = 0))*(G1245 + (G1245 = 0))*(H1245 + (H1245 = 0))*(I1245 + (I1245 = 0))</f>
        <v>-10.34</v>
      </c>
      <c r="K1245" s="9"/>
      <c r="L1245" s="9"/>
      <c r="M1245" s="9"/>
    </row>
    <row r="1246" spans="1:13">
      <c r="A1246" s="9"/>
      <c r="B1246" s="9"/>
      <c r="C1246" s="10" t="s">
        <v>27</v>
      </c>
      <c r="D1246" s="30"/>
      <c r="E1246" s="10" t="s">
        <v>228</v>
      </c>
      <c r="F1246" s="19">
        <v>2</v>
      </c>
      <c r="G1246" s="20">
        <v>22.92</v>
      </c>
      <c r="H1246" s="20">
        <v>0</v>
      </c>
      <c r="I1246" s="20">
        <v>0</v>
      </c>
      <c r="J1246" s="16">
        <f>OR(F1246&lt;&gt;0,G1246&lt;&gt;0,H1246&lt;&gt;0,I1246&lt;&gt;0)*(F1246 + (F1246 = 0))*(G1246 + (G1246 = 0))*(H1246 + (H1246 = 0))*(I1246 + (I1246 = 0))</f>
        <v>45.84</v>
      </c>
      <c r="K1246" s="9"/>
      <c r="L1246" s="9"/>
      <c r="M1246" s="9"/>
    </row>
    <row r="1247" spans="1:13">
      <c r="A1247" s="9"/>
      <c r="B1247" s="9"/>
      <c r="C1247" s="10" t="s">
        <v>27</v>
      </c>
      <c r="D1247" s="30"/>
      <c r="E1247" s="10" t="s">
        <v>17</v>
      </c>
      <c r="F1247" s="19">
        <v>1</v>
      </c>
      <c r="G1247" s="20">
        <v>12.18</v>
      </c>
      <c r="H1247" s="20">
        <v>0</v>
      </c>
      <c r="I1247" s="20">
        <v>0</v>
      </c>
      <c r="J1247" s="16">
        <f>OR(F1247&lt;&gt;0,G1247&lt;&gt;0,H1247&lt;&gt;0,I1247&lt;&gt;0)*(F1247 + (F1247 = 0))*(G1247 + (G1247 = 0))*(H1247 + (H1247 = 0))*(I1247 + (I1247 = 0))</f>
        <v>12.18</v>
      </c>
      <c r="K1247" s="9"/>
      <c r="L1247" s="9"/>
      <c r="M1247" s="9"/>
    </row>
    <row r="1248" spans="1:13">
      <c r="A1248" s="9"/>
      <c r="B1248" s="9"/>
      <c r="C1248" s="10" t="s">
        <v>27</v>
      </c>
      <c r="D1248" s="30"/>
      <c r="E1248" s="10" t="s">
        <v>17</v>
      </c>
      <c r="F1248" s="19">
        <v>1</v>
      </c>
      <c r="G1248" s="20">
        <v>19.600000000000001</v>
      </c>
      <c r="H1248" s="20">
        <v>0</v>
      </c>
      <c r="I1248" s="20">
        <v>0</v>
      </c>
      <c r="J1248" s="16">
        <f>OR(F1248&lt;&gt;0,G1248&lt;&gt;0,H1248&lt;&gt;0,I1248&lt;&gt;0)*(F1248 + (F1248 = 0))*(G1248 + (G1248 = 0))*(H1248 + (H1248 = 0))*(I1248 + (I1248 = 0))</f>
        <v>19.600000000000001</v>
      </c>
      <c r="K1248" s="9"/>
      <c r="L1248" s="9"/>
      <c r="M1248" s="9"/>
    </row>
    <row r="1249" spans="1:13">
      <c r="A1249" s="9"/>
      <c r="B1249" s="9"/>
      <c r="C1249" s="10" t="s">
        <v>27</v>
      </c>
      <c r="D1249" s="30"/>
      <c r="E1249" s="10" t="s">
        <v>17</v>
      </c>
      <c r="F1249" s="19">
        <v>-2</v>
      </c>
      <c r="G1249" s="20">
        <v>5.64</v>
      </c>
      <c r="H1249" s="20">
        <v>0</v>
      </c>
      <c r="I1249" s="20">
        <v>0</v>
      </c>
      <c r="J1249" s="16">
        <f>OR(F1249&lt;&gt;0,G1249&lt;&gt;0,H1249&lt;&gt;0,I1249&lt;&gt;0)*(F1249 + (F1249 = 0))*(G1249 + (G1249 = 0))*(H1249 + (H1249 = 0))*(I1249 + (I1249 = 0))</f>
        <v>-11.28</v>
      </c>
      <c r="K1249" s="9"/>
      <c r="L1249" s="9"/>
      <c r="M1249" s="9"/>
    </row>
    <row r="1250" spans="1:13">
      <c r="A1250" s="9"/>
      <c r="B1250" s="9"/>
      <c r="C1250" s="10" t="s">
        <v>27</v>
      </c>
      <c r="D1250" s="30"/>
      <c r="E1250" s="10" t="s">
        <v>17</v>
      </c>
      <c r="F1250" s="19">
        <v>1</v>
      </c>
      <c r="G1250" s="20">
        <v>5.75</v>
      </c>
      <c r="H1250" s="20">
        <v>0</v>
      </c>
      <c r="I1250" s="20">
        <v>1.95</v>
      </c>
      <c r="J1250" s="16">
        <f>OR(F1250&lt;&gt;0,G1250&lt;&gt;0,H1250&lt;&gt;0,I1250&lt;&gt;0)*(F1250 + (F1250 = 0))*(G1250 + (G1250 = 0))*(H1250 + (H1250 = 0))*(I1250 + (I1250 = 0))</f>
        <v>11.212999999999999</v>
      </c>
      <c r="K1250" s="9"/>
      <c r="L1250" s="9"/>
      <c r="M1250" s="9"/>
    </row>
    <row r="1251" spans="1:13">
      <c r="A1251" s="9"/>
      <c r="B1251" s="9"/>
      <c r="C1251" s="10" t="s">
        <v>27</v>
      </c>
      <c r="D1251" s="30"/>
      <c r="E1251" s="10" t="s">
        <v>17</v>
      </c>
      <c r="F1251" s="19">
        <v>1</v>
      </c>
      <c r="G1251" s="20">
        <v>6.5</v>
      </c>
      <c r="H1251" s="20">
        <v>0</v>
      </c>
      <c r="I1251" s="20">
        <v>2.7</v>
      </c>
      <c r="J1251" s="16">
        <f>OR(F1251&lt;&gt;0,G1251&lt;&gt;0,H1251&lt;&gt;0,I1251&lt;&gt;0)*(F1251 + (F1251 = 0))*(G1251 + (G1251 = 0))*(H1251 + (H1251 = 0))*(I1251 + (I1251 = 0))</f>
        <v>17.55</v>
      </c>
      <c r="K1251" s="9"/>
      <c r="L1251" s="9"/>
      <c r="M1251" s="9"/>
    </row>
    <row r="1252" spans="1:13">
      <c r="A1252" s="9"/>
      <c r="B1252" s="9"/>
      <c r="C1252" s="10" t="s">
        <v>27</v>
      </c>
      <c r="D1252" s="30"/>
      <c r="E1252" s="10" t="s">
        <v>17</v>
      </c>
      <c r="F1252" s="19">
        <v>-1</v>
      </c>
      <c r="G1252" s="20">
        <v>2.0299999999999998</v>
      </c>
      <c r="H1252" s="20">
        <v>0</v>
      </c>
      <c r="I1252" s="20">
        <v>0</v>
      </c>
      <c r="J1252" s="16">
        <f>OR(F1252&lt;&gt;0,G1252&lt;&gt;0,H1252&lt;&gt;0,I1252&lt;&gt;0)*(F1252 + (F1252 = 0))*(G1252 + (G1252 = 0))*(H1252 + (H1252 = 0))*(I1252 + (I1252 = 0))</f>
        <v>-2.0299999999999998</v>
      </c>
      <c r="K1252" s="9"/>
      <c r="L1252" s="9"/>
      <c r="M1252" s="9"/>
    </row>
    <row r="1253" spans="1:13">
      <c r="A1253" s="9"/>
      <c r="B1253" s="9"/>
      <c r="C1253" s="10" t="s">
        <v>27</v>
      </c>
      <c r="D1253" s="30"/>
      <c r="E1253" s="10" t="s">
        <v>17</v>
      </c>
      <c r="F1253" s="19">
        <v>-1</v>
      </c>
      <c r="G1253" s="20">
        <v>5.99</v>
      </c>
      <c r="H1253" s="20">
        <v>0</v>
      </c>
      <c r="I1253" s="20">
        <v>0</v>
      </c>
      <c r="J1253" s="16">
        <f>OR(F1253&lt;&gt;0,G1253&lt;&gt;0,H1253&lt;&gt;0,I1253&lt;&gt;0)*(F1253 + (F1253 = 0))*(G1253 + (G1253 = 0))*(H1253 + (H1253 = 0))*(I1253 + (I1253 = 0))</f>
        <v>-5.99</v>
      </c>
      <c r="K1253" s="9"/>
      <c r="L1253" s="9"/>
      <c r="M1253" s="9"/>
    </row>
    <row r="1254" spans="1:13">
      <c r="A1254" s="9"/>
      <c r="B1254" s="9"/>
      <c r="C1254" s="10" t="s">
        <v>27</v>
      </c>
      <c r="D1254" s="30"/>
      <c r="E1254" s="10" t="s">
        <v>17</v>
      </c>
      <c r="F1254" s="19">
        <v>2</v>
      </c>
      <c r="G1254" s="20">
        <v>1.7</v>
      </c>
      <c r="H1254" s="20">
        <v>0</v>
      </c>
      <c r="I1254" s="20">
        <v>2.35</v>
      </c>
      <c r="J1254" s="16">
        <f>OR(F1254&lt;&gt;0,G1254&lt;&gt;0,H1254&lt;&gt;0,I1254&lt;&gt;0)*(F1254 + (F1254 = 0))*(G1254 + (G1254 = 0))*(H1254 + (H1254 = 0))*(I1254 + (I1254 = 0))</f>
        <v>7.99</v>
      </c>
      <c r="K1254" s="9"/>
      <c r="L1254" s="9"/>
      <c r="M1254" s="9"/>
    </row>
    <row r="1255" spans="1:13">
      <c r="A1255" s="9"/>
      <c r="B1255" s="9"/>
      <c r="C1255" s="10" t="s">
        <v>27</v>
      </c>
      <c r="D1255" s="30"/>
      <c r="E1255" s="10" t="s">
        <v>17</v>
      </c>
      <c r="F1255" s="19">
        <v>1</v>
      </c>
      <c r="G1255" s="20">
        <v>10.199999999999999</v>
      </c>
      <c r="H1255" s="20">
        <v>0</v>
      </c>
      <c r="I1255" s="20">
        <v>0</v>
      </c>
      <c r="J1255" s="16">
        <f>OR(F1255&lt;&gt;0,G1255&lt;&gt;0,H1255&lt;&gt;0,I1255&lt;&gt;0)*(F1255 + (F1255 = 0))*(G1255 + (G1255 = 0))*(H1255 + (H1255 = 0))*(I1255 + (I1255 = 0))</f>
        <v>10.199999999999999</v>
      </c>
      <c r="K1255" s="9"/>
      <c r="L1255" s="9"/>
      <c r="M1255" s="9"/>
    </row>
    <row r="1256" spans="1:13">
      <c r="A1256" s="9"/>
      <c r="B1256" s="9"/>
      <c r="C1256" s="10" t="s">
        <v>27</v>
      </c>
      <c r="D1256" s="30"/>
      <c r="E1256" s="10" t="s">
        <v>1115</v>
      </c>
      <c r="F1256" s="19">
        <v>1</v>
      </c>
      <c r="G1256" s="20">
        <v>6.97</v>
      </c>
      <c r="H1256" s="20">
        <v>0</v>
      </c>
      <c r="I1256" s="20">
        <v>0</v>
      </c>
      <c r="J1256" s="16">
        <f>OR(F1256&lt;&gt;0,G1256&lt;&gt;0,H1256&lt;&gt;0,I1256&lt;&gt;0)*(F1256 + (F1256 = 0))*(G1256 + (G1256 = 0))*(H1256 + (H1256 = 0))*(I1256 + (I1256 = 0))</f>
        <v>6.97</v>
      </c>
      <c r="K1256" s="9"/>
      <c r="L1256" s="9"/>
      <c r="M1256" s="9"/>
    </row>
    <row r="1257" spans="1:13">
      <c r="A1257" s="9"/>
      <c r="B1257" s="9"/>
      <c r="C1257" s="9"/>
      <c r="D1257" s="30"/>
      <c r="E1257" s="9"/>
      <c r="F1257" s="9"/>
      <c r="G1257" s="9"/>
      <c r="H1257" s="9"/>
      <c r="I1257" s="9"/>
      <c r="J1257" s="21" t="s">
        <v>1116</v>
      </c>
      <c r="K1257" s="22">
        <f>SUM(J1238:J1256)</f>
        <v>198.74299999999999</v>
      </c>
      <c r="L1257" s="23">
        <v>0</v>
      </c>
      <c r="M1257" s="24">
        <f>ROUND(K1257*L1257,2)</f>
        <v>0</v>
      </c>
    </row>
    <row r="1258" spans="1:13" ht="0.95" customHeight="1">
      <c r="A1258" s="25"/>
      <c r="B1258" s="25"/>
      <c r="C1258" s="25"/>
      <c r="D1258" s="31"/>
      <c r="E1258" s="25"/>
      <c r="F1258" s="25"/>
      <c r="G1258" s="25"/>
      <c r="H1258" s="25"/>
      <c r="I1258" s="25"/>
      <c r="J1258" s="25"/>
      <c r="K1258" s="25"/>
      <c r="L1258" s="25"/>
      <c r="M1258" s="25"/>
    </row>
    <row r="1259" spans="1:13" ht="33.75">
      <c r="A1259" s="15" t="s">
        <v>1117</v>
      </c>
      <c r="B1259" s="10" t="s">
        <v>23</v>
      </c>
      <c r="C1259" s="10" t="s">
        <v>94</v>
      </c>
      <c r="D1259" s="18" t="s">
        <v>1118</v>
      </c>
      <c r="E1259" s="9"/>
      <c r="F1259" s="9"/>
      <c r="G1259" s="9"/>
      <c r="H1259" s="9"/>
      <c r="I1259" s="9"/>
      <c r="J1259" s="9"/>
      <c r="K1259" s="16">
        <f>K1283</f>
        <v>32.942999999999998</v>
      </c>
      <c r="L1259" s="17">
        <f>L1283</f>
        <v>0</v>
      </c>
      <c r="M1259" s="17">
        <f>M1283</f>
        <v>0</v>
      </c>
    </row>
    <row r="1260" spans="1:13">
      <c r="A1260" s="9"/>
      <c r="B1260" s="9"/>
      <c r="C1260" s="9"/>
      <c r="D1260" s="18" t="s">
        <v>1119</v>
      </c>
      <c r="E1260" s="9"/>
      <c r="F1260" s="9"/>
      <c r="G1260" s="9"/>
      <c r="H1260" s="9"/>
      <c r="I1260" s="9"/>
      <c r="J1260" s="9"/>
      <c r="K1260" s="9"/>
      <c r="L1260" s="9"/>
      <c r="M1260" s="9"/>
    </row>
    <row r="1261" spans="1:13">
      <c r="A1261" s="9"/>
      <c r="B1261" s="9"/>
      <c r="C1261" s="10" t="s">
        <v>27</v>
      </c>
      <c r="D1261" s="30"/>
      <c r="E1261" s="10" t="s">
        <v>227</v>
      </c>
      <c r="F1261" s="19"/>
      <c r="G1261" s="20"/>
      <c r="H1261" s="20"/>
      <c r="I1261" s="20"/>
      <c r="J1261" s="16">
        <f>OR(F1261&lt;&gt;0,G1261&lt;&gt;0,H1261&lt;&gt;0,I1261&lt;&gt;0)*(F1261 + (F1261 = 0))*(G1261 + (G1261 = 0))*(H1261 + (H1261 = 0))*(I1261 + (I1261 = 0))</f>
        <v>0</v>
      </c>
      <c r="K1261" s="9"/>
      <c r="L1261" s="9"/>
      <c r="M1261" s="9"/>
    </row>
    <row r="1262" spans="1:13">
      <c r="A1262" s="9"/>
      <c r="B1262" s="9"/>
      <c r="C1262" s="10" t="s">
        <v>27</v>
      </c>
      <c r="D1262" s="30"/>
      <c r="E1262" s="10" t="s">
        <v>624</v>
      </c>
      <c r="F1262" s="19">
        <v>1</v>
      </c>
      <c r="G1262" s="20">
        <v>6.4</v>
      </c>
      <c r="H1262" s="20">
        <v>0.65</v>
      </c>
      <c r="I1262" s="20">
        <v>0</v>
      </c>
      <c r="J1262" s="16">
        <f>OR(F1262&lt;&gt;0,G1262&lt;&gt;0,H1262&lt;&gt;0,I1262&lt;&gt;0)*(F1262 + (F1262 = 0))*(G1262 + (G1262 = 0))*(H1262 + (H1262 = 0))*(I1262 + (I1262 = 0))</f>
        <v>4.16</v>
      </c>
      <c r="K1262" s="9"/>
      <c r="L1262" s="9"/>
      <c r="M1262" s="9"/>
    </row>
    <row r="1263" spans="1:13">
      <c r="A1263" s="9"/>
      <c r="B1263" s="9"/>
      <c r="C1263" s="10" t="s">
        <v>27</v>
      </c>
      <c r="D1263" s="30"/>
      <c r="E1263" s="10" t="s">
        <v>17</v>
      </c>
      <c r="F1263" s="19">
        <v>1</v>
      </c>
      <c r="G1263" s="20">
        <v>0</v>
      </c>
      <c r="H1263" s="20">
        <v>0.45</v>
      </c>
      <c r="I1263" s="20">
        <v>2.5</v>
      </c>
      <c r="J1263" s="16">
        <f>OR(F1263&lt;&gt;0,G1263&lt;&gt;0,H1263&lt;&gt;0,I1263&lt;&gt;0)*(F1263 + (F1263 = 0))*(G1263 + (G1263 = 0))*(H1263 + (H1263 = 0))*(I1263 + (I1263 = 0))</f>
        <v>1.125</v>
      </c>
      <c r="K1263" s="9"/>
      <c r="L1263" s="9"/>
      <c r="M1263" s="9"/>
    </row>
    <row r="1264" spans="1:13">
      <c r="A1264" s="9"/>
      <c r="B1264" s="9"/>
      <c r="C1264" s="10" t="s">
        <v>27</v>
      </c>
      <c r="D1264" s="30"/>
      <c r="E1264" s="10" t="s">
        <v>625</v>
      </c>
      <c r="F1264" s="19">
        <v>1</v>
      </c>
      <c r="G1264" s="20">
        <v>6.35</v>
      </c>
      <c r="H1264" s="20">
        <v>0.25</v>
      </c>
      <c r="I1264" s="20">
        <v>0</v>
      </c>
      <c r="J1264" s="16">
        <f>OR(F1264&lt;&gt;0,G1264&lt;&gt;0,H1264&lt;&gt;0,I1264&lt;&gt;0)*(F1264 + (F1264 = 0))*(G1264 + (G1264 = 0))*(H1264 + (H1264 = 0))*(I1264 + (I1264 = 0))</f>
        <v>1.5880000000000001</v>
      </c>
      <c r="K1264" s="9"/>
      <c r="L1264" s="9"/>
      <c r="M1264" s="9"/>
    </row>
    <row r="1265" spans="1:13">
      <c r="A1265" s="9"/>
      <c r="B1265" s="9"/>
      <c r="C1265" s="10" t="s">
        <v>27</v>
      </c>
      <c r="D1265" s="30"/>
      <c r="E1265" s="10" t="s">
        <v>626</v>
      </c>
      <c r="F1265" s="19">
        <v>1</v>
      </c>
      <c r="G1265" s="20">
        <v>6.6</v>
      </c>
      <c r="H1265" s="20">
        <v>0.3</v>
      </c>
      <c r="I1265" s="20">
        <v>0</v>
      </c>
      <c r="J1265" s="16">
        <f>OR(F1265&lt;&gt;0,G1265&lt;&gt;0,H1265&lt;&gt;0,I1265&lt;&gt;0)*(F1265 + (F1265 = 0))*(G1265 + (G1265 = 0))*(H1265 + (H1265 = 0))*(I1265 + (I1265 = 0))</f>
        <v>1.98</v>
      </c>
      <c r="K1265" s="9"/>
      <c r="L1265" s="9"/>
      <c r="M1265" s="9"/>
    </row>
    <row r="1266" spans="1:13">
      <c r="A1266" s="9"/>
      <c r="B1266" s="9"/>
      <c r="C1266" s="10" t="s">
        <v>27</v>
      </c>
      <c r="D1266" s="30"/>
      <c r="E1266" s="10" t="s">
        <v>627</v>
      </c>
      <c r="F1266" s="19">
        <v>1</v>
      </c>
      <c r="G1266" s="20">
        <v>4.2300000000000004</v>
      </c>
      <c r="H1266" s="20">
        <v>0.3</v>
      </c>
      <c r="I1266" s="20">
        <v>0</v>
      </c>
      <c r="J1266" s="16">
        <f>OR(F1266&lt;&gt;0,G1266&lt;&gt;0,H1266&lt;&gt;0,I1266&lt;&gt;0)*(F1266 + (F1266 = 0))*(G1266 + (G1266 = 0))*(H1266 + (H1266 = 0))*(I1266 + (I1266 = 0))</f>
        <v>1.2689999999999999</v>
      </c>
      <c r="K1266" s="9"/>
      <c r="L1266" s="9"/>
      <c r="M1266" s="9"/>
    </row>
    <row r="1267" spans="1:13">
      <c r="A1267" s="9"/>
      <c r="B1267" s="9"/>
      <c r="C1267" s="10" t="s">
        <v>27</v>
      </c>
      <c r="D1267" s="30"/>
      <c r="E1267" s="10" t="s">
        <v>17</v>
      </c>
      <c r="F1267" s="19">
        <v>1</v>
      </c>
      <c r="G1267" s="20">
        <v>9.3000000000000007</v>
      </c>
      <c r="H1267" s="20">
        <v>0.3</v>
      </c>
      <c r="I1267" s="20">
        <v>0</v>
      </c>
      <c r="J1267" s="16">
        <f>OR(F1267&lt;&gt;0,G1267&lt;&gt;0,H1267&lt;&gt;0,I1267&lt;&gt;0)*(F1267 + (F1267 = 0))*(G1267 + (G1267 = 0))*(H1267 + (H1267 = 0))*(I1267 + (I1267 = 0))</f>
        <v>2.79</v>
      </c>
      <c r="K1267" s="9"/>
      <c r="L1267" s="9"/>
      <c r="M1267" s="9"/>
    </row>
    <row r="1268" spans="1:13">
      <c r="A1268" s="9"/>
      <c r="B1268" s="9"/>
      <c r="C1268" s="10" t="s">
        <v>27</v>
      </c>
      <c r="D1268" s="30"/>
      <c r="E1268" s="10" t="s">
        <v>17</v>
      </c>
      <c r="F1268" s="19">
        <v>1</v>
      </c>
      <c r="G1268" s="20">
        <v>8</v>
      </c>
      <c r="H1268" s="20">
        <v>0.2</v>
      </c>
      <c r="I1268" s="20">
        <v>0</v>
      </c>
      <c r="J1268" s="16">
        <f>OR(F1268&lt;&gt;0,G1268&lt;&gt;0,H1268&lt;&gt;0,I1268&lt;&gt;0)*(F1268 + (F1268 = 0))*(G1268 + (G1268 = 0))*(H1268 + (H1268 = 0))*(I1268 + (I1268 = 0))</f>
        <v>1.6</v>
      </c>
      <c r="K1268" s="9"/>
      <c r="L1268" s="9"/>
      <c r="M1268" s="9"/>
    </row>
    <row r="1269" spans="1:13">
      <c r="A1269" s="9"/>
      <c r="B1269" s="9"/>
      <c r="C1269" s="10" t="s">
        <v>27</v>
      </c>
      <c r="D1269" s="30"/>
      <c r="E1269" s="10" t="s">
        <v>628</v>
      </c>
      <c r="F1269" s="19">
        <v>1</v>
      </c>
      <c r="G1269" s="20">
        <v>6.6</v>
      </c>
      <c r="H1269" s="20">
        <v>0.3</v>
      </c>
      <c r="I1269" s="20">
        <v>0</v>
      </c>
      <c r="J1269" s="16">
        <f>OR(F1269&lt;&gt;0,G1269&lt;&gt;0,H1269&lt;&gt;0,I1269&lt;&gt;0)*(F1269 + (F1269 = 0))*(G1269 + (G1269 = 0))*(H1269 + (H1269 = 0))*(I1269 + (I1269 = 0))</f>
        <v>1.98</v>
      </c>
      <c r="K1269" s="9"/>
      <c r="L1269" s="9"/>
      <c r="M1269" s="9"/>
    </row>
    <row r="1270" spans="1:13">
      <c r="A1270" s="9"/>
      <c r="B1270" s="9"/>
      <c r="C1270" s="10" t="s">
        <v>27</v>
      </c>
      <c r="D1270" s="30"/>
      <c r="E1270" s="10" t="s">
        <v>629</v>
      </c>
      <c r="F1270" s="19">
        <v>1</v>
      </c>
      <c r="G1270" s="20">
        <v>0</v>
      </c>
      <c r="H1270" s="20">
        <v>0.35</v>
      </c>
      <c r="I1270" s="20">
        <v>2.65</v>
      </c>
      <c r="J1270" s="16">
        <f>OR(F1270&lt;&gt;0,G1270&lt;&gt;0,H1270&lt;&gt;0,I1270&lt;&gt;0)*(F1270 + (F1270 = 0))*(G1270 + (G1270 = 0))*(H1270 + (H1270 = 0))*(I1270 + (I1270 = 0))</f>
        <v>0.92800000000000005</v>
      </c>
      <c r="K1270" s="9"/>
      <c r="L1270" s="9"/>
      <c r="M1270" s="9"/>
    </row>
    <row r="1271" spans="1:13">
      <c r="A1271" s="9"/>
      <c r="B1271" s="9"/>
      <c r="C1271" s="10" t="s">
        <v>27</v>
      </c>
      <c r="D1271" s="30"/>
      <c r="E1271" s="10" t="s">
        <v>228</v>
      </c>
      <c r="F1271" s="19"/>
      <c r="G1271" s="20"/>
      <c r="H1271" s="20"/>
      <c r="I1271" s="20"/>
      <c r="J1271" s="16">
        <f>OR(F1271&lt;&gt;0,G1271&lt;&gt;0,H1271&lt;&gt;0,I1271&lt;&gt;0)*(F1271 + (F1271 = 0))*(G1271 + (G1271 = 0))*(H1271 + (H1271 = 0))*(I1271 + (I1271 = 0))</f>
        <v>0</v>
      </c>
      <c r="K1271" s="9"/>
      <c r="L1271" s="9"/>
      <c r="M1271" s="9"/>
    </row>
    <row r="1272" spans="1:13">
      <c r="A1272" s="9"/>
      <c r="B1272" s="9"/>
      <c r="C1272" s="10" t="s">
        <v>27</v>
      </c>
      <c r="D1272" s="30"/>
      <c r="E1272" s="10" t="s">
        <v>628</v>
      </c>
      <c r="F1272" s="19">
        <v>1</v>
      </c>
      <c r="G1272" s="20">
        <v>8.35</v>
      </c>
      <c r="H1272" s="20">
        <v>0.15</v>
      </c>
      <c r="I1272" s="20">
        <v>0</v>
      </c>
      <c r="J1272" s="16">
        <f>OR(F1272&lt;&gt;0,G1272&lt;&gt;0,H1272&lt;&gt;0,I1272&lt;&gt;0)*(F1272 + (F1272 = 0))*(G1272 + (G1272 = 0))*(H1272 + (H1272 = 0))*(I1272 + (I1272 = 0))</f>
        <v>1.2529999999999999</v>
      </c>
      <c r="K1272" s="9"/>
      <c r="L1272" s="9"/>
      <c r="M1272" s="9"/>
    </row>
    <row r="1273" spans="1:13">
      <c r="A1273" s="9"/>
      <c r="B1273" s="9"/>
      <c r="C1273" s="10" t="s">
        <v>27</v>
      </c>
      <c r="D1273" s="30"/>
      <c r="E1273" s="10" t="s">
        <v>17</v>
      </c>
      <c r="F1273" s="19">
        <v>1</v>
      </c>
      <c r="G1273" s="20">
        <v>10</v>
      </c>
      <c r="H1273" s="20">
        <v>0.15</v>
      </c>
      <c r="I1273" s="20">
        <v>0</v>
      </c>
      <c r="J1273" s="16">
        <f>OR(F1273&lt;&gt;0,G1273&lt;&gt;0,H1273&lt;&gt;0,I1273&lt;&gt;0)*(F1273 + (F1273 = 0))*(G1273 + (G1273 = 0))*(H1273 + (H1273 = 0))*(I1273 + (I1273 = 0))</f>
        <v>1.5</v>
      </c>
      <c r="K1273" s="9"/>
      <c r="L1273" s="9"/>
      <c r="M1273" s="9"/>
    </row>
    <row r="1274" spans="1:13">
      <c r="A1274" s="9"/>
      <c r="B1274" s="9"/>
      <c r="C1274" s="10" t="s">
        <v>27</v>
      </c>
      <c r="D1274" s="30"/>
      <c r="E1274" s="10" t="s">
        <v>17</v>
      </c>
      <c r="F1274" s="19">
        <v>2</v>
      </c>
      <c r="G1274" s="20">
        <v>0</v>
      </c>
      <c r="H1274" s="20">
        <v>0.15</v>
      </c>
      <c r="I1274" s="20">
        <v>2.4500000000000002</v>
      </c>
      <c r="J1274" s="16">
        <f>OR(F1274&lt;&gt;0,G1274&lt;&gt;0,H1274&lt;&gt;0,I1274&lt;&gt;0)*(F1274 + (F1274 = 0))*(G1274 + (G1274 = 0))*(H1274 + (H1274 = 0))*(I1274 + (I1274 = 0))</f>
        <v>0.73499999999999999</v>
      </c>
      <c r="K1274" s="9"/>
      <c r="L1274" s="9"/>
      <c r="M1274" s="9"/>
    </row>
    <row r="1275" spans="1:13">
      <c r="A1275" s="9"/>
      <c r="B1275" s="9"/>
      <c r="C1275" s="10" t="s">
        <v>27</v>
      </c>
      <c r="D1275" s="30"/>
      <c r="E1275" s="10" t="s">
        <v>17</v>
      </c>
      <c r="F1275" s="19">
        <v>2</v>
      </c>
      <c r="G1275" s="20">
        <v>0</v>
      </c>
      <c r="H1275" s="20">
        <v>0.3</v>
      </c>
      <c r="I1275" s="20">
        <v>2</v>
      </c>
      <c r="J1275" s="16">
        <f>OR(F1275&lt;&gt;0,G1275&lt;&gt;0,H1275&lt;&gt;0,I1275&lt;&gt;0)*(F1275 + (F1275 = 0))*(G1275 + (G1275 = 0))*(H1275 + (H1275 = 0))*(I1275 + (I1275 = 0))</f>
        <v>1.2</v>
      </c>
      <c r="K1275" s="9"/>
      <c r="L1275" s="9"/>
      <c r="M1275" s="9"/>
    </row>
    <row r="1276" spans="1:13">
      <c r="A1276" s="9"/>
      <c r="B1276" s="9"/>
      <c r="C1276" s="10" t="s">
        <v>27</v>
      </c>
      <c r="D1276" s="30"/>
      <c r="E1276" s="10" t="s">
        <v>17</v>
      </c>
      <c r="F1276" s="19">
        <v>4</v>
      </c>
      <c r="G1276" s="20">
        <v>2.5499999999999998</v>
      </c>
      <c r="H1276" s="20">
        <v>0.25</v>
      </c>
      <c r="I1276" s="20">
        <v>0</v>
      </c>
      <c r="J1276" s="16">
        <f>OR(F1276&lt;&gt;0,G1276&lt;&gt;0,H1276&lt;&gt;0,I1276&lt;&gt;0)*(F1276 + (F1276 = 0))*(G1276 + (G1276 = 0))*(H1276 + (H1276 = 0))*(I1276 + (I1276 = 0))</f>
        <v>2.5499999999999998</v>
      </c>
      <c r="K1276" s="9"/>
      <c r="L1276" s="9"/>
      <c r="M1276" s="9"/>
    </row>
    <row r="1277" spans="1:13">
      <c r="A1277" s="9"/>
      <c r="B1277" s="9"/>
      <c r="C1277" s="10" t="s">
        <v>27</v>
      </c>
      <c r="D1277" s="30"/>
      <c r="E1277" s="10" t="s">
        <v>630</v>
      </c>
      <c r="F1277" s="19">
        <v>1</v>
      </c>
      <c r="G1277" s="20">
        <v>5.75</v>
      </c>
      <c r="H1277" s="20">
        <v>0.3</v>
      </c>
      <c r="I1277" s="20">
        <v>0</v>
      </c>
      <c r="J1277" s="16">
        <f>OR(F1277&lt;&gt;0,G1277&lt;&gt;0,H1277&lt;&gt;0,I1277&lt;&gt;0)*(F1277 + (F1277 = 0))*(G1277 + (G1277 = 0))*(H1277 + (H1277 = 0))*(I1277 + (I1277 = 0))</f>
        <v>1.7250000000000001</v>
      </c>
      <c r="K1277" s="9"/>
      <c r="L1277" s="9"/>
      <c r="M1277" s="9"/>
    </row>
    <row r="1278" spans="1:13">
      <c r="A1278" s="9"/>
      <c r="B1278" s="9"/>
      <c r="C1278" s="10" t="s">
        <v>27</v>
      </c>
      <c r="D1278" s="30"/>
      <c r="E1278" s="10" t="s">
        <v>631</v>
      </c>
      <c r="F1278" s="19">
        <v>1</v>
      </c>
      <c r="G1278" s="20">
        <v>7.27</v>
      </c>
      <c r="H1278" s="20">
        <v>0.2</v>
      </c>
      <c r="I1278" s="20">
        <v>0</v>
      </c>
      <c r="J1278" s="16">
        <f>OR(F1278&lt;&gt;0,G1278&lt;&gt;0,H1278&lt;&gt;0,I1278&lt;&gt;0)*(F1278 + (F1278 = 0))*(G1278 + (G1278 = 0))*(H1278 + (H1278 = 0))*(I1278 + (I1278 = 0))</f>
        <v>1.454</v>
      </c>
      <c r="K1278" s="9"/>
      <c r="L1278" s="9"/>
      <c r="M1278" s="9"/>
    </row>
    <row r="1279" spans="1:13">
      <c r="A1279" s="9"/>
      <c r="B1279" s="9"/>
      <c r="C1279" s="10" t="s">
        <v>27</v>
      </c>
      <c r="D1279" s="30"/>
      <c r="E1279" s="10" t="s">
        <v>632</v>
      </c>
      <c r="F1279" s="19">
        <v>1</v>
      </c>
      <c r="G1279" s="20">
        <v>4.75</v>
      </c>
      <c r="H1279" s="20">
        <v>0.25</v>
      </c>
      <c r="I1279" s="20">
        <v>0</v>
      </c>
      <c r="J1279" s="16">
        <f>OR(F1279&lt;&gt;0,G1279&lt;&gt;0,H1279&lt;&gt;0,I1279&lt;&gt;0)*(F1279 + (F1279 = 0))*(G1279 + (G1279 = 0))*(H1279 + (H1279 = 0))*(I1279 + (I1279 = 0))</f>
        <v>1.1879999999999999</v>
      </c>
      <c r="K1279" s="9"/>
      <c r="L1279" s="9"/>
      <c r="M1279" s="9"/>
    </row>
    <row r="1280" spans="1:13">
      <c r="A1280" s="9"/>
      <c r="B1280" s="9"/>
      <c r="C1280" s="10" t="s">
        <v>27</v>
      </c>
      <c r="D1280" s="30"/>
      <c r="E1280" s="10" t="s">
        <v>17</v>
      </c>
      <c r="F1280" s="19">
        <v>1</v>
      </c>
      <c r="G1280" s="20">
        <v>4.55</v>
      </c>
      <c r="H1280" s="20">
        <v>0.3</v>
      </c>
      <c r="I1280" s="20">
        <v>0</v>
      </c>
      <c r="J1280" s="16">
        <f>OR(F1280&lt;&gt;0,G1280&lt;&gt;0,H1280&lt;&gt;0,I1280&lt;&gt;0)*(F1280 + (F1280 = 0))*(G1280 + (G1280 = 0))*(H1280 + (H1280 = 0))*(I1280 + (I1280 = 0))</f>
        <v>1.365</v>
      </c>
      <c r="K1280" s="9"/>
      <c r="L1280" s="9"/>
      <c r="M1280" s="9"/>
    </row>
    <row r="1281" spans="1:13">
      <c r="A1281" s="9"/>
      <c r="B1281" s="9"/>
      <c r="C1281" s="10" t="s">
        <v>27</v>
      </c>
      <c r="D1281" s="30"/>
      <c r="E1281" s="10" t="s">
        <v>633</v>
      </c>
      <c r="F1281" s="19">
        <v>1</v>
      </c>
      <c r="G1281" s="20">
        <v>4.75</v>
      </c>
      <c r="H1281" s="20">
        <v>0.25</v>
      </c>
      <c r="I1281" s="20">
        <v>0</v>
      </c>
      <c r="J1281" s="16">
        <f>OR(F1281&lt;&gt;0,G1281&lt;&gt;0,H1281&lt;&gt;0,I1281&lt;&gt;0)*(F1281 + (F1281 = 0))*(G1281 + (G1281 = 0))*(H1281 + (H1281 = 0))*(I1281 + (I1281 = 0))</f>
        <v>1.1879999999999999</v>
      </c>
      <c r="K1281" s="9"/>
      <c r="L1281" s="9"/>
      <c r="M1281" s="9"/>
    </row>
    <row r="1282" spans="1:13">
      <c r="A1282" s="9"/>
      <c r="B1282" s="9"/>
      <c r="C1282" s="10" t="s">
        <v>27</v>
      </c>
      <c r="D1282" s="30"/>
      <c r="E1282" s="10" t="s">
        <v>17</v>
      </c>
      <c r="F1282" s="19">
        <v>1</v>
      </c>
      <c r="G1282" s="20">
        <v>4.55</v>
      </c>
      <c r="H1282" s="20">
        <v>0.3</v>
      </c>
      <c r="I1282" s="20">
        <v>0</v>
      </c>
      <c r="J1282" s="16">
        <f>OR(F1282&lt;&gt;0,G1282&lt;&gt;0,H1282&lt;&gt;0,I1282&lt;&gt;0)*(F1282 + (F1282 = 0))*(G1282 + (G1282 = 0))*(H1282 + (H1282 = 0))*(I1282 + (I1282 = 0))</f>
        <v>1.365</v>
      </c>
      <c r="K1282" s="9"/>
      <c r="L1282" s="9"/>
      <c r="M1282" s="9"/>
    </row>
    <row r="1283" spans="1:13">
      <c r="A1283" s="9"/>
      <c r="B1283" s="9"/>
      <c r="C1283" s="9"/>
      <c r="D1283" s="30"/>
      <c r="E1283" s="9"/>
      <c r="F1283" s="9"/>
      <c r="G1283" s="9"/>
      <c r="H1283" s="9"/>
      <c r="I1283" s="9"/>
      <c r="J1283" s="21" t="s">
        <v>1120</v>
      </c>
      <c r="K1283" s="22">
        <f>SUM(J1261:J1282)</f>
        <v>32.942999999999998</v>
      </c>
      <c r="L1283" s="23">
        <v>0</v>
      </c>
      <c r="M1283" s="24">
        <f>ROUND(K1283*L1283,2)</f>
        <v>0</v>
      </c>
    </row>
    <row r="1284" spans="1:13" ht="0.95" customHeight="1">
      <c r="A1284" s="25"/>
      <c r="B1284" s="25"/>
      <c r="C1284" s="25"/>
      <c r="D1284" s="31"/>
      <c r="E1284" s="25"/>
      <c r="F1284" s="25"/>
      <c r="G1284" s="25"/>
      <c r="H1284" s="25"/>
      <c r="I1284" s="25"/>
      <c r="J1284" s="25"/>
      <c r="K1284" s="25"/>
      <c r="L1284" s="25"/>
      <c r="M1284" s="25"/>
    </row>
    <row r="1285" spans="1:13" ht="33.75">
      <c r="A1285" s="15" t="s">
        <v>1121</v>
      </c>
      <c r="B1285" s="10" t="s">
        <v>23</v>
      </c>
      <c r="C1285" s="10" t="s">
        <v>66</v>
      </c>
      <c r="D1285" s="18" t="s">
        <v>1122</v>
      </c>
      <c r="E1285" s="9"/>
      <c r="F1285" s="9"/>
      <c r="G1285" s="9"/>
      <c r="H1285" s="9"/>
      <c r="I1285" s="9"/>
      <c r="J1285" s="9"/>
      <c r="K1285" s="16">
        <f>K1288</f>
        <v>17.920000000000002</v>
      </c>
      <c r="L1285" s="17">
        <f>L1288</f>
        <v>0</v>
      </c>
      <c r="M1285" s="17">
        <f>M1288</f>
        <v>0</v>
      </c>
    </row>
    <row r="1286" spans="1:13">
      <c r="A1286" s="9"/>
      <c r="B1286" s="9"/>
      <c r="C1286" s="9"/>
      <c r="D1286" s="18" t="s">
        <v>1123</v>
      </c>
      <c r="E1286" s="9"/>
      <c r="F1286" s="9"/>
      <c r="G1286" s="9"/>
      <c r="H1286" s="9"/>
      <c r="I1286" s="9"/>
      <c r="J1286" s="9"/>
      <c r="K1286" s="9"/>
      <c r="L1286" s="9"/>
      <c r="M1286" s="9"/>
    </row>
    <row r="1287" spans="1:13">
      <c r="A1287" s="9"/>
      <c r="B1287" s="9"/>
      <c r="C1287" s="10" t="s">
        <v>27</v>
      </c>
      <c r="D1287" s="30"/>
      <c r="E1287" s="10" t="s">
        <v>942</v>
      </c>
      <c r="F1287" s="19">
        <v>1</v>
      </c>
      <c r="G1287" s="20">
        <v>17.920000000000002</v>
      </c>
      <c r="H1287" s="20">
        <v>0</v>
      </c>
      <c r="I1287" s="20">
        <v>0</v>
      </c>
      <c r="J1287" s="16">
        <f>OR(F1287&lt;&gt;0,G1287&lt;&gt;0,H1287&lt;&gt;0,I1287&lt;&gt;0)*(F1287 + (F1287 = 0))*(G1287 + (G1287 = 0))*(H1287 + (H1287 = 0))*(I1287 + (I1287 = 0))</f>
        <v>17.920000000000002</v>
      </c>
      <c r="K1287" s="9"/>
      <c r="L1287" s="9"/>
      <c r="M1287" s="9"/>
    </row>
    <row r="1288" spans="1:13">
      <c r="A1288" s="9"/>
      <c r="B1288" s="9"/>
      <c r="C1288" s="9"/>
      <c r="D1288" s="30"/>
      <c r="E1288" s="9"/>
      <c r="F1288" s="9"/>
      <c r="G1288" s="9"/>
      <c r="H1288" s="9"/>
      <c r="I1288" s="9"/>
      <c r="J1288" s="21" t="s">
        <v>1124</v>
      </c>
      <c r="K1288" s="22">
        <f>J1287</f>
        <v>17.920000000000002</v>
      </c>
      <c r="L1288" s="23">
        <v>0</v>
      </c>
      <c r="M1288" s="24">
        <f>ROUND(K1288*L1288,2)</f>
        <v>0</v>
      </c>
    </row>
    <row r="1289" spans="1:13" ht="0.95" customHeight="1">
      <c r="A1289" s="25"/>
      <c r="B1289" s="25"/>
      <c r="C1289" s="25"/>
      <c r="D1289" s="31"/>
      <c r="E1289" s="25"/>
      <c r="F1289" s="25"/>
      <c r="G1289" s="25"/>
      <c r="H1289" s="25"/>
      <c r="I1289" s="25"/>
      <c r="J1289" s="25"/>
      <c r="K1289" s="25"/>
      <c r="L1289" s="25"/>
      <c r="M1289" s="25"/>
    </row>
    <row r="1290" spans="1:13" ht="33.75">
      <c r="A1290" s="15" t="s">
        <v>1125</v>
      </c>
      <c r="B1290" s="10" t="s">
        <v>23</v>
      </c>
      <c r="C1290" s="10" t="s">
        <v>66</v>
      </c>
      <c r="D1290" s="18" t="s">
        <v>1122</v>
      </c>
      <c r="E1290" s="9"/>
      <c r="F1290" s="9"/>
      <c r="G1290" s="9"/>
      <c r="H1290" s="9"/>
      <c r="I1290" s="9"/>
      <c r="J1290" s="9"/>
      <c r="K1290" s="16">
        <f>K1293</f>
        <v>1.32</v>
      </c>
      <c r="L1290" s="17">
        <f>L1293</f>
        <v>0</v>
      </c>
      <c r="M1290" s="17">
        <f>M1293</f>
        <v>0</v>
      </c>
    </row>
    <row r="1291" spans="1:13">
      <c r="A1291" s="9"/>
      <c r="B1291" s="9"/>
      <c r="C1291" s="9"/>
      <c r="D1291" s="18" t="s">
        <v>1126</v>
      </c>
      <c r="E1291" s="9"/>
      <c r="F1291" s="9"/>
      <c r="G1291" s="9"/>
      <c r="H1291" s="9"/>
      <c r="I1291" s="9"/>
      <c r="J1291" s="9"/>
      <c r="K1291" s="9"/>
      <c r="L1291" s="9"/>
      <c r="M1291" s="9"/>
    </row>
    <row r="1292" spans="1:13">
      <c r="A1292" s="9"/>
      <c r="B1292" s="9"/>
      <c r="C1292" s="10" t="s">
        <v>27</v>
      </c>
      <c r="D1292" s="30"/>
      <c r="E1292" s="10" t="s">
        <v>942</v>
      </c>
      <c r="F1292" s="19">
        <v>1</v>
      </c>
      <c r="G1292" s="20">
        <v>1.32</v>
      </c>
      <c r="H1292" s="20">
        <v>0</v>
      </c>
      <c r="I1292" s="20">
        <v>0</v>
      </c>
      <c r="J1292" s="16">
        <f>OR(F1292&lt;&gt;0,G1292&lt;&gt;0,H1292&lt;&gt;0,I1292&lt;&gt;0)*(F1292 + (F1292 = 0))*(G1292 + (G1292 = 0))*(H1292 + (H1292 = 0))*(I1292 + (I1292 = 0))</f>
        <v>1.32</v>
      </c>
      <c r="K1292" s="9"/>
      <c r="L1292" s="9"/>
      <c r="M1292" s="9"/>
    </row>
    <row r="1293" spans="1:13">
      <c r="A1293" s="9"/>
      <c r="B1293" s="9"/>
      <c r="C1293" s="9"/>
      <c r="D1293" s="30"/>
      <c r="E1293" s="9"/>
      <c r="F1293" s="9"/>
      <c r="G1293" s="9"/>
      <c r="H1293" s="9"/>
      <c r="I1293" s="9"/>
      <c r="J1293" s="21" t="s">
        <v>1127</v>
      </c>
      <c r="K1293" s="22">
        <f>J1292</f>
        <v>1.32</v>
      </c>
      <c r="L1293" s="23">
        <v>0</v>
      </c>
      <c r="M1293" s="24">
        <f>ROUND(K1293*L1293,2)</f>
        <v>0</v>
      </c>
    </row>
    <row r="1294" spans="1:13" ht="0.95" customHeight="1">
      <c r="A1294" s="25"/>
      <c r="B1294" s="25"/>
      <c r="C1294" s="25"/>
      <c r="D1294" s="31"/>
      <c r="E1294" s="25"/>
      <c r="F1294" s="25"/>
      <c r="G1294" s="25"/>
      <c r="H1294" s="25"/>
      <c r="I1294" s="25"/>
      <c r="J1294" s="25"/>
      <c r="K1294" s="25"/>
      <c r="L1294" s="25"/>
      <c r="M1294" s="25"/>
    </row>
    <row r="1295" spans="1:13" ht="33.75">
      <c r="A1295" s="15" t="s">
        <v>1128</v>
      </c>
      <c r="B1295" s="10" t="s">
        <v>23</v>
      </c>
      <c r="C1295" s="10" t="s">
        <v>66</v>
      </c>
      <c r="D1295" s="18" t="s">
        <v>1129</v>
      </c>
      <c r="E1295" s="9"/>
      <c r="F1295" s="9"/>
      <c r="G1295" s="9"/>
      <c r="H1295" s="9"/>
      <c r="I1295" s="9"/>
      <c r="J1295" s="9"/>
      <c r="K1295" s="16">
        <f>K1298</f>
        <v>9.7899999999999991</v>
      </c>
      <c r="L1295" s="17">
        <f>L1298</f>
        <v>0</v>
      </c>
      <c r="M1295" s="17">
        <f>M1298</f>
        <v>0</v>
      </c>
    </row>
    <row r="1296" spans="1:13">
      <c r="A1296" s="9"/>
      <c r="B1296" s="9"/>
      <c r="C1296" s="9"/>
      <c r="D1296" s="18" t="s">
        <v>1130</v>
      </c>
      <c r="E1296" s="9"/>
      <c r="F1296" s="9"/>
      <c r="G1296" s="9"/>
      <c r="H1296" s="9"/>
      <c r="I1296" s="9"/>
      <c r="J1296" s="9"/>
      <c r="K1296" s="9"/>
      <c r="L1296" s="9"/>
      <c r="M1296" s="9"/>
    </row>
    <row r="1297" spans="1:13">
      <c r="A1297" s="9"/>
      <c r="B1297" s="9"/>
      <c r="C1297" s="10" t="s">
        <v>27</v>
      </c>
      <c r="D1297" s="30"/>
      <c r="E1297" s="10" t="s">
        <v>942</v>
      </c>
      <c r="F1297" s="19">
        <v>1</v>
      </c>
      <c r="G1297" s="20">
        <v>9.7899999999999991</v>
      </c>
      <c r="H1297" s="20">
        <v>0</v>
      </c>
      <c r="I1297" s="20">
        <v>0</v>
      </c>
      <c r="J1297" s="16">
        <f>OR(F1297&lt;&gt;0,G1297&lt;&gt;0,H1297&lt;&gt;0,I1297&lt;&gt;0)*(F1297 + (F1297 = 0))*(G1297 + (G1297 = 0))*(H1297 + (H1297 = 0))*(I1297 + (I1297 = 0))</f>
        <v>9.7899999999999991</v>
      </c>
      <c r="K1297" s="9"/>
      <c r="L1297" s="9"/>
      <c r="M1297" s="9"/>
    </row>
    <row r="1298" spans="1:13">
      <c r="A1298" s="9"/>
      <c r="B1298" s="9"/>
      <c r="C1298" s="9"/>
      <c r="D1298" s="30"/>
      <c r="E1298" s="9"/>
      <c r="F1298" s="9"/>
      <c r="G1298" s="9"/>
      <c r="H1298" s="9"/>
      <c r="I1298" s="9"/>
      <c r="J1298" s="21" t="s">
        <v>1131</v>
      </c>
      <c r="K1298" s="22">
        <f>J1297</f>
        <v>9.7899999999999991</v>
      </c>
      <c r="L1298" s="23">
        <v>0</v>
      </c>
      <c r="M1298" s="24">
        <f>ROUND(K1298*L1298,2)</f>
        <v>0</v>
      </c>
    </row>
    <row r="1299" spans="1:13" ht="0.95" customHeight="1">
      <c r="A1299" s="25"/>
      <c r="B1299" s="25"/>
      <c r="C1299" s="25"/>
      <c r="D1299" s="31"/>
      <c r="E1299" s="25"/>
      <c r="F1299" s="25"/>
      <c r="G1299" s="25"/>
      <c r="H1299" s="25"/>
      <c r="I1299" s="25"/>
      <c r="J1299" s="25"/>
      <c r="K1299" s="25"/>
      <c r="L1299" s="25"/>
      <c r="M1299" s="25"/>
    </row>
    <row r="1300" spans="1:13" ht="33.75">
      <c r="A1300" s="15" t="s">
        <v>1132</v>
      </c>
      <c r="B1300" s="10" t="s">
        <v>23</v>
      </c>
      <c r="C1300" s="10" t="s">
        <v>66</v>
      </c>
      <c r="D1300" s="18" t="s">
        <v>1129</v>
      </c>
      <c r="E1300" s="9"/>
      <c r="F1300" s="9"/>
      <c r="G1300" s="9"/>
      <c r="H1300" s="9"/>
      <c r="I1300" s="9"/>
      <c r="J1300" s="9"/>
      <c r="K1300" s="16">
        <f>K1304</f>
        <v>38.94</v>
      </c>
      <c r="L1300" s="17">
        <f>L1304</f>
        <v>0</v>
      </c>
      <c r="M1300" s="17">
        <f>M1304</f>
        <v>0</v>
      </c>
    </row>
    <row r="1301" spans="1:13">
      <c r="A1301" s="9"/>
      <c r="B1301" s="9"/>
      <c r="C1301" s="9"/>
      <c r="D1301" s="18" t="s">
        <v>1133</v>
      </c>
      <c r="E1301" s="9"/>
      <c r="F1301" s="9"/>
      <c r="G1301" s="9"/>
      <c r="H1301" s="9"/>
      <c r="I1301" s="9"/>
      <c r="J1301" s="9"/>
      <c r="K1301" s="9"/>
      <c r="L1301" s="9"/>
      <c r="M1301" s="9"/>
    </row>
    <row r="1302" spans="1:13">
      <c r="A1302" s="9"/>
      <c r="B1302" s="9"/>
      <c r="C1302" s="10" t="s">
        <v>27</v>
      </c>
      <c r="D1302" s="30"/>
      <c r="E1302" s="10" t="s">
        <v>942</v>
      </c>
      <c r="F1302" s="19">
        <v>1</v>
      </c>
      <c r="G1302" s="20">
        <v>21.67</v>
      </c>
      <c r="H1302" s="20">
        <v>0</v>
      </c>
      <c r="I1302" s="20">
        <v>0</v>
      </c>
      <c r="J1302" s="16">
        <f>OR(F1302&lt;&gt;0,G1302&lt;&gt;0,H1302&lt;&gt;0,I1302&lt;&gt;0)*(F1302 + (F1302 = 0))*(G1302 + (G1302 = 0))*(H1302 + (H1302 = 0))*(I1302 + (I1302 = 0))</f>
        <v>21.67</v>
      </c>
      <c r="K1302" s="9"/>
      <c r="L1302" s="9"/>
      <c r="M1302" s="9"/>
    </row>
    <row r="1303" spans="1:13">
      <c r="A1303" s="9"/>
      <c r="B1303" s="9"/>
      <c r="C1303" s="10" t="s">
        <v>27</v>
      </c>
      <c r="D1303" s="30"/>
      <c r="E1303" s="10" t="s">
        <v>946</v>
      </c>
      <c r="F1303" s="19">
        <v>1</v>
      </c>
      <c r="G1303" s="20">
        <v>17.27</v>
      </c>
      <c r="H1303" s="20">
        <v>0</v>
      </c>
      <c r="I1303" s="20">
        <v>0</v>
      </c>
      <c r="J1303" s="16">
        <f>OR(F1303&lt;&gt;0,G1303&lt;&gt;0,H1303&lt;&gt;0,I1303&lt;&gt;0)*(F1303 + (F1303 = 0))*(G1303 + (G1303 = 0))*(H1303 + (H1303 = 0))*(I1303 + (I1303 = 0))</f>
        <v>17.27</v>
      </c>
      <c r="K1303" s="9"/>
      <c r="L1303" s="9"/>
      <c r="M1303" s="9"/>
    </row>
    <row r="1304" spans="1:13">
      <c r="A1304" s="9"/>
      <c r="B1304" s="9"/>
      <c r="C1304" s="9"/>
      <c r="D1304" s="30"/>
      <c r="E1304" s="9"/>
      <c r="F1304" s="9"/>
      <c r="G1304" s="9"/>
      <c r="H1304" s="9"/>
      <c r="I1304" s="9"/>
      <c r="J1304" s="21" t="s">
        <v>1134</v>
      </c>
      <c r="K1304" s="22">
        <f>SUM(J1302:J1303)</f>
        <v>38.94</v>
      </c>
      <c r="L1304" s="23">
        <v>0</v>
      </c>
      <c r="M1304" s="24">
        <f>ROUND(K1304*L1304,2)</f>
        <v>0</v>
      </c>
    </row>
    <row r="1305" spans="1:13" ht="0.95" customHeight="1">
      <c r="A1305" s="25"/>
      <c r="B1305" s="25"/>
      <c r="C1305" s="25"/>
      <c r="D1305" s="31"/>
      <c r="E1305" s="25"/>
      <c r="F1305" s="25"/>
      <c r="G1305" s="25"/>
      <c r="H1305" s="25"/>
      <c r="I1305" s="25"/>
      <c r="J1305" s="25"/>
      <c r="K1305" s="25"/>
      <c r="L1305" s="25"/>
      <c r="M1305" s="25"/>
    </row>
    <row r="1306" spans="1:13" ht="33.75">
      <c r="A1306" s="15" t="s">
        <v>1135</v>
      </c>
      <c r="B1306" s="10" t="s">
        <v>23</v>
      </c>
      <c r="C1306" s="10" t="s">
        <v>66</v>
      </c>
      <c r="D1306" s="18" t="s">
        <v>1129</v>
      </c>
      <c r="E1306" s="9"/>
      <c r="F1306" s="9"/>
      <c r="G1306" s="9"/>
      <c r="H1306" s="9"/>
      <c r="I1306" s="9"/>
      <c r="J1306" s="9"/>
      <c r="K1306" s="16">
        <f>K1309</f>
        <v>0.38</v>
      </c>
      <c r="L1306" s="17">
        <f>L1309</f>
        <v>0</v>
      </c>
      <c r="M1306" s="17">
        <f>M1309</f>
        <v>0</v>
      </c>
    </row>
    <row r="1307" spans="1:13">
      <c r="A1307" s="9"/>
      <c r="B1307" s="9"/>
      <c r="C1307" s="9"/>
      <c r="D1307" s="18" t="s">
        <v>1136</v>
      </c>
      <c r="E1307" s="9"/>
      <c r="F1307" s="9"/>
      <c r="G1307" s="9"/>
      <c r="H1307" s="9"/>
      <c r="I1307" s="9"/>
      <c r="J1307" s="9"/>
      <c r="K1307" s="9"/>
      <c r="L1307" s="9"/>
      <c r="M1307" s="9"/>
    </row>
    <row r="1308" spans="1:13">
      <c r="A1308" s="9"/>
      <c r="B1308" s="9"/>
      <c r="C1308" s="10" t="s">
        <v>27</v>
      </c>
      <c r="D1308" s="30"/>
      <c r="E1308" s="10" t="s">
        <v>946</v>
      </c>
      <c r="F1308" s="19">
        <v>1</v>
      </c>
      <c r="G1308" s="20">
        <v>0.38</v>
      </c>
      <c r="H1308" s="20">
        <v>0</v>
      </c>
      <c r="I1308" s="20">
        <v>0</v>
      </c>
      <c r="J1308" s="16">
        <f>OR(F1308&lt;&gt;0,G1308&lt;&gt;0,H1308&lt;&gt;0,I1308&lt;&gt;0)*(F1308 + (F1308 = 0))*(G1308 + (G1308 = 0))*(H1308 + (H1308 = 0))*(I1308 + (I1308 = 0))</f>
        <v>0.38</v>
      </c>
      <c r="K1308" s="9"/>
      <c r="L1308" s="9"/>
      <c r="M1308" s="9"/>
    </row>
    <row r="1309" spans="1:13">
      <c r="A1309" s="9"/>
      <c r="B1309" s="9"/>
      <c r="C1309" s="9"/>
      <c r="D1309" s="30"/>
      <c r="E1309" s="9"/>
      <c r="F1309" s="9"/>
      <c r="G1309" s="9"/>
      <c r="H1309" s="9"/>
      <c r="I1309" s="9"/>
      <c r="J1309" s="21" t="s">
        <v>1137</v>
      </c>
      <c r="K1309" s="22">
        <f>J1308</f>
        <v>0.38</v>
      </c>
      <c r="L1309" s="23">
        <v>0</v>
      </c>
      <c r="M1309" s="24">
        <f>ROUND(K1309*L1309,2)</f>
        <v>0</v>
      </c>
    </row>
    <row r="1310" spans="1:13" ht="0.95" customHeight="1">
      <c r="A1310" s="25"/>
      <c r="B1310" s="25"/>
      <c r="C1310" s="25"/>
      <c r="D1310" s="31"/>
      <c r="E1310" s="25"/>
      <c r="F1310" s="25"/>
      <c r="G1310" s="25"/>
      <c r="H1310" s="25"/>
      <c r="I1310" s="25"/>
      <c r="J1310" s="25"/>
      <c r="K1310" s="25"/>
      <c r="L1310" s="25"/>
      <c r="M1310" s="25"/>
    </row>
    <row r="1311" spans="1:13" ht="33.75">
      <c r="A1311" s="15" t="s">
        <v>1138</v>
      </c>
      <c r="B1311" s="10" t="s">
        <v>23</v>
      </c>
      <c r="C1311" s="10" t="s">
        <v>66</v>
      </c>
      <c r="D1311" s="18" t="s">
        <v>1129</v>
      </c>
      <c r="E1311" s="9"/>
      <c r="F1311" s="9"/>
      <c r="G1311" s="9"/>
      <c r="H1311" s="9"/>
      <c r="I1311" s="9"/>
      <c r="J1311" s="9"/>
      <c r="K1311" s="16">
        <f>K1314</f>
        <v>7.82</v>
      </c>
      <c r="L1311" s="17">
        <f>L1314</f>
        <v>0</v>
      </c>
      <c r="M1311" s="17">
        <f>M1314</f>
        <v>0</v>
      </c>
    </row>
    <row r="1312" spans="1:13">
      <c r="A1312" s="9"/>
      <c r="B1312" s="9"/>
      <c r="C1312" s="9"/>
      <c r="D1312" s="18" t="s">
        <v>1139</v>
      </c>
      <c r="E1312" s="9"/>
      <c r="F1312" s="9"/>
      <c r="G1312" s="9"/>
      <c r="H1312" s="9"/>
      <c r="I1312" s="9"/>
      <c r="J1312" s="9"/>
      <c r="K1312" s="9"/>
      <c r="L1312" s="9"/>
      <c r="M1312" s="9"/>
    </row>
    <row r="1313" spans="1:13">
      <c r="A1313" s="9"/>
      <c r="B1313" s="9"/>
      <c r="C1313" s="10" t="s">
        <v>27</v>
      </c>
      <c r="D1313" s="30"/>
      <c r="E1313" s="10" t="s">
        <v>946</v>
      </c>
      <c r="F1313" s="19">
        <v>1</v>
      </c>
      <c r="G1313" s="20">
        <v>7.82</v>
      </c>
      <c r="H1313" s="20">
        <v>0</v>
      </c>
      <c r="I1313" s="20">
        <v>0</v>
      </c>
      <c r="J1313" s="16">
        <f>OR(F1313&lt;&gt;0,G1313&lt;&gt;0,H1313&lt;&gt;0,I1313&lt;&gt;0)*(F1313 + (F1313 = 0))*(G1313 + (G1313 = 0))*(H1313 + (H1313 = 0))*(I1313 + (I1313 = 0))</f>
        <v>7.82</v>
      </c>
      <c r="K1313" s="9"/>
      <c r="L1313" s="9"/>
      <c r="M1313" s="9"/>
    </row>
    <row r="1314" spans="1:13">
      <c r="A1314" s="9"/>
      <c r="B1314" s="9"/>
      <c r="C1314" s="9"/>
      <c r="D1314" s="30"/>
      <c r="E1314" s="9"/>
      <c r="F1314" s="9"/>
      <c r="G1314" s="9"/>
      <c r="H1314" s="9"/>
      <c r="I1314" s="9"/>
      <c r="J1314" s="21" t="s">
        <v>1140</v>
      </c>
      <c r="K1314" s="22">
        <f>J1313</f>
        <v>7.82</v>
      </c>
      <c r="L1314" s="23">
        <v>0</v>
      </c>
      <c r="M1314" s="24">
        <f>ROUND(K1314*L1314,2)</f>
        <v>0</v>
      </c>
    </row>
    <row r="1315" spans="1:13" ht="0.95" customHeight="1">
      <c r="A1315" s="25"/>
      <c r="B1315" s="25"/>
      <c r="C1315" s="25"/>
      <c r="D1315" s="31"/>
      <c r="E1315" s="25"/>
      <c r="F1315" s="25"/>
      <c r="G1315" s="25"/>
      <c r="H1315" s="25"/>
      <c r="I1315" s="25"/>
      <c r="J1315" s="25"/>
      <c r="K1315" s="25"/>
      <c r="L1315" s="25"/>
      <c r="M1315" s="25"/>
    </row>
    <row r="1316" spans="1:13">
      <c r="A1316" s="9"/>
      <c r="B1316" s="9"/>
      <c r="C1316" s="9"/>
      <c r="D1316" s="30"/>
      <c r="E1316" s="9"/>
      <c r="F1316" s="9"/>
      <c r="G1316" s="9"/>
      <c r="H1316" s="9"/>
      <c r="I1316" s="9"/>
      <c r="J1316" s="21" t="s">
        <v>1141</v>
      </c>
      <c r="K1316" s="20">
        <v>1</v>
      </c>
      <c r="L1316" s="24">
        <f>M1209+M1226+M1236+M1259+M1285+M1290+M1295+M1300+M1306+M1311</f>
        <v>0</v>
      </c>
      <c r="M1316" s="24">
        <f>ROUND(K1316*L1316,2)</f>
        <v>0</v>
      </c>
    </row>
    <row r="1317" spans="1:13" ht="0.95" customHeight="1">
      <c r="A1317" s="25"/>
      <c r="B1317" s="25"/>
      <c r="C1317" s="25"/>
      <c r="D1317" s="31"/>
      <c r="E1317" s="25"/>
      <c r="F1317" s="25"/>
      <c r="G1317" s="25"/>
      <c r="H1317" s="25"/>
      <c r="I1317" s="25"/>
      <c r="J1317" s="25"/>
      <c r="K1317" s="25"/>
      <c r="L1317" s="25"/>
      <c r="M1317" s="25"/>
    </row>
    <row r="1318" spans="1:13">
      <c r="A1318" s="11" t="s">
        <v>1142</v>
      </c>
      <c r="B1318" s="11" t="s">
        <v>16</v>
      </c>
      <c r="C1318" s="11" t="s">
        <v>17</v>
      </c>
      <c r="D1318" s="29" t="s">
        <v>1143</v>
      </c>
      <c r="E1318" s="12"/>
      <c r="F1318" s="12"/>
      <c r="G1318" s="12"/>
      <c r="H1318" s="12"/>
      <c r="I1318" s="12"/>
      <c r="J1318" s="12"/>
      <c r="K1318" s="13">
        <f>K1356</f>
        <v>1</v>
      </c>
      <c r="L1318" s="14">
        <f>L1356</f>
        <v>0</v>
      </c>
      <c r="M1318" s="14">
        <f>M1356</f>
        <v>0</v>
      </c>
    </row>
    <row r="1319" spans="1:13" ht="33.75">
      <c r="A1319" s="15" t="s">
        <v>1144</v>
      </c>
      <c r="B1319" s="10" t="s">
        <v>23</v>
      </c>
      <c r="C1319" s="10" t="s">
        <v>94</v>
      </c>
      <c r="D1319" s="18" t="s">
        <v>1145</v>
      </c>
      <c r="E1319" s="9"/>
      <c r="F1319" s="9"/>
      <c r="G1319" s="9"/>
      <c r="H1319" s="9"/>
      <c r="I1319" s="9"/>
      <c r="J1319" s="9"/>
      <c r="K1319" s="16">
        <f>K1324</f>
        <v>23.5</v>
      </c>
      <c r="L1319" s="17">
        <f>L1324</f>
        <v>0</v>
      </c>
      <c r="M1319" s="17">
        <f>M1324</f>
        <v>0</v>
      </c>
    </row>
    <row r="1320" spans="1:13">
      <c r="A1320" s="9"/>
      <c r="B1320" s="9"/>
      <c r="C1320" s="9"/>
      <c r="D1320" s="18" t="s">
        <v>1146</v>
      </c>
      <c r="E1320" s="9"/>
      <c r="F1320" s="9"/>
      <c r="G1320" s="9"/>
      <c r="H1320" s="9"/>
      <c r="I1320" s="9"/>
      <c r="J1320" s="9"/>
      <c r="K1320" s="9"/>
      <c r="L1320" s="9"/>
      <c r="M1320" s="9"/>
    </row>
    <row r="1321" spans="1:13">
      <c r="A1321" s="9"/>
      <c r="B1321" s="9"/>
      <c r="C1321" s="10" t="s">
        <v>27</v>
      </c>
      <c r="D1321" s="30"/>
      <c r="E1321" s="10" t="s">
        <v>1147</v>
      </c>
      <c r="F1321" s="19">
        <v>1</v>
      </c>
      <c r="G1321" s="20">
        <v>5.85</v>
      </c>
      <c r="H1321" s="20">
        <v>0</v>
      </c>
      <c r="I1321" s="20">
        <v>0</v>
      </c>
      <c r="J1321" s="16">
        <f>OR(F1321&lt;&gt;0,G1321&lt;&gt;0,H1321&lt;&gt;0,I1321&lt;&gt;0)*(F1321 + (F1321 = 0))*(G1321 + (G1321 = 0))*(H1321 + (H1321 = 0))*(I1321 + (I1321 = 0))</f>
        <v>5.85</v>
      </c>
      <c r="K1321" s="9"/>
      <c r="L1321" s="9"/>
      <c r="M1321" s="9"/>
    </row>
    <row r="1322" spans="1:13">
      <c r="A1322" s="9"/>
      <c r="B1322" s="9"/>
      <c r="C1322" s="10" t="s">
        <v>27</v>
      </c>
      <c r="D1322" s="30"/>
      <c r="E1322" s="10" t="s">
        <v>1148</v>
      </c>
      <c r="F1322" s="19">
        <v>1</v>
      </c>
      <c r="G1322" s="20">
        <v>5.35</v>
      </c>
      <c r="H1322" s="20">
        <v>0</v>
      </c>
      <c r="I1322" s="20">
        <v>0</v>
      </c>
      <c r="J1322" s="16">
        <f>OR(F1322&lt;&gt;0,G1322&lt;&gt;0,H1322&lt;&gt;0,I1322&lt;&gt;0)*(F1322 + (F1322 = 0))*(G1322 + (G1322 = 0))*(H1322 + (H1322 = 0))*(I1322 + (I1322 = 0))</f>
        <v>5.35</v>
      </c>
      <c r="K1322" s="9"/>
      <c r="L1322" s="9"/>
      <c r="M1322" s="9"/>
    </row>
    <row r="1323" spans="1:13">
      <c r="A1323" s="9"/>
      <c r="B1323" s="9"/>
      <c r="C1323" s="10" t="s">
        <v>27</v>
      </c>
      <c r="D1323" s="30"/>
      <c r="E1323" s="10" t="s">
        <v>1149</v>
      </c>
      <c r="F1323" s="19">
        <v>1</v>
      </c>
      <c r="G1323" s="20">
        <v>12.3</v>
      </c>
      <c r="H1323" s="20">
        <v>0</v>
      </c>
      <c r="I1323" s="20">
        <v>0</v>
      </c>
      <c r="J1323" s="16">
        <f>OR(F1323&lt;&gt;0,G1323&lt;&gt;0,H1323&lt;&gt;0,I1323&lt;&gt;0)*(F1323 + (F1323 = 0))*(G1323 + (G1323 = 0))*(H1323 + (H1323 = 0))*(I1323 + (I1323 = 0))</f>
        <v>12.3</v>
      </c>
      <c r="K1323" s="9"/>
      <c r="L1323" s="9"/>
      <c r="M1323" s="9"/>
    </row>
    <row r="1324" spans="1:13">
      <c r="A1324" s="9"/>
      <c r="B1324" s="9"/>
      <c r="C1324" s="9"/>
      <c r="D1324" s="30"/>
      <c r="E1324" s="9"/>
      <c r="F1324" s="9"/>
      <c r="G1324" s="9"/>
      <c r="H1324" s="9"/>
      <c r="I1324" s="9"/>
      <c r="J1324" s="21" t="s">
        <v>1150</v>
      </c>
      <c r="K1324" s="22">
        <f>SUM(J1321:J1323)</f>
        <v>23.5</v>
      </c>
      <c r="L1324" s="23">
        <v>0</v>
      </c>
      <c r="M1324" s="24">
        <f>ROUND(K1324*L1324,2)</f>
        <v>0</v>
      </c>
    </row>
    <row r="1325" spans="1:13" ht="0.95" customHeight="1">
      <c r="A1325" s="25"/>
      <c r="B1325" s="25"/>
      <c r="C1325" s="25"/>
      <c r="D1325" s="31"/>
      <c r="E1325" s="25"/>
      <c r="F1325" s="25"/>
      <c r="G1325" s="25"/>
      <c r="H1325" s="25"/>
      <c r="I1325" s="25"/>
      <c r="J1325" s="25"/>
      <c r="K1325" s="25"/>
      <c r="L1325" s="25"/>
      <c r="M1325" s="25"/>
    </row>
    <row r="1326" spans="1:13" ht="33.75">
      <c r="A1326" s="15" t="s">
        <v>1151</v>
      </c>
      <c r="B1326" s="10" t="s">
        <v>23</v>
      </c>
      <c r="C1326" s="10" t="s">
        <v>94</v>
      </c>
      <c r="D1326" s="18" t="s">
        <v>1152</v>
      </c>
      <c r="E1326" s="9"/>
      <c r="F1326" s="9"/>
      <c r="G1326" s="9"/>
      <c r="H1326" s="9"/>
      <c r="I1326" s="9"/>
      <c r="J1326" s="9"/>
      <c r="K1326" s="16">
        <f>K1335</f>
        <v>36.616</v>
      </c>
      <c r="L1326" s="17">
        <f>L1335</f>
        <v>0</v>
      </c>
      <c r="M1326" s="17">
        <f>M1335</f>
        <v>0</v>
      </c>
    </row>
    <row r="1327" spans="1:13">
      <c r="A1327" s="9"/>
      <c r="B1327" s="9"/>
      <c r="C1327" s="9"/>
      <c r="D1327" s="18" t="s">
        <v>1153</v>
      </c>
      <c r="E1327" s="9"/>
      <c r="F1327" s="9"/>
      <c r="G1327" s="9"/>
      <c r="H1327" s="9"/>
      <c r="I1327" s="9"/>
      <c r="J1327" s="9"/>
      <c r="K1327" s="9"/>
      <c r="L1327" s="9"/>
      <c r="M1327" s="9"/>
    </row>
    <row r="1328" spans="1:13">
      <c r="A1328" s="9"/>
      <c r="B1328" s="9"/>
      <c r="C1328" s="10" t="s">
        <v>27</v>
      </c>
      <c r="D1328" s="30"/>
      <c r="E1328" s="10" t="s">
        <v>227</v>
      </c>
      <c r="F1328" s="19">
        <v>1</v>
      </c>
      <c r="G1328" s="20">
        <v>2.2000000000000002</v>
      </c>
      <c r="H1328" s="20">
        <v>0</v>
      </c>
      <c r="I1328" s="20">
        <v>1.05</v>
      </c>
      <c r="J1328" s="16">
        <f>OR(F1328&lt;&gt;0,G1328&lt;&gt;0,H1328&lt;&gt;0,I1328&lt;&gt;0)*(F1328 + (F1328 = 0))*(G1328 + (G1328 = 0))*(H1328 + (H1328 = 0))*(I1328 + (I1328 = 0))</f>
        <v>2.31</v>
      </c>
      <c r="K1328" s="9"/>
      <c r="L1328" s="9"/>
      <c r="M1328" s="9"/>
    </row>
    <row r="1329" spans="1:13">
      <c r="A1329" s="9"/>
      <c r="B1329" s="9"/>
      <c r="C1329" s="10" t="s">
        <v>27</v>
      </c>
      <c r="D1329" s="30"/>
      <c r="E1329" s="10" t="s">
        <v>17</v>
      </c>
      <c r="F1329" s="19">
        <v>1</v>
      </c>
      <c r="G1329" s="20">
        <v>2.5499999999999998</v>
      </c>
      <c r="H1329" s="20">
        <v>0</v>
      </c>
      <c r="I1329" s="20">
        <v>2.75</v>
      </c>
      <c r="J1329" s="16">
        <f>OR(F1329&lt;&gt;0,G1329&lt;&gt;0,H1329&lt;&gt;0,I1329&lt;&gt;0)*(F1329 + (F1329 = 0))*(G1329 + (G1329 = 0))*(H1329 + (H1329 = 0))*(I1329 + (I1329 = 0))</f>
        <v>7.0129999999999999</v>
      </c>
      <c r="K1329" s="9"/>
      <c r="L1329" s="9"/>
      <c r="M1329" s="9"/>
    </row>
    <row r="1330" spans="1:13">
      <c r="A1330" s="9"/>
      <c r="B1330" s="9"/>
      <c r="C1330" s="10" t="s">
        <v>27</v>
      </c>
      <c r="D1330" s="30"/>
      <c r="E1330" s="10" t="s">
        <v>17</v>
      </c>
      <c r="F1330" s="19">
        <v>1</v>
      </c>
      <c r="G1330" s="20">
        <v>5.35</v>
      </c>
      <c r="H1330" s="20">
        <v>0</v>
      </c>
      <c r="I1330" s="20">
        <v>2.75</v>
      </c>
      <c r="J1330" s="16">
        <f>OR(F1330&lt;&gt;0,G1330&lt;&gt;0,H1330&lt;&gt;0,I1330&lt;&gt;0)*(F1330 + (F1330 = 0))*(G1330 + (G1330 = 0))*(H1330 + (H1330 = 0))*(I1330 + (I1330 = 0))</f>
        <v>14.712999999999999</v>
      </c>
      <c r="K1330" s="9"/>
      <c r="L1330" s="9"/>
      <c r="M1330" s="9"/>
    </row>
    <row r="1331" spans="1:13">
      <c r="A1331" s="9"/>
      <c r="B1331" s="9"/>
      <c r="C1331" s="10" t="s">
        <v>27</v>
      </c>
      <c r="D1331" s="30"/>
      <c r="E1331" s="10" t="s">
        <v>17</v>
      </c>
      <c r="F1331" s="19">
        <v>-1</v>
      </c>
      <c r="G1331" s="20">
        <v>3.92</v>
      </c>
      <c r="H1331" s="20">
        <v>0</v>
      </c>
      <c r="I1331" s="20">
        <v>0</v>
      </c>
      <c r="J1331" s="16">
        <f>OR(F1331&lt;&gt;0,G1331&lt;&gt;0,H1331&lt;&gt;0,I1331&lt;&gt;0)*(F1331 + (F1331 = 0))*(G1331 + (G1331 = 0))*(H1331 + (H1331 = 0))*(I1331 + (I1331 = 0))</f>
        <v>-3.92</v>
      </c>
      <c r="K1331" s="9"/>
      <c r="L1331" s="9"/>
      <c r="M1331" s="9"/>
    </row>
    <row r="1332" spans="1:13">
      <c r="A1332" s="9"/>
      <c r="B1332" s="9"/>
      <c r="C1332" s="10" t="s">
        <v>27</v>
      </c>
      <c r="D1332" s="30"/>
      <c r="E1332" s="10" t="s">
        <v>17</v>
      </c>
      <c r="F1332" s="19">
        <v>-1</v>
      </c>
      <c r="G1332" s="20">
        <v>3.25</v>
      </c>
      <c r="H1332" s="20">
        <v>0</v>
      </c>
      <c r="I1332" s="20">
        <v>0</v>
      </c>
      <c r="J1332" s="16">
        <f>OR(F1332&lt;&gt;0,G1332&lt;&gt;0,H1332&lt;&gt;0,I1332&lt;&gt;0)*(F1332 + (F1332 = 0))*(G1332 + (G1332 = 0))*(H1332 + (H1332 = 0))*(I1332 + (I1332 = 0))</f>
        <v>-3.25</v>
      </c>
      <c r="K1332" s="9"/>
      <c r="L1332" s="9"/>
      <c r="M1332" s="9"/>
    </row>
    <row r="1333" spans="1:13">
      <c r="A1333" s="9"/>
      <c r="B1333" s="9"/>
      <c r="C1333" s="10" t="s">
        <v>27</v>
      </c>
      <c r="D1333" s="30"/>
      <c r="E1333" s="10" t="s">
        <v>228</v>
      </c>
      <c r="F1333" s="19">
        <v>2</v>
      </c>
      <c r="G1333" s="20">
        <v>1.7</v>
      </c>
      <c r="H1333" s="20">
        <v>0</v>
      </c>
      <c r="I1333" s="20">
        <v>2.5</v>
      </c>
      <c r="J1333" s="16">
        <f>OR(F1333&lt;&gt;0,G1333&lt;&gt;0,H1333&lt;&gt;0,I1333&lt;&gt;0)*(F1333 + (F1333 = 0))*(G1333 + (G1333 = 0))*(H1333 + (H1333 = 0))*(I1333 + (I1333 = 0))</f>
        <v>8.5</v>
      </c>
      <c r="K1333" s="9"/>
      <c r="L1333" s="9"/>
      <c r="M1333" s="9"/>
    </row>
    <row r="1334" spans="1:13">
      <c r="A1334" s="9"/>
      <c r="B1334" s="9"/>
      <c r="C1334" s="10" t="s">
        <v>27</v>
      </c>
      <c r="D1334" s="30"/>
      <c r="E1334" s="10" t="s">
        <v>228</v>
      </c>
      <c r="F1334" s="19">
        <v>1</v>
      </c>
      <c r="G1334" s="20">
        <v>11.25</v>
      </c>
      <c r="H1334" s="20">
        <v>0</v>
      </c>
      <c r="I1334" s="20">
        <v>0</v>
      </c>
      <c r="J1334" s="16">
        <f>OR(F1334&lt;&gt;0,G1334&lt;&gt;0,H1334&lt;&gt;0,I1334&lt;&gt;0)*(F1334 + (F1334 = 0))*(G1334 + (G1334 = 0))*(H1334 + (H1334 = 0))*(I1334 + (I1334 = 0))</f>
        <v>11.25</v>
      </c>
      <c r="K1334" s="9"/>
      <c r="L1334" s="9"/>
      <c r="M1334" s="9"/>
    </row>
    <row r="1335" spans="1:13">
      <c r="A1335" s="9"/>
      <c r="B1335" s="9"/>
      <c r="C1335" s="9"/>
      <c r="D1335" s="30"/>
      <c r="E1335" s="9"/>
      <c r="F1335" s="9"/>
      <c r="G1335" s="9"/>
      <c r="H1335" s="9"/>
      <c r="I1335" s="9"/>
      <c r="J1335" s="21" t="s">
        <v>1154</v>
      </c>
      <c r="K1335" s="22">
        <f>SUM(J1328:J1334)</f>
        <v>36.616</v>
      </c>
      <c r="L1335" s="23">
        <v>0</v>
      </c>
      <c r="M1335" s="24">
        <f>ROUND(K1335*L1335,2)</f>
        <v>0</v>
      </c>
    </row>
    <row r="1336" spans="1:13" ht="0.95" customHeight="1">
      <c r="A1336" s="25"/>
      <c r="B1336" s="25"/>
      <c r="C1336" s="25"/>
      <c r="D1336" s="31"/>
      <c r="E1336" s="25"/>
      <c r="F1336" s="25"/>
      <c r="G1336" s="25"/>
      <c r="H1336" s="25"/>
      <c r="I1336" s="25"/>
      <c r="J1336" s="25"/>
      <c r="K1336" s="25"/>
      <c r="L1336" s="25"/>
      <c r="M1336" s="25"/>
    </row>
    <row r="1337" spans="1:13" ht="33.75">
      <c r="A1337" s="15" t="s">
        <v>1155</v>
      </c>
      <c r="B1337" s="10" t="s">
        <v>23</v>
      </c>
      <c r="C1337" s="10" t="s">
        <v>94</v>
      </c>
      <c r="D1337" s="18" t="s">
        <v>1156</v>
      </c>
      <c r="E1337" s="9"/>
      <c r="F1337" s="9"/>
      <c r="G1337" s="9"/>
      <c r="H1337" s="9"/>
      <c r="I1337" s="9"/>
      <c r="J1337" s="9"/>
      <c r="K1337" s="16">
        <f>K1343</f>
        <v>164.96</v>
      </c>
      <c r="L1337" s="17">
        <f>L1343</f>
        <v>0</v>
      </c>
      <c r="M1337" s="17">
        <f>M1343</f>
        <v>0</v>
      </c>
    </row>
    <row r="1338" spans="1:13">
      <c r="A1338" s="9"/>
      <c r="B1338" s="9"/>
      <c r="C1338" s="9"/>
      <c r="D1338" s="18" t="s">
        <v>1157</v>
      </c>
      <c r="E1338" s="9"/>
      <c r="F1338" s="9"/>
      <c r="G1338" s="9"/>
      <c r="H1338" s="9"/>
      <c r="I1338" s="9"/>
      <c r="J1338" s="9"/>
      <c r="K1338" s="9"/>
      <c r="L1338" s="9"/>
      <c r="M1338" s="9"/>
    </row>
    <row r="1339" spans="1:13">
      <c r="A1339" s="9"/>
      <c r="B1339" s="9"/>
      <c r="C1339" s="10" t="s">
        <v>27</v>
      </c>
      <c r="D1339" s="30"/>
      <c r="E1339" s="10" t="s">
        <v>97</v>
      </c>
      <c r="F1339" s="19">
        <v>1</v>
      </c>
      <c r="G1339" s="20">
        <v>30.2</v>
      </c>
      <c r="H1339" s="20">
        <v>0</v>
      </c>
      <c r="I1339" s="20">
        <v>3.25</v>
      </c>
      <c r="J1339" s="16">
        <f>OR(F1339&lt;&gt;0,G1339&lt;&gt;0,H1339&lt;&gt;0,I1339&lt;&gt;0)*(F1339 + (F1339 = 0))*(G1339 + (G1339 = 0))*(H1339 + (H1339 = 0))*(I1339 + (I1339 = 0))</f>
        <v>98.15</v>
      </c>
      <c r="K1339" s="9"/>
      <c r="L1339" s="9"/>
      <c r="M1339" s="9"/>
    </row>
    <row r="1340" spans="1:13">
      <c r="A1340" s="9"/>
      <c r="B1340" s="9"/>
      <c r="C1340" s="10" t="s">
        <v>27</v>
      </c>
      <c r="D1340" s="30"/>
      <c r="E1340" s="10" t="s">
        <v>227</v>
      </c>
      <c r="F1340" s="19">
        <v>1</v>
      </c>
      <c r="G1340" s="20">
        <v>11.8</v>
      </c>
      <c r="H1340" s="20">
        <v>0</v>
      </c>
      <c r="I1340" s="20">
        <v>0.7</v>
      </c>
      <c r="J1340" s="16">
        <f>OR(F1340&lt;&gt;0,G1340&lt;&gt;0,H1340&lt;&gt;0,I1340&lt;&gt;0)*(F1340 + (F1340 = 0))*(G1340 + (G1340 = 0))*(H1340 + (H1340 = 0))*(I1340 + (I1340 = 0))</f>
        <v>8.26</v>
      </c>
      <c r="K1340" s="9"/>
      <c r="L1340" s="9"/>
      <c r="M1340" s="9"/>
    </row>
    <row r="1341" spans="1:13">
      <c r="A1341" s="9"/>
      <c r="B1341" s="9"/>
      <c r="C1341" s="10" t="s">
        <v>27</v>
      </c>
      <c r="D1341" s="30"/>
      <c r="E1341" s="10" t="s">
        <v>17</v>
      </c>
      <c r="F1341" s="19">
        <v>1</v>
      </c>
      <c r="G1341" s="20">
        <v>14.8</v>
      </c>
      <c r="H1341" s="20">
        <v>0</v>
      </c>
      <c r="I1341" s="20">
        <v>3.8</v>
      </c>
      <c r="J1341" s="16">
        <f>OR(F1341&lt;&gt;0,G1341&lt;&gt;0,H1341&lt;&gt;0,I1341&lt;&gt;0)*(F1341 + (F1341 = 0))*(G1341 + (G1341 = 0))*(H1341 + (H1341 = 0))*(I1341 + (I1341 = 0))</f>
        <v>56.24</v>
      </c>
      <c r="K1341" s="9"/>
      <c r="L1341" s="9"/>
      <c r="M1341" s="9"/>
    </row>
    <row r="1342" spans="1:13">
      <c r="A1342" s="9"/>
      <c r="B1342" s="9"/>
      <c r="C1342" s="10" t="s">
        <v>27</v>
      </c>
      <c r="D1342" s="30"/>
      <c r="E1342" s="10" t="s">
        <v>17</v>
      </c>
      <c r="F1342" s="19">
        <v>1</v>
      </c>
      <c r="G1342" s="20">
        <v>3.3</v>
      </c>
      <c r="H1342" s="20">
        <v>0</v>
      </c>
      <c r="I1342" s="20">
        <v>0.7</v>
      </c>
      <c r="J1342" s="16">
        <f>OR(F1342&lt;&gt;0,G1342&lt;&gt;0,H1342&lt;&gt;0,I1342&lt;&gt;0)*(F1342 + (F1342 = 0))*(G1342 + (G1342 = 0))*(H1342 + (H1342 = 0))*(I1342 + (I1342 = 0))</f>
        <v>2.31</v>
      </c>
      <c r="K1342" s="9"/>
      <c r="L1342" s="9"/>
      <c r="M1342" s="9"/>
    </row>
    <row r="1343" spans="1:13">
      <c r="A1343" s="9"/>
      <c r="B1343" s="9"/>
      <c r="C1343" s="9"/>
      <c r="D1343" s="30"/>
      <c r="E1343" s="9"/>
      <c r="F1343" s="9"/>
      <c r="G1343" s="9"/>
      <c r="H1343" s="9"/>
      <c r="I1343" s="9"/>
      <c r="J1343" s="21" t="s">
        <v>1158</v>
      </c>
      <c r="K1343" s="22">
        <f>SUM(J1339:J1342)</f>
        <v>164.96</v>
      </c>
      <c r="L1343" s="23">
        <v>0</v>
      </c>
      <c r="M1343" s="24">
        <f>ROUND(K1343*L1343,2)</f>
        <v>0</v>
      </c>
    </row>
    <row r="1344" spans="1:13" ht="0.95" customHeight="1">
      <c r="A1344" s="25"/>
      <c r="B1344" s="25"/>
      <c r="C1344" s="25"/>
      <c r="D1344" s="31"/>
      <c r="E1344" s="25"/>
      <c r="F1344" s="25"/>
      <c r="G1344" s="25"/>
      <c r="H1344" s="25"/>
      <c r="I1344" s="25"/>
      <c r="J1344" s="25"/>
      <c r="K1344" s="25"/>
      <c r="L1344" s="25"/>
      <c r="M1344" s="25"/>
    </row>
    <row r="1345" spans="1:13" ht="33.75">
      <c r="A1345" s="15" t="s">
        <v>1159</v>
      </c>
      <c r="B1345" s="10" t="s">
        <v>23</v>
      </c>
      <c r="C1345" s="10" t="s">
        <v>94</v>
      </c>
      <c r="D1345" s="18" t="s">
        <v>1160</v>
      </c>
      <c r="E1345" s="9"/>
      <c r="F1345" s="9"/>
      <c r="G1345" s="9"/>
      <c r="H1345" s="9"/>
      <c r="I1345" s="9"/>
      <c r="J1345" s="9"/>
      <c r="K1345" s="16">
        <f>K1349</f>
        <v>1.56</v>
      </c>
      <c r="L1345" s="17">
        <f>L1349</f>
        <v>0</v>
      </c>
      <c r="M1345" s="17">
        <f>M1349</f>
        <v>0</v>
      </c>
    </row>
    <row r="1346" spans="1:13">
      <c r="A1346" s="9"/>
      <c r="B1346" s="9"/>
      <c r="C1346" s="9"/>
      <c r="D1346" s="18" t="s">
        <v>1161</v>
      </c>
      <c r="E1346" s="9"/>
      <c r="F1346" s="9"/>
      <c r="G1346" s="9"/>
      <c r="H1346" s="9"/>
      <c r="I1346" s="9"/>
      <c r="J1346" s="9"/>
      <c r="K1346" s="9"/>
      <c r="L1346" s="9"/>
      <c r="M1346" s="9"/>
    </row>
    <row r="1347" spans="1:13">
      <c r="A1347" s="9"/>
      <c r="B1347" s="9"/>
      <c r="C1347" s="10" t="s">
        <v>27</v>
      </c>
      <c r="D1347" s="30"/>
      <c r="E1347" s="10" t="s">
        <v>1162</v>
      </c>
      <c r="F1347" s="19">
        <v>1</v>
      </c>
      <c r="G1347" s="20">
        <v>1.25</v>
      </c>
      <c r="H1347" s="20">
        <v>0.6</v>
      </c>
      <c r="I1347" s="20">
        <v>0</v>
      </c>
      <c r="J1347" s="16">
        <f>OR(F1347&lt;&gt;0,G1347&lt;&gt;0,H1347&lt;&gt;0,I1347&lt;&gt;0)*(F1347 + (F1347 = 0))*(G1347 + (G1347 = 0))*(H1347 + (H1347 = 0))*(I1347 + (I1347 = 0))</f>
        <v>0.75</v>
      </c>
      <c r="K1347" s="9"/>
      <c r="L1347" s="9"/>
      <c r="M1347" s="9"/>
    </row>
    <row r="1348" spans="1:13">
      <c r="A1348" s="9"/>
      <c r="B1348" s="9"/>
      <c r="C1348" s="10" t="s">
        <v>27</v>
      </c>
      <c r="D1348" s="30"/>
      <c r="E1348" s="10" t="s">
        <v>17</v>
      </c>
      <c r="F1348" s="19">
        <v>1</v>
      </c>
      <c r="G1348" s="20">
        <v>1.35</v>
      </c>
      <c r="H1348" s="20">
        <v>0.6</v>
      </c>
      <c r="I1348" s="20">
        <v>0</v>
      </c>
      <c r="J1348" s="16">
        <f>OR(F1348&lt;&gt;0,G1348&lt;&gt;0,H1348&lt;&gt;0,I1348&lt;&gt;0)*(F1348 + (F1348 = 0))*(G1348 + (G1348 = 0))*(H1348 + (H1348 = 0))*(I1348 + (I1348 = 0))</f>
        <v>0.81</v>
      </c>
      <c r="K1348" s="9"/>
      <c r="L1348" s="9"/>
      <c r="M1348" s="9"/>
    </row>
    <row r="1349" spans="1:13">
      <c r="A1349" s="9"/>
      <c r="B1349" s="9"/>
      <c r="C1349" s="9"/>
      <c r="D1349" s="30"/>
      <c r="E1349" s="9"/>
      <c r="F1349" s="9"/>
      <c r="G1349" s="9"/>
      <c r="H1349" s="9"/>
      <c r="I1349" s="9"/>
      <c r="J1349" s="21" t="s">
        <v>1163</v>
      </c>
      <c r="K1349" s="22">
        <f>SUM(J1347:J1348)</f>
        <v>1.56</v>
      </c>
      <c r="L1349" s="23">
        <v>0</v>
      </c>
      <c r="M1349" s="24">
        <f>ROUND(K1349*L1349,2)</f>
        <v>0</v>
      </c>
    </row>
    <row r="1350" spans="1:13" ht="0.95" customHeight="1">
      <c r="A1350" s="25"/>
      <c r="B1350" s="25"/>
      <c r="C1350" s="25"/>
      <c r="D1350" s="31"/>
      <c r="E1350" s="25"/>
      <c r="F1350" s="25"/>
      <c r="G1350" s="25"/>
      <c r="H1350" s="25"/>
      <c r="I1350" s="25"/>
      <c r="J1350" s="25"/>
      <c r="K1350" s="25"/>
      <c r="L1350" s="25"/>
      <c r="M1350" s="25"/>
    </row>
    <row r="1351" spans="1:13" ht="22.5">
      <c r="A1351" s="15" t="s">
        <v>1164</v>
      </c>
      <c r="B1351" s="10" t="s">
        <v>23</v>
      </c>
      <c r="C1351" s="10" t="s">
        <v>4</v>
      </c>
      <c r="D1351" s="18" t="s">
        <v>1165</v>
      </c>
      <c r="E1351" s="9"/>
      <c r="F1351" s="9"/>
      <c r="G1351" s="9"/>
      <c r="H1351" s="9"/>
      <c r="I1351" s="9"/>
      <c r="J1351" s="9"/>
      <c r="K1351" s="16">
        <f>K1354</f>
        <v>2</v>
      </c>
      <c r="L1351" s="17">
        <f>L1354</f>
        <v>0</v>
      </c>
      <c r="M1351" s="17">
        <f>M1354</f>
        <v>0</v>
      </c>
    </row>
    <row r="1352" spans="1:13">
      <c r="A1352" s="9"/>
      <c r="B1352" s="9"/>
      <c r="C1352" s="9"/>
      <c r="D1352" s="18" t="s">
        <v>1166</v>
      </c>
      <c r="E1352" s="9"/>
      <c r="F1352" s="9"/>
      <c r="G1352" s="9"/>
      <c r="H1352" s="9"/>
      <c r="I1352" s="9"/>
      <c r="J1352" s="9"/>
      <c r="K1352" s="9"/>
      <c r="L1352" s="9"/>
      <c r="M1352" s="9"/>
    </row>
    <row r="1353" spans="1:13">
      <c r="A1353" s="9"/>
      <c r="B1353" s="9"/>
      <c r="C1353" s="10" t="s">
        <v>1167</v>
      </c>
      <c r="D1353" s="30"/>
      <c r="E1353" s="10" t="s">
        <v>1168</v>
      </c>
      <c r="F1353" s="19">
        <v>2</v>
      </c>
      <c r="G1353" s="23">
        <v>0</v>
      </c>
      <c r="H1353" s="23">
        <v>0</v>
      </c>
      <c r="I1353" s="23">
        <v>0</v>
      </c>
      <c r="J1353" s="17">
        <f>OR(F1353&lt;&gt;0,G1353&lt;&gt;0,H1353&lt;&gt;0,I1353&lt;&gt;0)*(F1353 + (F1353 = 0))*(G1353 + (G1353 = 0))*(H1353 + (H1353 = 0))*(I1353 + (I1353 = 0))</f>
        <v>2</v>
      </c>
      <c r="K1353" s="9"/>
      <c r="L1353" s="9"/>
      <c r="M1353" s="9"/>
    </row>
    <row r="1354" spans="1:13">
      <c r="A1354" s="9"/>
      <c r="B1354" s="9"/>
      <c r="C1354" s="9"/>
      <c r="D1354" s="30"/>
      <c r="E1354" s="9"/>
      <c r="F1354" s="9"/>
      <c r="G1354" s="9"/>
      <c r="H1354" s="9"/>
      <c r="I1354" s="9"/>
      <c r="J1354" s="21" t="s">
        <v>1169</v>
      </c>
      <c r="K1354" s="22">
        <f>J1353</f>
        <v>2</v>
      </c>
      <c r="L1354" s="23">
        <v>0</v>
      </c>
      <c r="M1354" s="24">
        <f>ROUND(K1354*L1354,2)</f>
        <v>0</v>
      </c>
    </row>
    <row r="1355" spans="1:13" ht="0.95" customHeight="1">
      <c r="A1355" s="25"/>
      <c r="B1355" s="25"/>
      <c r="C1355" s="25"/>
      <c r="D1355" s="31"/>
      <c r="E1355" s="25"/>
      <c r="F1355" s="25"/>
      <c r="G1355" s="25"/>
      <c r="H1355" s="25"/>
      <c r="I1355" s="25"/>
      <c r="J1355" s="25"/>
      <c r="K1355" s="25"/>
      <c r="L1355" s="25"/>
      <c r="M1355" s="25"/>
    </row>
    <row r="1356" spans="1:13">
      <c r="A1356" s="9"/>
      <c r="B1356" s="9"/>
      <c r="C1356" s="9"/>
      <c r="D1356" s="30"/>
      <c r="E1356" s="9"/>
      <c r="F1356" s="9"/>
      <c r="G1356" s="9"/>
      <c r="H1356" s="9"/>
      <c r="I1356" s="9"/>
      <c r="J1356" s="21" t="s">
        <v>1170</v>
      </c>
      <c r="K1356" s="20">
        <v>1</v>
      </c>
      <c r="L1356" s="24">
        <f>M1319+M1326+M1337+M1345+M1351</f>
        <v>0</v>
      </c>
      <c r="M1356" s="24">
        <f>ROUND(K1356*L1356,2)</f>
        <v>0</v>
      </c>
    </row>
    <row r="1357" spans="1:13" ht="0.95" customHeight="1">
      <c r="A1357" s="25"/>
      <c r="B1357" s="25"/>
      <c r="C1357" s="25"/>
      <c r="D1357" s="31"/>
      <c r="E1357" s="25"/>
      <c r="F1357" s="25"/>
      <c r="G1357" s="25"/>
      <c r="H1357" s="25"/>
      <c r="I1357" s="25"/>
      <c r="J1357" s="25"/>
      <c r="K1357" s="25"/>
      <c r="L1357" s="25"/>
      <c r="M1357" s="25"/>
    </row>
    <row r="1358" spans="1:13">
      <c r="A1358" s="11" t="s">
        <v>1171</v>
      </c>
      <c r="B1358" s="11" t="s">
        <v>16</v>
      </c>
      <c r="C1358" s="11" t="s">
        <v>17</v>
      </c>
      <c r="D1358" s="29" t="s">
        <v>1172</v>
      </c>
      <c r="E1358" s="12"/>
      <c r="F1358" s="12"/>
      <c r="G1358" s="12"/>
      <c r="H1358" s="12"/>
      <c r="I1358" s="12"/>
      <c r="J1358" s="12"/>
      <c r="K1358" s="13">
        <f>K1395</f>
        <v>1</v>
      </c>
      <c r="L1358" s="14">
        <f>L1395</f>
        <v>0</v>
      </c>
      <c r="M1358" s="14">
        <f>M1395</f>
        <v>0</v>
      </c>
    </row>
    <row r="1359" spans="1:13">
      <c r="A1359" s="9"/>
      <c r="B1359" s="9"/>
      <c r="C1359" s="9"/>
      <c r="D1359" s="18" t="s">
        <v>1172</v>
      </c>
      <c r="E1359" s="9"/>
      <c r="F1359" s="9"/>
      <c r="G1359" s="9"/>
      <c r="H1359" s="9"/>
      <c r="I1359" s="9"/>
      <c r="J1359" s="9"/>
      <c r="K1359" s="9"/>
      <c r="L1359" s="9"/>
      <c r="M1359" s="9"/>
    </row>
    <row r="1360" spans="1:13" ht="33.75">
      <c r="A1360" s="15" t="s">
        <v>1173</v>
      </c>
      <c r="B1360" s="10" t="s">
        <v>23</v>
      </c>
      <c r="C1360" s="10" t="s">
        <v>94</v>
      </c>
      <c r="D1360" s="18" t="s">
        <v>1174</v>
      </c>
      <c r="E1360" s="9"/>
      <c r="F1360" s="9"/>
      <c r="G1360" s="9"/>
      <c r="H1360" s="9"/>
      <c r="I1360" s="9"/>
      <c r="J1360" s="9"/>
      <c r="K1360" s="16">
        <f>K1380</f>
        <v>188.54300000000001</v>
      </c>
      <c r="L1360" s="17">
        <f>L1380</f>
        <v>0</v>
      </c>
      <c r="M1360" s="17">
        <f>M1380</f>
        <v>0</v>
      </c>
    </row>
    <row r="1361" spans="1:13">
      <c r="A1361" s="9"/>
      <c r="B1361" s="9"/>
      <c r="C1361" s="9"/>
      <c r="D1361" s="18" t="s">
        <v>1175</v>
      </c>
      <c r="E1361" s="9"/>
      <c r="F1361" s="9"/>
      <c r="G1361" s="9"/>
      <c r="H1361" s="9"/>
      <c r="I1361" s="9"/>
      <c r="J1361" s="9"/>
      <c r="K1361" s="9"/>
      <c r="L1361" s="9"/>
      <c r="M1361" s="9"/>
    </row>
    <row r="1362" spans="1:13">
      <c r="A1362" s="9"/>
      <c r="B1362" s="9"/>
      <c r="C1362" s="10" t="s">
        <v>27</v>
      </c>
      <c r="D1362" s="30"/>
      <c r="E1362" s="10" t="s">
        <v>227</v>
      </c>
      <c r="F1362" s="19">
        <v>1</v>
      </c>
      <c r="G1362" s="20">
        <v>45.85</v>
      </c>
      <c r="H1362" s="20">
        <v>0</v>
      </c>
      <c r="I1362" s="20">
        <v>2.6</v>
      </c>
      <c r="J1362" s="16">
        <f>OR(F1362&lt;&gt;0,G1362&lt;&gt;0,H1362&lt;&gt;0,I1362&lt;&gt;0)*(F1362 + (F1362 = 0))*(G1362 + (G1362 = 0))*(H1362 + (H1362 = 0))*(I1362 + (I1362 = 0))</f>
        <v>119.21</v>
      </c>
      <c r="K1362" s="9"/>
      <c r="L1362" s="9"/>
      <c r="M1362" s="9"/>
    </row>
    <row r="1363" spans="1:13">
      <c r="A1363" s="9"/>
      <c r="B1363" s="9"/>
      <c r="C1363" s="10" t="s">
        <v>27</v>
      </c>
      <c r="D1363" s="30"/>
      <c r="E1363" s="10" t="s">
        <v>17</v>
      </c>
      <c r="F1363" s="19">
        <v>-1</v>
      </c>
      <c r="G1363" s="20">
        <v>2.5</v>
      </c>
      <c r="H1363" s="20">
        <v>0</v>
      </c>
      <c r="I1363" s="20">
        <v>0</v>
      </c>
      <c r="J1363" s="16">
        <f>OR(F1363&lt;&gt;0,G1363&lt;&gt;0,H1363&lt;&gt;0,I1363&lt;&gt;0)*(F1363 + (F1363 = 0))*(G1363 + (G1363 = 0))*(H1363 + (H1363 = 0))*(I1363 + (I1363 = 0))</f>
        <v>-2.5</v>
      </c>
      <c r="K1363" s="9"/>
      <c r="L1363" s="9"/>
      <c r="M1363" s="9"/>
    </row>
    <row r="1364" spans="1:13">
      <c r="A1364" s="9"/>
      <c r="B1364" s="9"/>
      <c r="C1364" s="10" t="s">
        <v>27</v>
      </c>
      <c r="D1364" s="30"/>
      <c r="E1364" s="10" t="s">
        <v>17</v>
      </c>
      <c r="F1364" s="19">
        <v>-1</v>
      </c>
      <c r="G1364" s="20">
        <v>3.38</v>
      </c>
      <c r="H1364" s="20">
        <v>0</v>
      </c>
      <c r="I1364" s="20">
        <v>0</v>
      </c>
      <c r="J1364" s="16">
        <f>OR(F1364&lt;&gt;0,G1364&lt;&gt;0,H1364&lt;&gt;0,I1364&lt;&gt;0)*(F1364 + (F1364 = 0))*(G1364 + (G1364 = 0))*(H1364 + (H1364 = 0))*(I1364 + (I1364 = 0))</f>
        <v>-3.38</v>
      </c>
      <c r="K1364" s="9"/>
      <c r="L1364" s="9"/>
      <c r="M1364" s="9"/>
    </row>
    <row r="1365" spans="1:13">
      <c r="A1365" s="9"/>
      <c r="B1365" s="9"/>
      <c r="C1365" s="10" t="s">
        <v>27</v>
      </c>
      <c r="D1365" s="30"/>
      <c r="E1365" s="10" t="s">
        <v>17</v>
      </c>
      <c r="F1365" s="19">
        <v>-1</v>
      </c>
      <c r="G1365" s="20">
        <v>3.32</v>
      </c>
      <c r="H1365" s="20">
        <v>0</v>
      </c>
      <c r="I1365" s="20">
        <v>0</v>
      </c>
      <c r="J1365" s="16">
        <f>OR(F1365&lt;&gt;0,G1365&lt;&gt;0,H1365&lt;&gt;0,I1365&lt;&gt;0)*(F1365 + (F1365 = 0))*(G1365 + (G1365 = 0))*(H1365 + (H1365 = 0))*(I1365 + (I1365 = 0))</f>
        <v>-3.32</v>
      </c>
      <c r="K1365" s="9"/>
      <c r="L1365" s="9"/>
      <c r="M1365" s="9"/>
    </row>
    <row r="1366" spans="1:13">
      <c r="A1366" s="9"/>
      <c r="B1366" s="9"/>
      <c r="C1366" s="10" t="s">
        <v>27</v>
      </c>
      <c r="D1366" s="30"/>
      <c r="E1366" s="10" t="s">
        <v>17</v>
      </c>
      <c r="F1366" s="19">
        <v>-1</v>
      </c>
      <c r="G1366" s="20">
        <v>6</v>
      </c>
      <c r="H1366" s="20">
        <v>0</v>
      </c>
      <c r="I1366" s="20">
        <v>0</v>
      </c>
      <c r="J1366" s="16">
        <f>OR(F1366&lt;&gt;0,G1366&lt;&gt;0,H1366&lt;&gt;0,I1366&lt;&gt;0)*(F1366 + (F1366 = 0))*(G1366 + (G1366 = 0))*(H1366 + (H1366 = 0))*(I1366 + (I1366 = 0))</f>
        <v>-6</v>
      </c>
      <c r="K1366" s="9"/>
      <c r="L1366" s="9"/>
      <c r="M1366" s="9"/>
    </row>
    <row r="1367" spans="1:13">
      <c r="A1367" s="9"/>
      <c r="B1367" s="9"/>
      <c r="C1367" s="10" t="s">
        <v>27</v>
      </c>
      <c r="D1367" s="30"/>
      <c r="E1367" s="10" t="s">
        <v>17</v>
      </c>
      <c r="F1367" s="19">
        <v>-1</v>
      </c>
      <c r="G1367" s="20">
        <v>3.92</v>
      </c>
      <c r="H1367" s="20">
        <v>0</v>
      </c>
      <c r="I1367" s="20">
        <v>0</v>
      </c>
      <c r="J1367" s="16">
        <f>OR(F1367&lt;&gt;0,G1367&lt;&gt;0,H1367&lt;&gt;0,I1367&lt;&gt;0)*(F1367 + (F1367 = 0))*(G1367 + (G1367 = 0))*(H1367 + (H1367 = 0))*(I1367 + (I1367 = 0))</f>
        <v>-3.92</v>
      </c>
      <c r="K1367" s="9"/>
      <c r="L1367" s="9"/>
      <c r="M1367" s="9"/>
    </row>
    <row r="1368" spans="1:13">
      <c r="A1368" s="9"/>
      <c r="B1368" s="9"/>
      <c r="C1368" s="10" t="s">
        <v>27</v>
      </c>
      <c r="D1368" s="30"/>
      <c r="E1368" s="10" t="s">
        <v>17</v>
      </c>
      <c r="F1368" s="19">
        <v>-1</v>
      </c>
      <c r="G1368" s="20">
        <v>3.25</v>
      </c>
      <c r="H1368" s="20">
        <v>0</v>
      </c>
      <c r="I1368" s="20">
        <v>0</v>
      </c>
      <c r="J1368" s="16">
        <f>OR(F1368&lt;&gt;0,G1368&lt;&gt;0,H1368&lt;&gt;0,I1368&lt;&gt;0)*(F1368 + (F1368 = 0))*(G1368 + (G1368 = 0))*(H1368 + (H1368 = 0))*(I1368 + (I1368 = 0))</f>
        <v>-3.25</v>
      </c>
      <c r="K1368" s="9"/>
      <c r="L1368" s="9"/>
      <c r="M1368" s="9"/>
    </row>
    <row r="1369" spans="1:13">
      <c r="A1369" s="9"/>
      <c r="B1369" s="9"/>
      <c r="C1369" s="10" t="s">
        <v>27</v>
      </c>
      <c r="D1369" s="30"/>
      <c r="E1369" s="10" t="s">
        <v>17</v>
      </c>
      <c r="F1369" s="19">
        <v>-1</v>
      </c>
      <c r="G1369" s="20">
        <v>10.34</v>
      </c>
      <c r="H1369" s="20">
        <v>0</v>
      </c>
      <c r="I1369" s="20">
        <v>0</v>
      </c>
      <c r="J1369" s="16">
        <f>OR(F1369&lt;&gt;0,G1369&lt;&gt;0,H1369&lt;&gt;0,I1369&lt;&gt;0)*(F1369 + (F1369 = 0))*(G1369 + (G1369 = 0))*(H1369 + (H1369 = 0))*(I1369 + (I1369 = 0))</f>
        <v>-10.34</v>
      </c>
      <c r="K1369" s="9"/>
      <c r="L1369" s="9"/>
      <c r="M1369" s="9"/>
    </row>
    <row r="1370" spans="1:13">
      <c r="A1370" s="9"/>
      <c r="B1370" s="9"/>
      <c r="C1370" s="10" t="s">
        <v>27</v>
      </c>
      <c r="D1370" s="30"/>
      <c r="E1370" s="10" t="s">
        <v>228</v>
      </c>
      <c r="F1370" s="19">
        <v>2</v>
      </c>
      <c r="G1370" s="20">
        <v>22.92</v>
      </c>
      <c r="H1370" s="20">
        <v>0</v>
      </c>
      <c r="I1370" s="20">
        <v>0</v>
      </c>
      <c r="J1370" s="16">
        <f>OR(F1370&lt;&gt;0,G1370&lt;&gt;0,H1370&lt;&gt;0,I1370&lt;&gt;0)*(F1370 + (F1370 = 0))*(G1370 + (G1370 = 0))*(H1370 + (H1370 = 0))*(I1370 + (I1370 = 0))</f>
        <v>45.84</v>
      </c>
      <c r="K1370" s="9"/>
      <c r="L1370" s="9"/>
      <c r="M1370" s="9"/>
    </row>
    <row r="1371" spans="1:13">
      <c r="A1371" s="9"/>
      <c r="B1371" s="9"/>
      <c r="C1371" s="10" t="s">
        <v>27</v>
      </c>
      <c r="D1371" s="30"/>
      <c r="E1371" s="10" t="s">
        <v>17</v>
      </c>
      <c r="F1371" s="19">
        <v>1</v>
      </c>
      <c r="G1371" s="20">
        <v>12.18</v>
      </c>
      <c r="H1371" s="20">
        <v>0</v>
      </c>
      <c r="I1371" s="20">
        <v>0</v>
      </c>
      <c r="J1371" s="16">
        <f>OR(F1371&lt;&gt;0,G1371&lt;&gt;0,H1371&lt;&gt;0,I1371&lt;&gt;0)*(F1371 + (F1371 = 0))*(G1371 + (G1371 = 0))*(H1371 + (H1371 = 0))*(I1371 + (I1371 = 0))</f>
        <v>12.18</v>
      </c>
      <c r="K1371" s="9"/>
      <c r="L1371" s="9"/>
      <c r="M1371" s="9"/>
    </row>
    <row r="1372" spans="1:13">
      <c r="A1372" s="9"/>
      <c r="B1372" s="9"/>
      <c r="C1372" s="10" t="s">
        <v>27</v>
      </c>
      <c r="D1372" s="30"/>
      <c r="E1372" s="10" t="s">
        <v>17</v>
      </c>
      <c r="F1372" s="19">
        <v>1</v>
      </c>
      <c r="G1372" s="20">
        <v>19.600000000000001</v>
      </c>
      <c r="H1372" s="20">
        <v>0</v>
      </c>
      <c r="I1372" s="20">
        <v>0</v>
      </c>
      <c r="J1372" s="16">
        <f>OR(F1372&lt;&gt;0,G1372&lt;&gt;0,H1372&lt;&gt;0,I1372&lt;&gt;0)*(F1372 + (F1372 = 0))*(G1372 + (G1372 = 0))*(H1372 + (H1372 = 0))*(I1372 + (I1372 = 0))</f>
        <v>19.600000000000001</v>
      </c>
      <c r="K1372" s="9"/>
      <c r="L1372" s="9"/>
      <c r="M1372" s="9"/>
    </row>
    <row r="1373" spans="1:13">
      <c r="A1373" s="9"/>
      <c r="B1373" s="9"/>
      <c r="C1373" s="10" t="s">
        <v>27</v>
      </c>
      <c r="D1373" s="30"/>
      <c r="E1373" s="10" t="s">
        <v>17</v>
      </c>
      <c r="F1373" s="19">
        <v>-2</v>
      </c>
      <c r="G1373" s="20">
        <v>5.64</v>
      </c>
      <c r="H1373" s="20">
        <v>0</v>
      </c>
      <c r="I1373" s="20">
        <v>0</v>
      </c>
      <c r="J1373" s="16">
        <f>OR(F1373&lt;&gt;0,G1373&lt;&gt;0,H1373&lt;&gt;0,I1373&lt;&gt;0)*(F1373 + (F1373 = 0))*(G1373 + (G1373 = 0))*(H1373 + (H1373 = 0))*(I1373 + (I1373 = 0))</f>
        <v>-11.28</v>
      </c>
      <c r="K1373" s="9"/>
      <c r="L1373" s="9"/>
      <c r="M1373" s="9"/>
    </row>
    <row r="1374" spans="1:13">
      <c r="A1374" s="9"/>
      <c r="B1374" s="9"/>
      <c r="C1374" s="10" t="s">
        <v>27</v>
      </c>
      <c r="D1374" s="30"/>
      <c r="E1374" s="10" t="s">
        <v>17</v>
      </c>
      <c r="F1374" s="19">
        <v>1</v>
      </c>
      <c r="G1374" s="20">
        <v>5.75</v>
      </c>
      <c r="H1374" s="20">
        <v>0</v>
      </c>
      <c r="I1374" s="20">
        <v>1.95</v>
      </c>
      <c r="J1374" s="16">
        <f>OR(F1374&lt;&gt;0,G1374&lt;&gt;0,H1374&lt;&gt;0,I1374&lt;&gt;0)*(F1374 + (F1374 = 0))*(G1374 + (G1374 = 0))*(H1374 + (H1374 = 0))*(I1374 + (I1374 = 0))</f>
        <v>11.212999999999999</v>
      </c>
      <c r="K1374" s="9"/>
      <c r="L1374" s="9"/>
      <c r="M1374" s="9"/>
    </row>
    <row r="1375" spans="1:13">
      <c r="A1375" s="9"/>
      <c r="B1375" s="9"/>
      <c r="C1375" s="10" t="s">
        <v>27</v>
      </c>
      <c r="D1375" s="30"/>
      <c r="E1375" s="10" t="s">
        <v>17</v>
      </c>
      <c r="F1375" s="19">
        <v>1</v>
      </c>
      <c r="G1375" s="20">
        <v>6.5</v>
      </c>
      <c r="H1375" s="20">
        <v>0</v>
      </c>
      <c r="I1375" s="20">
        <v>2.7</v>
      </c>
      <c r="J1375" s="16">
        <f>OR(F1375&lt;&gt;0,G1375&lt;&gt;0,H1375&lt;&gt;0,I1375&lt;&gt;0)*(F1375 + (F1375 = 0))*(G1375 + (G1375 = 0))*(H1375 + (H1375 = 0))*(I1375 + (I1375 = 0))</f>
        <v>17.55</v>
      </c>
      <c r="K1375" s="9"/>
      <c r="L1375" s="9"/>
      <c r="M1375" s="9"/>
    </row>
    <row r="1376" spans="1:13">
      <c r="A1376" s="9"/>
      <c r="B1376" s="9"/>
      <c r="C1376" s="10" t="s">
        <v>27</v>
      </c>
      <c r="D1376" s="30"/>
      <c r="E1376" s="10" t="s">
        <v>17</v>
      </c>
      <c r="F1376" s="19">
        <v>-1</v>
      </c>
      <c r="G1376" s="20">
        <v>2.0299999999999998</v>
      </c>
      <c r="H1376" s="20">
        <v>0</v>
      </c>
      <c r="I1376" s="20">
        <v>0</v>
      </c>
      <c r="J1376" s="16">
        <f>OR(F1376&lt;&gt;0,G1376&lt;&gt;0,H1376&lt;&gt;0,I1376&lt;&gt;0)*(F1376 + (F1376 = 0))*(G1376 + (G1376 = 0))*(H1376 + (H1376 = 0))*(I1376 + (I1376 = 0))</f>
        <v>-2.0299999999999998</v>
      </c>
      <c r="K1376" s="9"/>
      <c r="L1376" s="9"/>
      <c r="M1376" s="9"/>
    </row>
    <row r="1377" spans="1:13">
      <c r="A1377" s="9"/>
      <c r="B1377" s="9"/>
      <c r="C1377" s="10" t="s">
        <v>27</v>
      </c>
      <c r="D1377" s="30"/>
      <c r="E1377" s="10" t="s">
        <v>17</v>
      </c>
      <c r="F1377" s="19">
        <v>-1</v>
      </c>
      <c r="G1377" s="20">
        <v>5.99</v>
      </c>
      <c r="H1377" s="20">
        <v>0</v>
      </c>
      <c r="I1377" s="20">
        <v>0</v>
      </c>
      <c r="J1377" s="16">
        <f>OR(F1377&lt;&gt;0,G1377&lt;&gt;0,H1377&lt;&gt;0,I1377&lt;&gt;0)*(F1377 + (F1377 = 0))*(G1377 + (G1377 = 0))*(H1377 + (H1377 = 0))*(I1377 + (I1377 = 0))</f>
        <v>-5.99</v>
      </c>
      <c r="K1377" s="9"/>
      <c r="L1377" s="9"/>
      <c r="M1377" s="9"/>
    </row>
    <row r="1378" spans="1:13">
      <c r="A1378" s="9"/>
      <c r="B1378" s="9"/>
      <c r="C1378" s="10" t="s">
        <v>27</v>
      </c>
      <c r="D1378" s="30"/>
      <c r="E1378" s="10" t="s">
        <v>17</v>
      </c>
      <c r="F1378" s="19">
        <v>2</v>
      </c>
      <c r="G1378" s="20">
        <v>1.7</v>
      </c>
      <c r="H1378" s="20">
        <v>0</v>
      </c>
      <c r="I1378" s="20">
        <v>2.35</v>
      </c>
      <c r="J1378" s="16">
        <f>OR(F1378&lt;&gt;0,G1378&lt;&gt;0,H1378&lt;&gt;0,I1378&lt;&gt;0)*(F1378 + (F1378 = 0))*(G1378 + (G1378 = 0))*(H1378 + (H1378 = 0))*(I1378 + (I1378 = 0))</f>
        <v>7.99</v>
      </c>
      <c r="K1378" s="9"/>
      <c r="L1378" s="9"/>
      <c r="M1378" s="9"/>
    </row>
    <row r="1379" spans="1:13">
      <c r="A1379" s="9"/>
      <c r="B1379" s="9"/>
      <c r="C1379" s="10" t="s">
        <v>27</v>
      </c>
      <c r="D1379" s="30"/>
      <c r="E1379" s="10" t="s">
        <v>1115</v>
      </c>
      <c r="F1379" s="19">
        <v>1</v>
      </c>
      <c r="G1379" s="20">
        <v>6.97</v>
      </c>
      <c r="H1379" s="20">
        <v>0</v>
      </c>
      <c r="I1379" s="20">
        <v>0</v>
      </c>
      <c r="J1379" s="16">
        <f>OR(F1379&lt;&gt;0,G1379&lt;&gt;0,H1379&lt;&gt;0,I1379&lt;&gt;0)*(F1379 + (F1379 = 0))*(G1379 + (G1379 = 0))*(H1379 + (H1379 = 0))*(I1379 + (I1379 = 0))</f>
        <v>6.97</v>
      </c>
      <c r="K1379" s="9"/>
      <c r="L1379" s="9"/>
      <c r="M1379" s="9"/>
    </row>
    <row r="1380" spans="1:13">
      <c r="A1380" s="9"/>
      <c r="B1380" s="9"/>
      <c r="C1380" s="9"/>
      <c r="D1380" s="30"/>
      <c r="E1380" s="9"/>
      <c r="F1380" s="9"/>
      <c r="G1380" s="9"/>
      <c r="H1380" s="9"/>
      <c r="I1380" s="9"/>
      <c r="J1380" s="21" t="s">
        <v>1176</v>
      </c>
      <c r="K1380" s="22">
        <f>SUM(J1362:J1379)</f>
        <v>188.54300000000001</v>
      </c>
      <c r="L1380" s="23">
        <v>0</v>
      </c>
      <c r="M1380" s="24">
        <f>ROUND(K1380*L1380,2)</f>
        <v>0</v>
      </c>
    </row>
    <row r="1381" spans="1:13" ht="0.95" customHeight="1">
      <c r="A1381" s="25"/>
      <c r="B1381" s="25"/>
      <c r="C1381" s="25"/>
      <c r="D1381" s="31"/>
      <c r="E1381" s="25"/>
      <c r="F1381" s="25"/>
      <c r="G1381" s="25"/>
      <c r="H1381" s="25"/>
      <c r="I1381" s="25"/>
      <c r="J1381" s="25"/>
      <c r="K1381" s="25"/>
      <c r="L1381" s="25"/>
      <c r="M1381" s="25"/>
    </row>
    <row r="1382" spans="1:13" ht="33.75">
      <c r="A1382" s="15" t="s">
        <v>1177</v>
      </c>
      <c r="B1382" s="10" t="s">
        <v>23</v>
      </c>
      <c r="C1382" s="10" t="s">
        <v>94</v>
      </c>
      <c r="D1382" s="18" t="s">
        <v>1174</v>
      </c>
      <c r="E1382" s="9"/>
      <c r="F1382" s="9"/>
      <c r="G1382" s="9"/>
      <c r="H1382" s="9"/>
      <c r="I1382" s="9"/>
      <c r="J1382" s="9"/>
      <c r="K1382" s="16">
        <f>K1393</f>
        <v>91.879000000000005</v>
      </c>
      <c r="L1382" s="17">
        <f>L1393</f>
        <v>0</v>
      </c>
      <c r="M1382" s="17">
        <f>M1393</f>
        <v>0</v>
      </c>
    </row>
    <row r="1383" spans="1:13">
      <c r="A1383" s="9"/>
      <c r="B1383" s="9"/>
      <c r="C1383" s="9"/>
      <c r="D1383" s="18" t="s">
        <v>1178</v>
      </c>
      <c r="E1383" s="9"/>
      <c r="F1383" s="9"/>
      <c r="G1383" s="9"/>
      <c r="H1383" s="9"/>
      <c r="I1383" s="9"/>
      <c r="J1383" s="9"/>
      <c r="K1383" s="9"/>
      <c r="L1383" s="9"/>
      <c r="M1383" s="9"/>
    </row>
    <row r="1384" spans="1:13">
      <c r="A1384" s="9"/>
      <c r="B1384" s="9"/>
      <c r="C1384" s="10" t="s">
        <v>27</v>
      </c>
      <c r="D1384" s="30"/>
      <c r="E1384" s="10" t="s">
        <v>1109</v>
      </c>
      <c r="F1384" s="19"/>
      <c r="G1384" s="20"/>
      <c r="H1384" s="20"/>
      <c r="I1384" s="20"/>
      <c r="J1384" s="16">
        <f>OR(F1384&lt;&gt;0,G1384&lt;&gt;0,H1384&lt;&gt;0,I1384&lt;&gt;0)*(F1384 + (F1384 = 0))*(G1384 + (G1384 = 0))*(H1384 + (H1384 = 0))*(I1384 + (I1384 = 0))</f>
        <v>0</v>
      </c>
      <c r="K1384" s="9"/>
      <c r="L1384" s="9"/>
      <c r="M1384" s="9"/>
    </row>
    <row r="1385" spans="1:13">
      <c r="A1385" s="9"/>
      <c r="B1385" s="9"/>
      <c r="C1385" s="10" t="s">
        <v>27</v>
      </c>
      <c r="D1385" s="30"/>
      <c r="E1385" s="10" t="s">
        <v>1110</v>
      </c>
      <c r="F1385" s="19">
        <v>1</v>
      </c>
      <c r="G1385" s="20">
        <v>6.5</v>
      </c>
      <c r="H1385" s="20">
        <v>4.3</v>
      </c>
      <c r="I1385" s="20">
        <v>0</v>
      </c>
      <c r="J1385" s="16">
        <f>OR(F1385&lt;&gt;0,G1385&lt;&gt;0,H1385&lt;&gt;0,I1385&lt;&gt;0)*(F1385 + (F1385 = 0))*(G1385 + (G1385 = 0))*(H1385 + (H1385 = 0))*(I1385 + (I1385 = 0))</f>
        <v>27.95</v>
      </c>
      <c r="K1385" s="9"/>
      <c r="L1385" s="9"/>
      <c r="M1385" s="9"/>
    </row>
    <row r="1386" spans="1:13">
      <c r="A1386" s="9"/>
      <c r="B1386" s="9"/>
      <c r="C1386" s="10" t="s">
        <v>27</v>
      </c>
      <c r="D1386" s="30"/>
      <c r="E1386" s="10" t="s">
        <v>17</v>
      </c>
      <c r="F1386" s="19">
        <v>1</v>
      </c>
      <c r="G1386" s="20">
        <v>6.5</v>
      </c>
      <c r="H1386" s="20">
        <v>6.25</v>
      </c>
      <c r="I1386" s="20">
        <v>0</v>
      </c>
      <c r="J1386" s="16">
        <f>OR(F1386&lt;&gt;0,G1386&lt;&gt;0,H1386&lt;&gt;0,I1386&lt;&gt;0)*(F1386 + (F1386 = 0))*(G1386 + (G1386 = 0))*(H1386 + (H1386 = 0))*(I1386 + (I1386 = 0))</f>
        <v>40.625</v>
      </c>
      <c r="K1386" s="9"/>
      <c r="L1386" s="9"/>
      <c r="M1386" s="9"/>
    </row>
    <row r="1387" spans="1:13">
      <c r="A1387" s="9"/>
      <c r="B1387" s="9"/>
      <c r="C1387" s="10" t="s">
        <v>27</v>
      </c>
      <c r="D1387" s="30"/>
      <c r="E1387" s="10" t="s">
        <v>17</v>
      </c>
      <c r="F1387" s="19">
        <v>1</v>
      </c>
      <c r="G1387" s="20">
        <v>5.6</v>
      </c>
      <c r="H1387" s="20">
        <v>4.1500000000000004</v>
      </c>
      <c r="I1387" s="20">
        <v>0</v>
      </c>
      <c r="J1387" s="16">
        <f>OR(F1387&lt;&gt;0,G1387&lt;&gt;0,H1387&lt;&gt;0,I1387&lt;&gt;0)*(F1387 + (F1387 = 0))*(G1387 + (G1387 = 0))*(H1387 + (H1387 = 0))*(I1387 + (I1387 = 0))</f>
        <v>23.24</v>
      </c>
      <c r="K1387" s="9"/>
      <c r="L1387" s="9"/>
      <c r="M1387" s="9"/>
    </row>
    <row r="1388" spans="1:13">
      <c r="A1388" s="9"/>
      <c r="B1388" s="9"/>
      <c r="C1388" s="10" t="s">
        <v>27</v>
      </c>
      <c r="D1388" s="30"/>
      <c r="E1388" s="10" t="s">
        <v>17</v>
      </c>
      <c r="F1388" s="19">
        <v>-1</v>
      </c>
      <c r="G1388" s="20">
        <v>1.75</v>
      </c>
      <c r="H1388" s="20">
        <v>2.4500000000000002</v>
      </c>
      <c r="I1388" s="20">
        <v>0</v>
      </c>
      <c r="J1388" s="16">
        <f>OR(F1388&lt;&gt;0,G1388&lt;&gt;0,H1388&lt;&gt;0,I1388&lt;&gt;0)*(F1388 + (F1388 = 0))*(G1388 + (G1388 = 0))*(H1388 + (H1388 = 0))*(I1388 + (I1388 = 0))</f>
        <v>-4.2880000000000003</v>
      </c>
      <c r="K1388" s="9"/>
      <c r="L1388" s="9"/>
      <c r="M1388" s="9"/>
    </row>
    <row r="1389" spans="1:13">
      <c r="A1389" s="9"/>
      <c r="B1389" s="9"/>
      <c r="C1389" s="10" t="s">
        <v>27</v>
      </c>
      <c r="D1389" s="30"/>
      <c r="E1389" s="10" t="s">
        <v>17</v>
      </c>
      <c r="F1389" s="19">
        <v>-1</v>
      </c>
      <c r="G1389" s="20">
        <v>2.5499999999999998</v>
      </c>
      <c r="H1389" s="20">
        <v>2.4500000000000002</v>
      </c>
      <c r="I1389" s="20">
        <v>0</v>
      </c>
      <c r="J1389" s="16">
        <f>OR(F1389&lt;&gt;0,G1389&lt;&gt;0,H1389&lt;&gt;0,I1389&lt;&gt;0)*(F1389 + (F1389 = 0))*(G1389 + (G1389 = 0))*(H1389 + (H1389 = 0))*(I1389 + (I1389 = 0))</f>
        <v>-6.2480000000000002</v>
      </c>
      <c r="K1389" s="9"/>
      <c r="L1389" s="9"/>
      <c r="M1389" s="9"/>
    </row>
    <row r="1390" spans="1:13">
      <c r="A1390" s="9"/>
      <c r="B1390" s="9"/>
      <c r="C1390" s="10" t="s">
        <v>27</v>
      </c>
      <c r="D1390" s="30"/>
      <c r="E1390" s="10" t="s">
        <v>1179</v>
      </c>
      <c r="F1390" s="19"/>
      <c r="G1390" s="20"/>
      <c r="H1390" s="20"/>
      <c r="I1390" s="20"/>
      <c r="J1390" s="16">
        <f>OR(F1390&lt;&gt;0,G1390&lt;&gt;0,H1390&lt;&gt;0,I1390&lt;&gt;0)*(F1390 + (F1390 = 0))*(G1390 + (G1390 = 0))*(H1390 + (H1390 = 0))*(I1390 + (I1390 = 0))</f>
        <v>0</v>
      </c>
      <c r="K1390" s="9"/>
      <c r="L1390" s="9"/>
      <c r="M1390" s="9"/>
    </row>
    <row r="1391" spans="1:13">
      <c r="A1391" s="9"/>
      <c r="B1391" s="9"/>
      <c r="C1391" s="10" t="s">
        <v>27</v>
      </c>
      <c r="D1391" s="30"/>
      <c r="E1391" s="10" t="s">
        <v>1103</v>
      </c>
      <c r="F1391" s="19">
        <v>1</v>
      </c>
      <c r="G1391" s="20">
        <v>8.02</v>
      </c>
      <c r="H1391" s="20">
        <v>0</v>
      </c>
      <c r="I1391" s="20">
        <v>0</v>
      </c>
      <c r="J1391" s="16">
        <f>OR(F1391&lt;&gt;0,G1391&lt;&gt;0,H1391&lt;&gt;0,I1391&lt;&gt;0)*(F1391 + (F1391 = 0))*(G1391 + (G1391 = 0))*(H1391 + (H1391 = 0))*(I1391 + (I1391 = 0))</f>
        <v>8.02</v>
      </c>
      <c r="K1391" s="9"/>
      <c r="L1391" s="9"/>
      <c r="M1391" s="9"/>
    </row>
    <row r="1392" spans="1:13">
      <c r="A1392" s="9"/>
      <c r="B1392" s="9"/>
      <c r="C1392" s="10" t="s">
        <v>27</v>
      </c>
      <c r="D1392" s="30"/>
      <c r="E1392" s="10" t="s">
        <v>1104</v>
      </c>
      <c r="F1392" s="19">
        <v>1</v>
      </c>
      <c r="G1392" s="20">
        <v>2.58</v>
      </c>
      <c r="H1392" s="20">
        <v>0</v>
      </c>
      <c r="I1392" s="20">
        <v>0</v>
      </c>
      <c r="J1392" s="16">
        <f>OR(F1392&lt;&gt;0,G1392&lt;&gt;0,H1392&lt;&gt;0,I1392&lt;&gt;0)*(F1392 + (F1392 = 0))*(G1392 + (G1392 = 0))*(H1392 + (H1392 = 0))*(I1392 + (I1392 = 0))</f>
        <v>2.58</v>
      </c>
      <c r="K1392" s="9"/>
      <c r="L1392" s="9"/>
      <c r="M1392" s="9"/>
    </row>
    <row r="1393" spans="1:13">
      <c r="A1393" s="9"/>
      <c r="B1393" s="9"/>
      <c r="C1393" s="9"/>
      <c r="D1393" s="30"/>
      <c r="E1393" s="9"/>
      <c r="F1393" s="9"/>
      <c r="G1393" s="9"/>
      <c r="H1393" s="9"/>
      <c r="I1393" s="9"/>
      <c r="J1393" s="21" t="s">
        <v>1180</v>
      </c>
      <c r="K1393" s="22">
        <f>SUM(J1384:J1392)</f>
        <v>91.879000000000005</v>
      </c>
      <c r="L1393" s="23">
        <v>0</v>
      </c>
      <c r="M1393" s="24">
        <f>ROUND(K1393*L1393,2)</f>
        <v>0</v>
      </c>
    </row>
    <row r="1394" spans="1:13" ht="0.95" customHeight="1">
      <c r="A1394" s="25"/>
      <c r="B1394" s="25"/>
      <c r="C1394" s="25"/>
      <c r="D1394" s="31"/>
      <c r="E1394" s="25"/>
      <c r="F1394" s="25"/>
      <c r="G1394" s="25"/>
      <c r="H1394" s="25"/>
      <c r="I1394" s="25"/>
      <c r="J1394" s="25"/>
      <c r="K1394" s="25"/>
      <c r="L1394" s="25"/>
      <c r="M1394" s="25"/>
    </row>
    <row r="1395" spans="1:13">
      <c r="A1395" s="9"/>
      <c r="B1395" s="9"/>
      <c r="C1395" s="9"/>
      <c r="D1395" s="30"/>
      <c r="E1395" s="9"/>
      <c r="F1395" s="9"/>
      <c r="G1395" s="9"/>
      <c r="H1395" s="9"/>
      <c r="I1395" s="9"/>
      <c r="J1395" s="21" t="s">
        <v>1181</v>
      </c>
      <c r="K1395" s="20">
        <v>1</v>
      </c>
      <c r="L1395" s="24">
        <f>M1360+M1382</f>
        <v>0</v>
      </c>
      <c r="M1395" s="24">
        <f>ROUND(K1395*L1395,2)</f>
        <v>0</v>
      </c>
    </row>
    <row r="1396" spans="1:13" ht="0.95" customHeight="1">
      <c r="A1396" s="25"/>
      <c r="B1396" s="25"/>
      <c r="C1396" s="25"/>
      <c r="D1396" s="31"/>
      <c r="E1396" s="25"/>
      <c r="F1396" s="25"/>
      <c r="G1396" s="25"/>
      <c r="H1396" s="25"/>
      <c r="I1396" s="25"/>
      <c r="J1396" s="25"/>
      <c r="K1396" s="25"/>
      <c r="L1396" s="25"/>
      <c r="M1396" s="25"/>
    </row>
    <row r="1397" spans="1:13">
      <c r="A1397" s="11" t="s">
        <v>1182</v>
      </c>
      <c r="B1397" s="11" t="s">
        <v>16</v>
      </c>
      <c r="C1397" s="11" t="s">
        <v>17</v>
      </c>
      <c r="D1397" s="29" t="s">
        <v>1183</v>
      </c>
      <c r="E1397" s="12"/>
      <c r="F1397" s="12"/>
      <c r="G1397" s="12"/>
      <c r="H1397" s="12"/>
      <c r="I1397" s="12"/>
      <c r="J1397" s="12"/>
      <c r="K1397" s="13">
        <f>K1406</f>
        <v>1</v>
      </c>
      <c r="L1397" s="14">
        <f>L1406</f>
        <v>0</v>
      </c>
      <c r="M1397" s="14">
        <f>M1406</f>
        <v>0</v>
      </c>
    </row>
    <row r="1398" spans="1:13" ht="33.75">
      <c r="A1398" s="15" t="s">
        <v>1184</v>
      </c>
      <c r="B1398" s="10" t="s">
        <v>23</v>
      </c>
      <c r="C1398" s="10" t="s">
        <v>94</v>
      </c>
      <c r="D1398" s="18" t="s">
        <v>1185</v>
      </c>
      <c r="E1398" s="9"/>
      <c r="F1398" s="9"/>
      <c r="G1398" s="9"/>
      <c r="H1398" s="9"/>
      <c r="I1398" s="9"/>
      <c r="J1398" s="9"/>
      <c r="K1398" s="16">
        <f>K1404</f>
        <v>164.96</v>
      </c>
      <c r="L1398" s="17">
        <f>L1404</f>
        <v>0</v>
      </c>
      <c r="M1398" s="17">
        <f>M1404</f>
        <v>0</v>
      </c>
    </row>
    <row r="1399" spans="1:13">
      <c r="A1399" s="9"/>
      <c r="B1399" s="9"/>
      <c r="C1399" s="9"/>
      <c r="D1399" s="18" t="s">
        <v>1186</v>
      </c>
      <c r="E1399" s="9"/>
      <c r="F1399" s="9"/>
      <c r="G1399" s="9"/>
      <c r="H1399" s="9"/>
      <c r="I1399" s="9"/>
      <c r="J1399" s="9"/>
      <c r="K1399" s="9"/>
      <c r="L1399" s="9"/>
      <c r="M1399" s="9"/>
    </row>
    <row r="1400" spans="1:13">
      <c r="A1400" s="9"/>
      <c r="B1400" s="9"/>
      <c r="C1400" s="10" t="s">
        <v>27</v>
      </c>
      <c r="D1400" s="30"/>
      <c r="E1400" s="10" t="s">
        <v>97</v>
      </c>
      <c r="F1400" s="19">
        <v>1</v>
      </c>
      <c r="G1400" s="20">
        <v>30.2</v>
      </c>
      <c r="H1400" s="20">
        <v>0</v>
      </c>
      <c r="I1400" s="20">
        <v>3.25</v>
      </c>
      <c r="J1400" s="16">
        <f>OR(F1400&lt;&gt;0,G1400&lt;&gt;0,H1400&lt;&gt;0,I1400&lt;&gt;0)*(F1400 + (F1400 = 0))*(G1400 + (G1400 = 0))*(H1400 + (H1400 = 0))*(I1400 + (I1400 = 0))</f>
        <v>98.15</v>
      </c>
      <c r="K1400" s="9"/>
      <c r="L1400" s="9"/>
      <c r="M1400" s="9"/>
    </row>
    <row r="1401" spans="1:13">
      <c r="A1401" s="9"/>
      <c r="B1401" s="9"/>
      <c r="C1401" s="10" t="s">
        <v>27</v>
      </c>
      <c r="D1401" s="30"/>
      <c r="E1401" s="10" t="s">
        <v>227</v>
      </c>
      <c r="F1401" s="19">
        <v>1</v>
      </c>
      <c r="G1401" s="20">
        <v>11.8</v>
      </c>
      <c r="H1401" s="20">
        <v>0</v>
      </c>
      <c r="I1401" s="20">
        <v>0.7</v>
      </c>
      <c r="J1401" s="16">
        <f>OR(F1401&lt;&gt;0,G1401&lt;&gt;0,H1401&lt;&gt;0,I1401&lt;&gt;0)*(F1401 + (F1401 = 0))*(G1401 + (G1401 = 0))*(H1401 + (H1401 = 0))*(I1401 + (I1401 = 0))</f>
        <v>8.26</v>
      </c>
      <c r="K1401" s="9"/>
      <c r="L1401" s="9"/>
      <c r="M1401" s="9"/>
    </row>
    <row r="1402" spans="1:13">
      <c r="A1402" s="9"/>
      <c r="B1402" s="9"/>
      <c r="C1402" s="10" t="s">
        <v>27</v>
      </c>
      <c r="D1402" s="30"/>
      <c r="E1402" s="10" t="s">
        <v>17</v>
      </c>
      <c r="F1402" s="19">
        <v>1</v>
      </c>
      <c r="G1402" s="20">
        <v>14.8</v>
      </c>
      <c r="H1402" s="20">
        <v>0</v>
      </c>
      <c r="I1402" s="20">
        <v>3.8</v>
      </c>
      <c r="J1402" s="16">
        <f>OR(F1402&lt;&gt;0,G1402&lt;&gt;0,H1402&lt;&gt;0,I1402&lt;&gt;0)*(F1402 + (F1402 = 0))*(G1402 + (G1402 = 0))*(H1402 + (H1402 = 0))*(I1402 + (I1402 = 0))</f>
        <v>56.24</v>
      </c>
      <c r="K1402" s="9"/>
      <c r="L1402" s="9"/>
      <c r="M1402" s="9"/>
    </row>
    <row r="1403" spans="1:13">
      <c r="A1403" s="9"/>
      <c r="B1403" s="9"/>
      <c r="C1403" s="10" t="s">
        <v>27</v>
      </c>
      <c r="D1403" s="30"/>
      <c r="E1403" s="10" t="s">
        <v>17</v>
      </c>
      <c r="F1403" s="19">
        <v>1</v>
      </c>
      <c r="G1403" s="20">
        <v>3.3</v>
      </c>
      <c r="H1403" s="20">
        <v>0</v>
      </c>
      <c r="I1403" s="20">
        <v>0.7</v>
      </c>
      <c r="J1403" s="16">
        <f>OR(F1403&lt;&gt;0,G1403&lt;&gt;0,H1403&lt;&gt;0,I1403&lt;&gt;0)*(F1403 + (F1403 = 0))*(G1403 + (G1403 = 0))*(H1403 + (H1403 = 0))*(I1403 + (I1403 = 0))</f>
        <v>2.31</v>
      </c>
      <c r="K1403" s="9"/>
      <c r="L1403" s="9"/>
      <c r="M1403" s="9"/>
    </row>
    <row r="1404" spans="1:13">
      <c r="A1404" s="9"/>
      <c r="B1404" s="9"/>
      <c r="C1404" s="9"/>
      <c r="D1404" s="30"/>
      <c r="E1404" s="9"/>
      <c r="F1404" s="9"/>
      <c r="G1404" s="9"/>
      <c r="H1404" s="9"/>
      <c r="I1404" s="9"/>
      <c r="J1404" s="21" t="s">
        <v>1187</v>
      </c>
      <c r="K1404" s="22">
        <f>SUM(J1400:J1403)</f>
        <v>164.96</v>
      </c>
      <c r="L1404" s="23">
        <v>0</v>
      </c>
      <c r="M1404" s="24">
        <f>ROUND(K1404*L1404,2)</f>
        <v>0</v>
      </c>
    </row>
    <row r="1405" spans="1:13" ht="0.95" customHeight="1">
      <c r="A1405" s="25"/>
      <c r="B1405" s="25"/>
      <c r="C1405" s="25"/>
      <c r="D1405" s="31"/>
      <c r="E1405" s="25"/>
      <c r="F1405" s="25"/>
      <c r="G1405" s="25"/>
      <c r="H1405" s="25"/>
      <c r="I1405" s="25"/>
      <c r="J1405" s="25"/>
      <c r="K1405" s="25"/>
      <c r="L1405" s="25"/>
      <c r="M1405" s="25"/>
    </row>
    <row r="1406" spans="1:13">
      <c r="A1406" s="9"/>
      <c r="B1406" s="9"/>
      <c r="C1406" s="9"/>
      <c r="D1406" s="30"/>
      <c r="E1406" s="9"/>
      <c r="F1406" s="9"/>
      <c r="G1406" s="9"/>
      <c r="H1406" s="9"/>
      <c r="I1406" s="9"/>
      <c r="J1406" s="21" t="s">
        <v>1188</v>
      </c>
      <c r="K1406" s="20">
        <v>1</v>
      </c>
      <c r="L1406" s="24">
        <f>M1398</f>
        <v>0</v>
      </c>
      <c r="M1406" s="24">
        <f>ROUND(K1406*L1406,2)</f>
        <v>0</v>
      </c>
    </row>
    <row r="1407" spans="1:13" ht="0.95" customHeight="1">
      <c r="A1407" s="25"/>
      <c r="B1407" s="25"/>
      <c r="C1407" s="25"/>
      <c r="D1407" s="31"/>
      <c r="E1407" s="25"/>
      <c r="F1407" s="25"/>
      <c r="G1407" s="25"/>
      <c r="H1407" s="25"/>
      <c r="I1407" s="25"/>
      <c r="J1407" s="25"/>
      <c r="K1407" s="25"/>
      <c r="L1407" s="25"/>
      <c r="M1407" s="25"/>
    </row>
    <row r="1408" spans="1:13">
      <c r="A1408" s="11" t="s">
        <v>1189</v>
      </c>
      <c r="B1408" s="11" t="s">
        <v>16</v>
      </c>
      <c r="C1408" s="11" t="s">
        <v>17</v>
      </c>
      <c r="D1408" s="29" t="s">
        <v>1190</v>
      </c>
      <c r="E1408" s="12"/>
      <c r="F1408" s="12"/>
      <c r="G1408" s="12"/>
      <c r="H1408" s="12"/>
      <c r="I1408" s="12"/>
      <c r="J1408" s="12"/>
      <c r="K1408" s="13">
        <f>K1414</f>
        <v>1</v>
      </c>
      <c r="L1408" s="14">
        <f>L1414</f>
        <v>0</v>
      </c>
      <c r="M1408" s="14">
        <f>M1414</f>
        <v>0</v>
      </c>
    </row>
    <row r="1409" spans="1:13" ht="22.5">
      <c r="A1409" s="15" t="s">
        <v>1191</v>
      </c>
      <c r="B1409" s="10" t="s">
        <v>23</v>
      </c>
      <c r="C1409" s="10" t="s">
        <v>66</v>
      </c>
      <c r="D1409" s="18" t="s">
        <v>1192</v>
      </c>
      <c r="E1409" s="9"/>
      <c r="F1409" s="9"/>
      <c r="G1409" s="9"/>
      <c r="H1409" s="9"/>
      <c r="I1409" s="9"/>
      <c r="J1409" s="9"/>
      <c r="K1409" s="16">
        <f>K1412</f>
        <v>6.5</v>
      </c>
      <c r="L1409" s="17">
        <f>L1412</f>
        <v>0</v>
      </c>
      <c r="M1409" s="17">
        <f>M1412</f>
        <v>0</v>
      </c>
    </row>
    <row r="1410" spans="1:13">
      <c r="A1410" s="9"/>
      <c r="B1410" s="9"/>
      <c r="C1410" s="9"/>
      <c r="D1410" s="18" t="s">
        <v>1193</v>
      </c>
      <c r="E1410" s="9"/>
      <c r="F1410" s="9"/>
      <c r="G1410" s="9"/>
      <c r="H1410" s="9"/>
      <c r="I1410" s="9"/>
      <c r="J1410" s="9"/>
      <c r="K1410" s="9"/>
      <c r="L1410" s="9"/>
      <c r="M1410" s="9"/>
    </row>
    <row r="1411" spans="1:13">
      <c r="A1411" s="9"/>
      <c r="B1411" s="9"/>
      <c r="C1411" s="10" t="s">
        <v>27</v>
      </c>
      <c r="D1411" s="30"/>
      <c r="E1411" s="10" t="s">
        <v>1194</v>
      </c>
      <c r="F1411" s="19">
        <v>1</v>
      </c>
      <c r="G1411" s="23">
        <v>6.5</v>
      </c>
      <c r="H1411" s="23">
        <v>0</v>
      </c>
      <c r="I1411" s="23">
        <v>0</v>
      </c>
      <c r="J1411" s="17">
        <f>OR(F1411&lt;&gt;0,G1411&lt;&gt;0,H1411&lt;&gt;0,I1411&lt;&gt;0)*(F1411 + (F1411 = 0))*(G1411 + (G1411 = 0))*(H1411 + (H1411 = 0))*(I1411 + (I1411 = 0))</f>
        <v>6.5</v>
      </c>
      <c r="K1411" s="9"/>
      <c r="L1411" s="9"/>
      <c r="M1411" s="9"/>
    </row>
    <row r="1412" spans="1:13">
      <c r="A1412" s="9"/>
      <c r="B1412" s="9"/>
      <c r="C1412" s="9"/>
      <c r="D1412" s="30"/>
      <c r="E1412" s="9"/>
      <c r="F1412" s="9"/>
      <c r="G1412" s="9"/>
      <c r="H1412" s="9"/>
      <c r="I1412" s="9"/>
      <c r="J1412" s="21" t="s">
        <v>1195</v>
      </c>
      <c r="K1412" s="22">
        <f>J1411</f>
        <v>6.5</v>
      </c>
      <c r="L1412" s="23">
        <v>0</v>
      </c>
      <c r="M1412" s="24">
        <f>ROUND(K1412*L1412,2)</f>
        <v>0</v>
      </c>
    </row>
    <row r="1413" spans="1:13" ht="0.95" customHeight="1">
      <c r="A1413" s="25"/>
      <c r="B1413" s="25"/>
      <c r="C1413" s="25"/>
      <c r="D1413" s="31"/>
      <c r="E1413" s="25"/>
      <c r="F1413" s="25"/>
      <c r="G1413" s="25"/>
      <c r="H1413" s="25"/>
      <c r="I1413" s="25"/>
      <c r="J1413" s="25"/>
      <c r="K1413" s="25"/>
      <c r="L1413" s="25"/>
      <c r="M1413" s="25"/>
    </row>
    <row r="1414" spans="1:13">
      <c r="A1414" s="9"/>
      <c r="B1414" s="9"/>
      <c r="C1414" s="9"/>
      <c r="D1414" s="30"/>
      <c r="E1414" s="9"/>
      <c r="F1414" s="9"/>
      <c r="G1414" s="9"/>
      <c r="H1414" s="9"/>
      <c r="I1414" s="9"/>
      <c r="J1414" s="21" t="s">
        <v>1196</v>
      </c>
      <c r="K1414" s="20">
        <v>1</v>
      </c>
      <c r="L1414" s="24">
        <f>M1409</f>
        <v>0</v>
      </c>
      <c r="M1414" s="24">
        <f>ROUND(K1414*L1414,2)</f>
        <v>0</v>
      </c>
    </row>
    <row r="1415" spans="1:13" ht="0.95" customHeight="1">
      <c r="A1415" s="25"/>
      <c r="B1415" s="25"/>
      <c r="C1415" s="25"/>
      <c r="D1415" s="31"/>
      <c r="E1415" s="25"/>
      <c r="F1415" s="25"/>
      <c r="G1415" s="25"/>
      <c r="H1415" s="25"/>
      <c r="I1415" s="25"/>
      <c r="J1415" s="25"/>
      <c r="K1415" s="25"/>
      <c r="L1415" s="25"/>
      <c r="M1415" s="25"/>
    </row>
    <row r="1416" spans="1:13">
      <c r="A1416" s="9"/>
      <c r="B1416" s="9"/>
      <c r="C1416" s="9"/>
      <c r="D1416" s="30"/>
      <c r="E1416" s="9"/>
      <c r="F1416" s="9"/>
      <c r="G1416" s="9"/>
      <c r="H1416" s="9"/>
      <c r="I1416" s="9"/>
      <c r="J1416" s="21" t="s">
        <v>1197</v>
      </c>
      <c r="K1416" s="26">
        <v>1</v>
      </c>
      <c r="L1416" s="24">
        <f>M1208+M1318+M1358+M1397+M1408</f>
        <v>0</v>
      </c>
      <c r="M1416" s="24">
        <f>ROUND(K1416*L1416,2)</f>
        <v>0</v>
      </c>
    </row>
    <row r="1417" spans="1:13" ht="0.95" customHeight="1">
      <c r="A1417" s="25"/>
      <c r="B1417" s="25"/>
      <c r="C1417" s="25"/>
      <c r="D1417" s="31"/>
      <c r="E1417" s="25"/>
      <c r="F1417" s="25"/>
      <c r="G1417" s="25"/>
      <c r="H1417" s="25"/>
      <c r="I1417" s="25"/>
      <c r="J1417" s="25"/>
      <c r="K1417" s="25"/>
      <c r="L1417" s="25"/>
      <c r="M1417" s="25"/>
    </row>
    <row r="1418" spans="1:13">
      <c r="A1418" s="5" t="s">
        <v>1198</v>
      </c>
      <c r="B1418" s="5" t="s">
        <v>16</v>
      </c>
      <c r="C1418" s="5" t="s">
        <v>17</v>
      </c>
      <c r="D1418" s="28" t="s">
        <v>1199</v>
      </c>
      <c r="E1418" s="6"/>
      <c r="F1418" s="6"/>
      <c r="G1418" s="6"/>
      <c r="H1418" s="6"/>
      <c r="I1418" s="6"/>
      <c r="J1418" s="6"/>
      <c r="K1418" s="7">
        <f>K1467</f>
        <v>1</v>
      </c>
      <c r="L1418" s="8">
        <f>L1467</f>
        <v>0</v>
      </c>
      <c r="M1418" s="8">
        <f>M1467</f>
        <v>0</v>
      </c>
    </row>
    <row r="1419" spans="1:13">
      <c r="A1419" s="11" t="s">
        <v>1200</v>
      </c>
      <c r="B1419" s="11" t="s">
        <v>16</v>
      </c>
      <c r="C1419" s="11" t="s">
        <v>17</v>
      </c>
      <c r="D1419" s="29" t="s">
        <v>1201</v>
      </c>
      <c r="E1419" s="12"/>
      <c r="F1419" s="12"/>
      <c r="G1419" s="12"/>
      <c r="H1419" s="12"/>
      <c r="I1419" s="12"/>
      <c r="J1419" s="12"/>
      <c r="K1419" s="13">
        <f>K1427</f>
        <v>1</v>
      </c>
      <c r="L1419" s="14">
        <f>L1427</f>
        <v>0</v>
      </c>
      <c r="M1419" s="14">
        <f>M1427</f>
        <v>0</v>
      </c>
    </row>
    <row r="1420" spans="1:13">
      <c r="A1420" s="9"/>
      <c r="B1420" s="9"/>
      <c r="C1420" s="9"/>
      <c r="D1420" s="18" t="s">
        <v>1201</v>
      </c>
      <c r="E1420" s="9"/>
      <c r="F1420" s="9"/>
      <c r="G1420" s="9"/>
      <c r="H1420" s="9"/>
      <c r="I1420" s="9"/>
      <c r="J1420" s="9"/>
      <c r="K1420" s="9"/>
      <c r="L1420" s="9"/>
      <c r="M1420" s="9"/>
    </row>
    <row r="1421" spans="1:13">
      <c r="A1421" s="15" t="s">
        <v>1202</v>
      </c>
      <c r="B1421" s="10" t="s">
        <v>23</v>
      </c>
      <c r="C1421" s="10" t="s">
        <v>94</v>
      </c>
      <c r="D1421" s="18" t="s">
        <v>1203</v>
      </c>
      <c r="E1421" s="9"/>
      <c r="F1421" s="9"/>
      <c r="G1421" s="9"/>
      <c r="H1421" s="9"/>
      <c r="I1421" s="9"/>
      <c r="J1421" s="9"/>
      <c r="K1421" s="16">
        <f>K1425</f>
        <v>8.81</v>
      </c>
      <c r="L1421" s="17">
        <f>L1425</f>
        <v>0</v>
      </c>
      <c r="M1421" s="17">
        <f>M1425</f>
        <v>0</v>
      </c>
    </row>
    <row r="1422" spans="1:13">
      <c r="A1422" s="9"/>
      <c r="B1422" s="9"/>
      <c r="C1422" s="9"/>
      <c r="D1422" s="18" t="s">
        <v>1204</v>
      </c>
      <c r="E1422" s="9"/>
      <c r="F1422" s="9"/>
      <c r="G1422" s="9"/>
      <c r="H1422" s="9"/>
      <c r="I1422" s="9"/>
      <c r="J1422" s="9"/>
      <c r="K1422" s="9"/>
      <c r="L1422" s="9"/>
      <c r="M1422" s="9"/>
    </row>
    <row r="1423" spans="1:13">
      <c r="A1423" s="9"/>
      <c r="B1423" s="9"/>
      <c r="C1423" s="10" t="s">
        <v>27</v>
      </c>
      <c r="D1423" s="30"/>
      <c r="E1423" s="10" t="s">
        <v>1205</v>
      </c>
      <c r="F1423" s="19">
        <v>1</v>
      </c>
      <c r="G1423" s="20">
        <v>4.42</v>
      </c>
      <c r="H1423" s="20">
        <v>0</v>
      </c>
      <c r="I1423" s="20">
        <v>0</v>
      </c>
      <c r="J1423" s="16">
        <f>OR(F1423&lt;&gt;0,G1423&lt;&gt;0,H1423&lt;&gt;0,I1423&lt;&gt;0)*(F1423 + (F1423 = 0))*(G1423 + (G1423 = 0))*(H1423 + (H1423 = 0))*(I1423 + (I1423 = 0))</f>
        <v>4.42</v>
      </c>
      <c r="K1423" s="9"/>
      <c r="L1423" s="9"/>
      <c r="M1423" s="9"/>
    </row>
    <row r="1424" spans="1:13">
      <c r="A1424" s="9"/>
      <c r="B1424" s="9"/>
      <c r="C1424" s="10" t="s">
        <v>27</v>
      </c>
      <c r="D1424" s="30"/>
      <c r="E1424" s="10" t="s">
        <v>17</v>
      </c>
      <c r="F1424" s="19">
        <v>1</v>
      </c>
      <c r="G1424" s="20">
        <v>4.3899999999999997</v>
      </c>
      <c r="H1424" s="20">
        <v>0</v>
      </c>
      <c r="I1424" s="20">
        <v>0</v>
      </c>
      <c r="J1424" s="16">
        <f>OR(F1424&lt;&gt;0,G1424&lt;&gt;0,H1424&lt;&gt;0,I1424&lt;&gt;0)*(F1424 + (F1424 = 0))*(G1424 + (G1424 = 0))*(H1424 + (H1424 = 0))*(I1424 + (I1424 = 0))</f>
        <v>4.3899999999999997</v>
      </c>
      <c r="K1424" s="9"/>
      <c r="L1424" s="9"/>
      <c r="M1424" s="9"/>
    </row>
    <row r="1425" spans="1:13">
      <c r="A1425" s="9"/>
      <c r="B1425" s="9"/>
      <c r="C1425" s="9"/>
      <c r="D1425" s="30"/>
      <c r="E1425" s="9"/>
      <c r="F1425" s="9"/>
      <c r="G1425" s="9"/>
      <c r="H1425" s="9"/>
      <c r="I1425" s="9"/>
      <c r="J1425" s="21" t="s">
        <v>1206</v>
      </c>
      <c r="K1425" s="22">
        <f>SUM(J1423:J1424)</f>
        <v>8.81</v>
      </c>
      <c r="L1425" s="23">
        <v>0</v>
      </c>
      <c r="M1425" s="24">
        <f>ROUND(K1425*L1425,2)</f>
        <v>0</v>
      </c>
    </row>
    <row r="1426" spans="1:13" ht="0.95" customHeight="1">
      <c r="A1426" s="25"/>
      <c r="B1426" s="25"/>
      <c r="C1426" s="25"/>
      <c r="D1426" s="31"/>
      <c r="E1426" s="25"/>
      <c r="F1426" s="25"/>
      <c r="G1426" s="25"/>
      <c r="H1426" s="25"/>
      <c r="I1426" s="25"/>
      <c r="J1426" s="25"/>
      <c r="K1426" s="25"/>
      <c r="L1426" s="25"/>
      <c r="M1426" s="25"/>
    </row>
    <row r="1427" spans="1:13">
      <c r="A1427" s="9"/>
      <c r="B1427" s="9"/>
      <c r="C1427" s="9"/>
      <c r="D1427" s="30"/>
      <c r="E1427" s="9"/>
      <c r="F1427" s="9"/>
      <c r="G1427" s="9"/>
      <c r="H1427" s="9"/>
      <c r="I1427" s="9"/>
      <c r="J1427" s="21" t="s">
        <v>1207</v>
      </c>
      <c r="K1427" s="20">
        <v>1</v>
      </c>
      <c r="L1427" s="24">
        <f>M1421</f>
        <v>0</v>
      </c>
      <c r="M1427" s="24">
        <f>ROUND(K1427*L1427,2)</f>
        <v>0</v>
      </c>
    </row>
    <row r="1428" spans="1:13" ht="0.95" customHeight="1">
      <c r="A1428" s="25"/>
      <c r="B1428" s="25"/>
      <c r="C1428" s="25"/>
      <c r="D1428" s="31"/>
      <c r="E1428" s="25"/>
      <c r="F1428" s="25"/>
      <c r="G1428" s="25"/>
      <c r="H1428" s="25"/>
      <c r="I1428" s="25"/>
      <c r="J1428" s="25"/>
      <c r="K1428" s="25"/>
      <c r="L1428" s="25"/>
      <c r="M1428" s="25"/>
    </row>
    <row r="1429" spans="1:13">
      <c r="A1429" s="11" t="s">
        <v>1208</v>
      </c>
      <c r="B1429" s="11" t="s">
        <v>16</v>
      </c>
      <c r="C1429" s="11" t="s">
        <v>17</v>
      </c>
      <c r="D1429" s="29" t="s">
        <v>1209</v>
      </c>
      <c r="E1429" s="12"/>
      <c r="F1429" s="12"/>
      <c r="G1429" s="12"/>
      <c r="H1429" s="12"/>
      <c r="I1429" s="12"/>
      <c r="J1429" s="12"/>
      <c r="K1429" s="13">
        <f>K1454</f>
        <v>1</v>
      </c>
      <c r="L1429" s="14">
        <f>L1454</f>
        <v>0</v>
      </c>
      <c r="M1429" s="14">
        <f>M1454</f>
        <v>0</v>
      </c>
    </row>
    <row r="1430" spans="1:13" ht="33.75">
      <c r="A1430" s="15" t="s">
        <v>1210</v>
      </c>
      <c r="B1430" s="10" t="s">
        <v>23</v>
      </c>
      <c r="C1430" s="10" t="s">
        <v>94</v>
      </c>
      <c r="D1430" s="18" t="s">
        <v>1211</v>
      </c>
      <c r="E1430" s="9"/>
      <c r="F1430" s="9"/>
      <c r="G1430" s="9"/>
      <c r="H1430" s="9"/>
      <c r="I1430" s="9"/>
      <c r="J1430" s="9"/>
      <c r="K1430" s="16">
        <f>K1440</f>
        <v>110.249</v>
      </c>
      <c r="L1430" s="17">
        <f>L1440</f>
        <v>0</v>
      </c>
      <c r="M1430" s="17">
        <f>M1440</f>
        <v>0</v>
      </c>
    </row>
    <row r="1431" spans="1:13">
      <c r="A1431" s="9"/>
      <c r="B1431" s="9"/>
      <c r="C1431" s="9"/>
      <c r="D1431" s="18" t="s">
        <v>1212</v>
      </c>
      <c r="E1431" s="9"/>
      <c r="F1431" s="9"/>
      <c r="G1431" s="9"/>
      <c r="H1431" s="9"/>
      <c r="I1431" s="9"/>
      <c r="J1431" s="9"/>
      <c r="K1431" s="9"/>
      <c r="L1431" s="9"/>
      <c r="M1431" s="9"/>
    </row>
    <row r="1432" spans="1:13">
      <c r="A1432" s="9"/>
      <c r="B1432" s="9"/>
      <c r="C1432" s="10" t="s">
        <v>27</v>
      </c>
      <c r="D1432" s="30"/>
      <c r="E1432" s="10" t="s">
        <v>1199</v>
      </c>
      <c r="F1432" s="19">
        <v>1</v>
      </c>
      <c r="G1432" s="20">
        <v>13.2</v>
      </c>
      <c r="H1432" s="20">
        <v>7.35</v>
      </c>
      <c r="I1432" s="20">
        <v>0</v>
      </c>
      <c r="J1432" s="16">
        <f>OR(F1432&lt;&gt;0,G1432&lt;&gt;0,H1432&lt;&gt;0,I1432&lt;&gt;0)*(F1432 + (F1432 = 0))*(G1432 + (G1432 = 0))*(H1432 + (H1432 = 0))*(I1432 + (I1432 = 0))</f>
        <v>97.02</v>
      </c>
      <c r="K1432" s="9"/>
      <c r="L1432" s="9"/>
      <c r="M1432" s="9"/>
    </row>
    <row r="1433" spans="1:13">
      <c r="A1433" s="9"/>
      <c r="B1433" s="9"/>
      <c r="C1433" s="10" t="s">
        <v>27</v>
      </c>
      <c r="D1433" s="30"/>
      <c r="E1433" s="10" t="s">
        <v>17</v>
      </c>
      <c r="F1433" s="19">
        <v>1</v>
      </c>
      <c r="G1433" s="20">
        <v>5.65</v>
      </c>
      <c r="H1433" s="20">
        <v>6.55</v>
      </c>
      <c r="I1433" s="20">
        <v>0</v>
      </c>
      <c r="J1433" s="16">
        <f>OR(F1433&lt;&gt;0,G1433&lt;&gt;0,H1433&lt;&gt;0,I1433&lt;&gt;0)*(F1433 + (F1433 = 0))*(G1433 + (G1433 = 0))*(H1433 + (H1433 = 0))*(I1433 + (I1433 = 0))</f>
        <v>37.008000000000003</v>
      </c>
      <c r="K1433" s="9"/>
      <c r="L1433" s="9"/>
      <c r="M1433" s="9"/>
    </row>
    <row r="1434" spans="1:13">
      <c r="A1434" s="9"/>
      <c r="B1434" s="9"/>
      <c r="C1434" s="10" t="s">
        <v>27</v>
      </c>
      <c r="D1434" s="30"/>
      <c r="E1434" s="10" t="s">
        <v>1213</v>
      </c>
      <c r="F1434" s="19">
        <v>-1</v>
      </c>
      <c r="G1434" s="20">
        <v>2.46</v>
      </c>
      <c r="H1434" s="20">
        <v>2.8</v>
      </c>
      <c r="I1434" s="20">
        <v>0</v>
      </c>
      <c r="J1434" s="16">
        <f>OR(F1434&lt;&gt;0,G1434&lt;&gt;0,H1434&lt;&gt;0,I1434&lt;&gt;0)*(F1434 + (F1434 = 0))*(G1434 + (G1434 = 0))*(H1434 + (H1434 = 0))*(I1434 + (I1434 = 0))</f>
        <v>-6.8879999999999999</v>
      </c>
      <c r="K1434" s="9"/>
      <c r="L1434" s="9"/>
      <c r="M1434" s="9"/>
    </row>
    <row r="1435" spans="1:13">
      <c r="A1435" s="9"/>
      <c r="B1435" s="9"/>
      <c r="C1435" s="10" t="s">
        <v>27</v>
      </c>
      <c r="D1435" s="30"/>
      <c r="E1435" s="10" t="s">
        <v>17</v>
      </c>
      <c r="F1435" s="19">
        <v>-1</v>
      </c>
      <c r="G1435" s="20">
        <v>2.46</v>
      </c>
      <c r="H1435" s="20">
        <v>2.25</v>
      </c>
      <c r="I1435" s="20">
        <v>0</v>
      </c>
      <c r="J1435" s="16">
        <f>OR(F1435&lt;&gt;0,G1435&lt;&gt;0,H1435&lt;&gt;0,I1435&lt;&gt;0)*(F1435 + (F1435 = 0))*(G1435 + (G1435 = 0))*(H1435 + (H1435 = 0))*(I1435 + (I1435 = 0))</f>
        <v>-5.5350000000000001</v>
      </c>
      <c r="K1435" s="9"/>
      <c r="L1435" s="9"/>
      <c r="M1435" s="9"/>
    </row>
    <row r="1436" spans="1:13">
      <c r="A1436" s="9"/>
      <c r="B1436" s="9"/>
      <c r="C1436" s="10" t="s">
        <v>27</v>
      </c>
      <c r="D1436" s="30"/>
      <c r="E1436" s="10" t="s">
        <v>17</v>
      </c>
      <c r="F1436" s="19">
        <v>-1</v>
      </c>
      <c r="G1436" s="20">
        <v>0.51</v>
      </c>
      <c r="H1436" s="20">
        <v>5.63</v>
      </c>
      <c r="I1436" s="20">
        <v>0</v>
      </c>
      <c r="J1436" s="16">
        <f>OR(F1436&lt;&gt;0,G1436&lt;&gt;0,H1436&lt;&gt;0,I1436&lt;&gt;0)*(F1436 + (F1436 = 0))*(G1436 + (G1436 = 0))*(H1436 + (H1436 = 0))*(I1436 + (I1436 = 0))</f>
        <v>-2.871</v>
      </c>
      <c r="K1436" s="9"/>
      <c r="L1436" s="9"/>
      <c r="M1436" s="9"/>
    </row>
    <row r="1437" spans="1:13">
      <c r="A1437" s="9"/>
      <c r="B1437" s="9"/>
      <c r="C1437" s="10" t="s">
        <v>27</v>
      </c>
      <c r="D1437" s="30"/>
      <c r="E1437" s="10" t="s">
        <v>17</v>
      </c>
      <c r="F1437" s="19">
        <v>-1</v>
      </c>
      <c r="G1437" s="20">
        <v>1.28</v>
      </c>
      <c r="H1437" s="20">
        <v>6.43</v>
      </c>
      <c r="I1437" s="20">
        <v>0</v>
      </c>
      <c r="J1437" s="16">
        <f>OR(F1437&lt;&gt;0,G1437&lt;&gt;0,H1437&lt;&gt;0,I1437&lt;&gt;0)*(F1437 + (F1437 = 0))*(G1437 + (G1437 = 0))*(H1437 + (H1437 = 0))*(I1437 + (I1437 = 0))</f>
        <v>-8.23</v>
      </c>
      <c r="K1437" s="9"/>
      <c r="L1437" s="9"/>
      <c r="M1437" s="9"/>
    </row>
    <row r="1438" spans="1:13">
      <c r="A1438" s="9"/>
      <c r="B1438" s="9"/>
      <c r="C1438" s="10" t="s">
        <v>27</v>
      </c>
      <c r="D1438" s="30"/>
      <c r="E1438" s="10" t="s">
        <v>17</v>
      </c>
      <c r="F1438" s="19">
        <v>-1</v>
      </c>
      <c r="G1438" s="20">
        <v>0.65</v>
      </c>
      <c r="H1438" s="20">
        <v>6.43</v>
      </c>
      <c r="I1438" s="20">
        <v>0</v>
      </c>
      <c r="J1438" s="16">
        <f>OR(F1438&lt;&gt;0,G1438&lt;&gt;0,H1438&lt;&gt;0,I1438&lt;&gt;0)*(F1438 + (F1438 = 0))*(G1438 + (G1438 = 0))*(H1438 + (H1438 = 0))*(I1438 + (I1438 = 0))</f>
        <v>-4.18</v>
      </c>
      <c r="K1438" s="9"/>
      <c r="L1438" s="9"/>
      <c r="M1438" s="9"/>
    </row>
    <row r="1439" spans="1:13">
      <c r="A1439" s="9"/>
      <c r="B1439" s="9"/>
      <c r="C1439" s="10" t="s">
        <v>27</v>
      </c>
      <c r="D1439" s="30"/>
      <c r="E1439" s="10" t="s">
        <v>17</v>
      </c>
      <c r="F1439" s="19">
        <v>1</v>
      </c>
      <c r="G1439" s="20">
        <v>3.14</v>
      </c>
      <c r="H1439" s="20">
        <v>1.25</v>
      </c>
      <c r="I1439" s="20">
        <v>0</v>
      </c>
      <c r="J1439" s="16">
        <f>OR(F1439&lt;&gt;0,G1439&lt;&gt;0,H1439&lt;&gt;0,I1439&lt;&gt;0)*(F1439 + (F1439 = 0))*(G1439 + (G1439 = 0))*(H1439 + (H1439 = 0))*(I1439 + (I1439 = 0))</f>
        <v>3.9249999999999998</v>
      </c>
      <c r="K1439" s="9"/>
      <c r="L1439" s="9"/>
      <c r="M1439" s="9"/>
    </row>
    <row r="1440" spans="1:13">
      <c r="A1440" s="9"/>
      <c r="B1440" s="9"/>
      <c r="C1440" s="9"/>
      <c r="D1440" s="30"/>
      <c r="E1440" s="9"/>
      <c r="F1440" s="9"/>
      <c r="G1440" s="9"/>
      <c r="H1440" s="9"/>
      <c r="I1440" s="9"/>
      <c r="J1440" s="21" t="s">
        <v>1214</v>
      </c>
      <c r="K1440" s="22">
        <f>SUM(J1432:J1439)</f>
        <v>110.249</v>
      </c>
      <c r="L1440" s="23">
        <v>0</v>
      </c>
      <c r="M1440" s="24">
        <f>ROUND(K1440*L1440,2)</f>
        <v>0</v>
      </c>
    </row>
    <row r="1441" spans="1:13" ht="0.95" customHeight="1">
      <c r="A1441" s="25"/>
      <c r="B1441" s="25"/>
      <c r="C1441" s="25"/>
      <c r="D1441" s="31"/>
      <c r="E1441" s="25"/>
      <c r="F1441" s="25"/>
      <c r="G1441" s="25"/>
      <c r="H1441" s="25"/>
      <c r="I1441" s="25"/>
      <c r="J1441" s="25"/>
      <c r="K1441" s="25"/>
      <c r="L1441" s="25"/>
      <c r="M1441" s="25"/>
    </row>
    <row r="1442" spans="1:13">
      <c r="A1442" s="15" t="s">
        <v>1215</v>
      </c>
      <c r="B1442" s="10" t="s">
        <v>23</v>
      </c>
      <c r="C1442" s="10" t="s">
        <v>94</v>
      </c>
      <c r="D1442" s="18" t="s">
        <v>1216</v>
      </c>
      <c r="E1442" s="9"/>
      <c r="F1442" s="9"/>
      <c r="G1442" s="9"/>
      <c r="H1442" s="9"/>
      <c r="I1442" s="9"/>
      <c r="J1442" s="9"/>
      <c r="K1442" s="16">
        <f>K1452</f>
        <v>110.249</v>
      </c>
      <c r="L1442" s="17">
        <f>L1452</f>
        <v>0</v>
      </c>
      <c r="M1442" s="17">
        <f>M1452</f>
        <v>0</v>
      </c>
    </row>
    <row r="1443" spans="1:13">
      <c r="A1443" s="9"/>
      <c r="B1443" s="9"/>
      <c r="C1443" s="9"/>
      <c r="D1443" s="18" t="s">
        <v>1217</v>
      </c>
      <c r="E1443" s="9"/>
      <c r="F1443" s="9"/>
      <c r="G1443" s="9"/>
      <c r="H1443" s="9"/>
      <c r="I1443" s="9"/>
      <c r="J1443" s="9"/>
      <c r="K1443" s="9"/>
      <c r="L1443" s="9"/>
      <c r="M1443" s="9"/>
    </row>
    <row r="1444" spans="1:13">
      <c r="A1444" s="9"/>
      <c r="B1444" s="9"/>
      <c r="C1444" s="10" t="s">
        <v>27</v>
      </c>
      <c r="D1444" s="30"/>
      <c r="E1444" s="10" t="s">
        <v>1199</v>
      </c>
      <c r="F1444" s="19">
        <v>1</v>
      </c>
      <c r="G1444" s="20">
        <v>13.2</v>
      </c>
      <c r="H1444" s="20">
        <v>7.35</v>
      </c>
      <c r="I1444" s="20">
        <v>0</v>
      </c>
      <c r="J1444" s="16">
        <f>OR(F1444&lt;&gt;0,G1444&lt;&gt;0,H1444&lt;&gt;0,I1444&lt;&gt;0)*(F1444 + (F1444 = 0))*(G1444 + (G1444 = 0))*(H1444 + (H1444 = 0))*(I1444 + (I1444 = 0))</f>
        <v>97.02</v>
      </c>
      <c r="K1444" s="9"/>
      <c r="L1444" s="9"/>
      <c r="M1444" s="9"/>
    </row>
    <row r="1445" spans="1:13">
      <c r="A1445" s="9"/>
      <c r="B1445" s="9"/>
      <c r="C1445" s="10" t="s">
        <v>27</v>
      </c>
      <c r="D1445" s="30"/>
      <c r="E1445" s="10" t="s">
        <v>17</v>
      </c>
      <c r="F1445" s="19">
        <v>1</v>
      </c>
      <c r="G1445" s="20">
        <v>5.65</v>
      </c>
      <c r="H1445" s="20">
        <v>6.55</v>
      </c>
      <c r="I1445" s="20">
        <v>0</v>
      </c>
      <c r="J1445" s="16">
        <f>OR(F1445&lt;&gt;0,G1445&lt;&gt;0,H1445&lt;&gt;0,I1445&lt;&gt;0)*(F1445 + (F1445 = 0))*(G1445 + (G1445 = 0))*(H1445 + (H1445 = 0))*(I1445 + (I1445 = 0))</f>
        <v>37.008000000000003</v>
      </c>
      <c r="K1445" s="9"/>
      <c r="L1445" s="9"/>
      <c r="M1445" s="9"/>
    </row>
    <row r="1446" spans="1:13">
      <c r="A1446" s="9"/>
      <c r="B1446" s="9"/>
      <c r="C1446" s="10" t="s">
        <v>27</v>
      </c>
      <c r="D1446" s="30"/>
      <c r="E1446" s="10" t="s">
        <v>1213</v>
      </c>
      <c r="F1446" s="19">
        <v>-1</v>
      </c>
      <c r="G1446" s="20">
        <v>2.46</v>
      </c>
      <c r="H1446" s="20">
        <v>2.8</v>
      </c>
      <c r="I1446" s="20">
        <v>0</v>
      </c>
      <c r="J1446" s="16">
        <f>OR(F1446&lt;&gt;0,G1446&lt;&gt;0,H1446&lt;&gt;0,I1446&lt;&gt;0)*(F1446 + (F1446 = 0))*(G1446 + (G1446 = 0))*(H1446 + (H1446 = 0))*(I1446 + (I1446 = 0))</f>
        <v>-6.8879999999999999</v>
      </c>
      <c r="K1446" s="9"/>
      <c r="L1446" s="9"/>
      <c r="M1446" s="9"/>
    </row>
    <row r="1447" spans="1:13">
      <c r="A1447" s="9"/>
      <c r="B1447" s="9"/>
      <c r="C1447" s="10" t="s">
        <v>27</v>
      </c>
      <c r="D1447" s="30"/>
      <c r="E1447" s="10" t="s">
        <v>17</v>
      </c>
      <c r="F1447" s="19">
        <v>-1</v>
      </c>
      <c r="G1447" s="20">
        <v>2.46</v>
      </c>
      <c r="H1447" s="20">
        <v>2.25</v>
      </c>
      <c r="I1447" s="20">
        <v>0</v>
      </c>
      <c r="J1447" s="16">
        <f>OR(F1447&lt;&gt;0,G1447&lt;&gt;0,H1447&lt;&gt;0,I1447&lt;&gt;0)*(F1447 + (F1447 = 0))*(G1447 + (G1447 = 0))*(H1447 + (H1447 = 0))*(I1447 + (I1447 = 0))</f>
        <v>-5.5350000000000001</v>
      </c>
      <c r="K1447" s="9"/>
      <c r="L1447" s="9"/>
      <c r="M1447" s="9"/>
    </row>
    <row r="1448" spans="1:13">
      <c r="A1448" s="9"/>
      <c r="B1448" s="9"/>
      <c r="C1448" s="10" t="s">
        <v>27</v>
      </c>
      <c r="D1448" s="30"/>
      <c r="E1448" s="10" t="s">
        <v>17</v>
      </c>
      <c r="F1448" s="19">
        <v>-1</v>
      </c>
      <c r="G1448" s="20">
        <v>0.51</v>
      </c>
      <c r="H1448" s="20">
        <v>5.63</v>
      </c>
      <c r="I1448" s="20">
        <v>0</v>
      </c>
      <c r="J1448" s="16">
        <f>OR(F1448&lt;&gt;0,G1448&lt;&gt;0,H1448&lt;&gt;0,I1448&lt;&gt;0)*(F1448 + (F1448 = 0))*(G1448 + (G1448 = 0))*(H1448 + (H1448 = 0))*(I1448 + (I1448 = 0))</f>
        <v>-2.871</v>
      </c>
      <c r="K1448" s="9"/>
      <c r="L1448" s="9"/>
      <c r="M1448" s="9"/>
    </row>
    <row r="1449" spans="1:13">
      <c r="A1449" s="9"/>
      <c r="B1449" s="9"/>
      <c r="C1449" s="10" t="s">
        <v>27</v>
      </c>
      <c r="D1449" s="30"/>
      <c r="E1449" s="10" t="s">
        <v>17</v>
      </c>
      <c r="F1449" s="19">
        <v>-1</v>
      </c>
      <c r="G1449" s="20">
        <v>1.28</v>
      </c>
      <c r="H1449" s="20">
        <v>6.43</v>
      </c>
      <c r="I1449" s="20">
        <v>0</v>
      </c>
      <c r="J1449" s="16">
        <f>OR(F1449&lt;&gt;0,G1449&lt;&gt;0,H1449&lt;&gt;0,I1449&lt;&gt;0)*(F1449 + (F1449 = 0))*(G1449 + (G1449 = 0))*(H1449 + (H1449 = 0))*(I1449 + (I1449 = 0))</f>
        <v>-8.23</v>
      </c>
      <c r="K1449" s="9"/>
      <c r="L1449" s="9"/>
      <c r="M1449" s="9"/>
    </row>
    <row r="1450" spans="1:13">
      <c r="A1450" s="9"/>
      <c r="B1450" s="9"/>
      <c r="C1450" s="10" t="s">
        <v>27</v>
      </c>
      <c r="D1450" s="30"/>
      <c r="E1450" s="10" t="s">
        <v>17</v>
      </c>
      <c r="F1450" s="19">
        <v>-1</v>
      </c>
      <c r="G1450" s="20">
        <v>0.65</v>
      </c>
      <c r="H1450" s="20">
        <v>6.43</v>
      </c>
      <c r="I1450" s="20">
        <v>0</v>
      </c>
      <c r="J1450" s="16">
        <f>OR(F1450&lt;&gt;0,G1450&lt;&gt;0,H1450&lt;&gt;0,I1450&lt;&gt;0)*(F1450 + (F1450 = 0))*(G1450 + (G1450 = 0))*(H1450 + (H1450 = 0))*(I1450 + (I1450 = 0))</f>
        <v>-4.18</v>
      </c>
      <c r="K1450" s="9"/>
      <c r="L1450" s="9"/>
      <c r="M1450" s="9"/>
    </row>
    <row r="1451" spans="1:13">
      <c r="A1451" s="9"/>
      <c r="B1451" s="9"/>
      <c r="C1451" s="10" t="s">
        <v>27</v>
      </c>
      <c r="D1451" s="30"/>
      <c r="E1451" s="10" t="s">
        <v>17</v>
      </c>
      <c r="F1451" s="19">
        <v>1</v>
      </c>
      <c r="G1451" s="20">
        <v>3.14</v>
      </c>
      <c r="H1451" s="20">
        <v>1.25</v>
      </c>
      <c r="I1451" s="20">
        <v>0</v>
      </c>
      <c r="J1451" s="16">
        <f>OR(F1451&lt;&gt;0,G1451&lt;&gt;0,H1451&lt;&gt;0,I1451&lt;&gt;0)*(F1451 + (F1451 = 0))*(G1451 + (G1451 = 0))*(H1451 + (H1451 = 0))*(I1451 + (I1451 = 0))</f>
        <v>3.9249999999999998</v>
      </c>
      <c r="K1451" s="9"/>
      <c r="L1451" s="9"/>
      <c r="M1451" s="9"/>
    </row>
    <row r="1452" spans="1:13">
      <c r="A1452" s="9"/>
      <c r="B1452" s="9"/>
      <c r="C1452" s="9"/>
      <c r="D1452" s="30"/>
      <c r="E1452" s="9"/>
      <c r="F1452" s="9"/>
      <c r="G1452" s="9"/>
      <c r="H1452" s="9"/>
      <c r="I1452" s="9"/>
      <c r="J1452" s="21" t="s">
        <v>1218</v>
      </c>
      <c r="K1452" s="22">
        <f>SUM(J1444:J1451)</f>
        <v>110.249</v>
      </c>
      <c r="L1452" s="23">
        <v>0</v>
      </c>
      <c r="M1452" s="24">
        <f>ROUND(K1452*L1452,2)</f>
        <v>0</v>
      </c>
    </row>
    <row r="1453" spans="1:13" ht="0.95" customHeight="1">
      <c r="A1453" s="25"/>
      <c r="B1453" s="25"/>
      <c r="C1453" s="25"/>
      <c r="D1453" s="31"/>
      <c r="E1453" s="25"/>
      <c r="F1453" s="25"/>
      <c r="G1453" s="25"/>
      <c r="H1453" s="25"/>
      <c r="I1453" s="25"/>
      <c r="J1453" s="25"/>
      <c r="K1453" s="25"/>
      <c r="L1453" s="25"/>
      <c r="M1453" s="25"/>
    </row>
    <row r="1454" spans="1:13">
      <c r="A1454" s="9"/>
      <c r="B1454" s="9"/>
      <c r="C1454" s="9"/>
      <c r="D1454" s="30"/>
      <c r="E1454" s="9"/>
      <c r="F1454" s="9"/>
      <c r="G1454" s="9"/>
      <c r="H1454" s="9"/>
      <c r="I1454" s="9"/>
      <c r="J1454" s="21" t="s">
        <v>1219</v>
      </c>
      <c r="K1454" s="20">
        <v>1</v>
      </c>
      <c r="L1454" s="24">
        <f>M1430+M1442</f>
        <v>0</v>
      </c>
      <c r="M1454" s="24">
        <f>ROUND(K1454*L1454,2)</f>
        <v>0</v>
      </c>
    </row>
    <row r="1455" spans="1:13" ht="0.95" customHeight="1">
      <c r="A1455" s="25"/>
      <c r="B1455" s="25"/>
      <c r="C1455" s="25"/>
      <c r="D1455" s="31"/>
      <c r="E1455" s="25"/>
      <c r="F1455" s="25"/>
      <c r="G1455" s="25"/>
      <c r="H1455" s="25"/>
      <c r="I1455" s="25"/>
      <c r="J1455" s="25"/>
      <c r="K1455" s="25"/>
      <c r="L1455" s="25"/>
      <c r="M1455" s="25"/>
    </row>
    <row r="1456" spans="1:13">
      <c r="A1456" s="11" t="s">
        <v>1220</v>
      </c>
      <c r="B1456" s="11" t="s">
        <v>16</v>
      </c>
      <c r="C1456" s="11" t="s">
        <v>17</v>
      </c>
      <c r="D1456" s="29" t="s">
        <v>620</v>
      </c>
      <c r="E1456" s="12"/>
      <c r="F1456" s="12"/>
      <c r="G1456" s="12"/>
      <c r="H1456" s="12"/>
      <c r="I1456" s="12"/>
      <c r="J1456" s="12"/>
      <c r="K1456" s="13">
        <f>K1465</f>
        <v>1</v>
      </c>
      <c r="L1456" s="14">
        <f>L1465</f>
        <v>0</v>
      </c>
      <c r="M1456" s="14">
        <f>M1465</f>
        <v>0</v>
      </c>
    </row>
    <row r="1457" spans="1:13" ht="33.75">
      <c r="A1457" s="15" t="s">
        <v>1221</v>
      </c>
      <c r="B1457" s="10" t="s">
        <v>23</v>
      </c>
      <c r="C1457" s="10" t="s">
        <v>4</v>
      </c>
      <c r="D1457" s="18" t="s">
        <v>1222</v>
      </c>
      <c r="E1457" s="9"/>
      <c r="F1457" s="9"/>
      <c r="G1457" s="9"/>
      <c r="H1457" s="9"/>
      <c r="I1457" s="9"/>
      <c r="J1457" s="9"/>
      <c r="K1457" s="20">
        <v>3</v>
      </c>
      <c r="L1457" s="23">
        <v>0</v>
      </c>
      <c r="M1457" s="17">
        <f>ROUND(K1457*L1457,2)</f>
        <v>0</v>
      </c>
    </row>
    <row r="1458" spans="1:13" ht="67.5">
      <c r="A1458" s="9"/>
      <c r="B1458" s="9"/>
      <c r="C1458" s="9"/>
      <c r="D1458" s="18" t="s">
        <v>1223</v>
      </c>
      <c r="E1458" s="9"/>
      <c r="F1458" s="9"/>
      <c r="G1458" s="9"/>
      <c r="H1458" s="9"/>
      <c r="I1458" s="9"/>
      <c r="J1458" s="9"/>
      <c r="K1458" s="9"/>
      <c r="L1458" s="9"/>
      <c r="M1458" s="9"/>
    </row>
    <row r="1459" spans="1:13" ht="22.5">
      <c r="A1459" s="15" t="s">
        <v>1224</v>
      </c>
      <c r="B1459" s="10" t="s">
        <v>23</v>
      </c>
      <c r="C1459" s="10" t="s">
        <v>66</v>
      </c>
      <c r="D1459" s="18" t="s">
        <v>1225</v>
      </c>
      <c r="E1459" s="9"/>
      <c r="F1459" s="9"/>
      <c r="G1459" s="9"/>
      <c r="H1459" s="9"/>
      <c r="I1459" s="9"/>
      <c r="J1459" s="9"/>
      <c r="K1459" s="20">
        <v>18.600000000000001</v>
      </c>
      <c r="L1459" s="23">
        <v>0</v>
      </c>
      <c r="M1459" s="17">
        <f>ROUND(K1459*L1459,2)</f>
        <v>0</v>
      </c>
    </row>
    <row r="1460" spans="1:13" ht="56.25">
      <c r="A1460" s="9"/>
      <c r="B1460" s="9"/>
      <c r="C1460" s="9"/>
      <c r="D1460" s="18" t="s">
        <v>1226</v>
      </c>
      <c r="E1460" s="9"/>
      <c r="F1460" s="9"/>
      <c r="G1460" s="9"/>
      <c r="H1460" s="9"/>
      <c r="I1460" s="9"/>
      <c r="J1460" s="9"/>
      <c r="K1460" s="9"/>
      <c r="L1460" s="9"/>
      <c r="M1460" s="9"/>
    </row>
    <row r="1461" spans="1:13" ht="22.5">
      <c r="A1461" s="15" t="s">
        <v>1227</v>
      </c>
      <c r="B1461" s="10" t="s">
        <v>23</v>
      </c>
      <c r="C1461" s="10" t="s">
        <v>66</v>
      </c>
      <c r="D1461" s="18" t="s">
        <v>1228</v>
      </c>
      <c r="E1461" s="9"/>
      <c r="F1461" s="9"/>
      <c r="G1461" s="9"/>
      <c r="H1461" s="9"/>
      <c r="I1461" s="9"/>
      <c r="J1461" s="9"/>
      <c r="K1461" s="20">
        <v>18.600000000000001</v>
      </c>
      <c r="L1461" s="23">
        <v>0</v>
      </c>
      <c r="M1461" s="17">
        <f>ROUND(K1461*L1461,2)</f>
        <v>0</v>
      </c>
    </row>
    <row r="1462" spans="1:13" ht="56.25">
      <c r="A1462" s="9"/>
      <c r="B1462" s="9"/>
      <c r="C1462" s="9"/>
      <c r="D1462" s="18" t="s">
        <v>1229</v>
      </c>
      <c r="E1462" s="9"/>
      <c r="F1462" s="9"/>
      <c r="G1462" s="9"/>
      <c r="H1462" s="9"/>
      <c r="I1462" s="9"/>
      <c r="J1462" s="9"/>
      <c r="K1462" s="9"/>
      <c r="L1462" s="9"/>
      <c r="M1462" s="9"/>
    </row>
    <row r="1463" spans="1:13" ht="33.75">
      <c r="A1463" s="15" t="s">
        <v>1230</v>
      </c>
      <c r="B1463" s="10" t="s">
        <v>23</v>
      </c>
      <c r="C1463" s="10" t="s">
        <v>4</v>
      </c>
      <c r="D1463" s="18" t="s">
        <v>1231</v>
      </c>
      <c r="E1463" s="9"/>
      <c r="F1463" s="9"/>
      <c r="G1463" s="9"/>
      <c r="H1463" s="9"/>
      <c r="I1463" s="9"/>
      <c r="J1463" s="9"/>
      <c r="K1463" s="20">
        <v>2</v>
      </c>
      <c r="L1463" s="23">
        <v>0</v>
      </c>
      <c r="M1463" s="17">
        <f>ROUND(K1463*L1463,2)</f>
        <v>0</v>
      </c>
    </row>
    <row r="1464" spans="1:13">
      <c r="A1464" s="9"/>
      <c r="B1464" s="9"/>
      <c r="C1464" s="9"/>
      <c r="D1464" s="18" t="s">
        <v>1232</v>
      </c>
      <c r="E1464" s="9"/>
      <c r="F1464" s="9"/>
      <c r="G1464" s="9"/>
      <c r="H1464" s="9"/>
      <c r="I1464" s="9"/>
      <c r="J1464" s="9"/>
      <c r="K1464" s="9"/>
      <c r="L1464" s="9"/>
      <c r="M1464" s="9"/>
    </row>
    <row r="1465" spans="1:13">
      <c r="A1465" s="9"/>
      <c r="B1465" s="9"/>
      <c r="C1465" s="9"/>
      <c r="D1465" s="30"/>
      <c r="E1465" s="9"/>
      <c r="F1465" s="9"/>
      <c r="G1465" s="9"/>
      <c r="H1465" s="9"/>
      <c r="I1465" s="9"/>
      <c r="J1465" s="21" t="s">
        <v>1233</v>
      </c>
      <c r="K1465" s="20">
        <v>1</v>
      </c>
      <c r="L1465" s="24">
        <f>M1457+M1459+M1461+M1463</f>
        <v>0</v>
      </c>
      <c r="M1465" s="24">
        <f>ROUND(K1465*L1465,2)</f>
        <v>0</v>
      </c>
    </row>
    <row r="1466" spans="1:13" ht="0.95" customHeight="1">
      <c r="A1466" s="25"/>
      <c r="B1466" s="25"/>
      <c r="C1466" s="25"/>
      <c r="D1466" s="31"/>
      <c r="E1466" s="25"/>
      <c r="F1466" s="25"/>
      <c r="G1466" s="25"/>
      <c r="H1466" s="25"/>
      <c r="I1466" s="25"/>
      <c r="J1466" s="25"/>
      <c r="K1466" s="25"/>
      <c r="L1466" s="25"/>
      <c r="M1466" s="25"/>
    </row>
    <row r="1467" spans="1:13">
      <c r="A1467" s="9"/>
      <c r="B1467" s="9"/>
      <c r="C1467" s="9"/>
      <c r="D1467" s="30"/>
      <c r="E1467" s="9"/>
      <c r="F1467" s="9"/>
      <c r="G1467" s="9"/>
      <c r="H1467" s="9"/>
      <c r="I1467" s="9"/>
      <c r="J1467" s="21" t="s">
        <v>1234</v>
      </c>
      <c r="K1467" s="26">
        <v>1</v>
      </c>
      <c r="L1467" s="24">
        <f>M1419+M1429+M1456</f>
        <v>0</v>
      </c>
      <c r="M1467" s="24">
        <f>ROUND(K1467*L1467,2)</f>
        <v>0</v>
      </c>
    </row>
    <row r="1468" spans="1:13" ht="0.95" customHeight="1">
      <c r="A1468" s="25"/>
      <c r="B1468" s="25"/>
      <c r="C1468" s="25"/>
      <c r="D1468" s="31"/>
      <c r="E1468" s="25"/>
      <c r="F1468" s="25"/>
      <c r="G1468" s="25"/>
      <c r="H1468" s="25"/>
      <c r="I1468" s="25"/>
      <c r="J1468" s="25"/>
      <c r="K1468" s="25"/>
      <c r="L1468" s="25"/>
      <c r="M1468" s="25"/>
    </row>
    <row r="1469" spans="1:13">
      <c r="A1469" s="5" t="s">
        <v>1235</v>
      </c>
      <c r="B1469" s="5" t="s">
        <v>16</v>
      </c>
      <c r="C1469" s="5" t="s">
        <v>17</v>
      </c>
      <c r="D1469" s="28" t="s">
        <v>1236</v>
      </c>
      <c r="E1469" s="6"/>
      <c r="F1469" s="6"/>
      <c r="G1469" s="6"/>
      <c r="H1469" s="6"/>
      <c r="I1469" s="6"/>
      <c r="J1469" s="6"/>
      <c r="K1469" s="7">
        <f>K1685</f>
        <v>1</v>
      </c>
      <c r="L1469" s="8">
        <f>L1685</f>
        <v>0</v>
      </c>
      <c r="M1469" s="8">
        <f>M1685</f>
        <v>0</v>
      </c>
    </row>
    <row r="1470" spans="1:13">
      <c r="A1470" s="11" t="s">
        <v>1237</v>
      </c>
      <c r="B1470" s="11" t="s">
        <v>16</v>
      </c>
      <c r="C1470" s="11" t="s">
        <v>17</v>
      </c>
      <c r="D1470" s="29" t="s">
        <v>1238</v>
      </c>
      <c r="E1470" s="12"/>
      <c r="F1470" s="12"/>
      <c r="G1470" s="12"/>
      <c r="H1470" s="12"/>
      <c r="I1470" s="12"/>
      <c r="J1470" s="12"/>
      <c r="K1470" s="13">
        <f>K1482</f>
        <v>1</v>
      </c>
      <c r="L1470" s="14">
        <f>L1482</f>
        <v>0</v>
      </c>
      <c r="M1470" s="14">
        <f>M1482</f>
        <v>0</v>
      </c>
    </row>
    <row r="1471" spans="1:13" ht="33.75">
      <c r="A1471" s="15" t="s">
        <v>1239</v>
      </c>
      <c r="B1471" s="10" t="s">
        <v>23</v>
      </c>
      <c r="C1471" s="10" t="s">
        <v>94</v>
      </c>
      <c r="D1471" s="18" t="s">
        <v>1240</v>
      </c>
      <c r="E1471" s="9"/>
      <c r="F1471" s="9"/>
      <c r="G1471" s="9"/>
      <c r="H1471" s="9"/>
      <c r="I1471" s="9"/>
      <c r="J1471" s="9"/>
      <c r="K1471" s="16">
        <f>K1480</f>
        <v>47.86</v>
      </c>
      <c r="L1471" s="17">
        <f>L1480</f>
        <v>0</v>
      </c>
      <c r="M1471" s="17">
        <f>M1480</f>
        <v>0</v>
      </c>
    </row>
    <row r="1472" spans="1:13">
      <c r="A1472" s="9"/>
      <c r="B1472" s="9"/>
      <c r="C1472" s="9"/>
      <c r="D1472" s="18" t="s">
        <v>1241</v>
      </c>
      <c r="E1472" s="9"/>
      <c r="F1472" s="9"/>
      <c r="G1472" s="9"/>
      <c r="H1472" s="9"/>
      <c r="I1472" s="9"/>
      <c r="J1472" s="9"/>
      <c r="K1472" s="9"/>
      <c r="L1472" s="9"/>
      <c r="M1472" s="9"/>
    </row>
    <row r="1473" spans="1:13">
      <c r="A1473" s="9"/>
      <c r="B1473" s="9"/>
      <c r="C1473" s="10" t="s">
        <v>27</v>
      </c>
      <c r="D1473" s="30"/>
      <c r="E1473" s="10" t="s">
        <v>227</v>
      </c>
      <c r="F1473" s="19"/>
      <c r="G1473" s="20"/>
      <c r="H1473" s="20"/>
      <c r="I1473" s="20"/>
      <c r="J1473" s="16">
        <f>OR(F1473&lt;&gt;0,G1473&lt;&gt;0,H1473&lt;&gt;0,I1473&lt;&gt;0)*(F1473 + (F1473 = 0))*(G1473 + (G1473 = 0))*(H1473 + (H1473 = 0))*(I1473 + (I1473 = 0))</f>
        <v>0</v>
      </c>
      <c r="K1473" s="9"/>
      <c r="L1473" s="9"/>
      <c r="M1473" s="9"/>
    </row>
    <row r="1474" spans="1:13">
      <c r="A1474" s="9"/>
      <c r="B1474" s="9"/>
      <c r="C1474" s="10" t="s">
        <v>27</v>
      </c>
      <c r="D1474" s="30"/>
      <c r="E1474" s="10" t="s">
        <v>1242</v>
      </c>
      <c r="F1474" s="19">
        <v>1</v>
      </c>
      <c r="G1474" s="20">
        <v>1.75</v>
      </c>
      <c r="H1474" s="20">
        <v>0</v>
      </c>
      <c r="I1474" s="20">
        <v>2.65</v>
      </c>
      <c r="J1474" s="16">
        <f>OR(F1474&lt;&gt;0,G1474&lt;&gt;0,H1474&lt;&gt;0,I1474&lt;&gt;0)*(F1474 + (F1474 = 0))*(G1474 + (G1474 = 0))*(H1474 + (H1474 = 0))*(I1474 + (I1474 = 0))</f>
        <v>4.6379999999999999</v>
      </c>
      <c r="K1474" s="9"/>
      <c r="L1474" s="9"/>
      <c r="M1474" s="9"/>
    </row>
    <row r="1475" spans="1:13">
      <c r="A1475" s="9"/>
      <c r="B1475" s="9"/>
      <c r="C1475" s="10" t="s">
        <v>27</v>
      </c>
      <c r="D1475" s="30"/>
      <c r="E1475" s="10" t="s">
        <v>17</v>
      </c>
      <c r="F1475" s="19">
        <v>1</v>
      </c>
      <c r="G1475" s="20">
        <v>2.25</v>
      </c>
      <c r="H1475" s="20">
        <v>0</v>
      </c>
      <c r="I1475" s="20">
        <v>1.1000000000000001</v>
      </c>
      <c r="J1475" s="16">
        <f>OR(F1475&lt;&gt;0,G1475&lt;&gt;0,H1475&lt;&gt;0,I1475&lt;&gt;0)*(F1475 + (F1475 = 0))*(G1475 + (G1475 = 0))*(H1475 + (H1475 = 0))*(I1475 + (I1475 = 0))</f>
        <v>2.4750000000000001</v>
      </c>
      <c r="K1475" s="9"/>
      <c r="L1475" s="9"/>
      <c r="M1475" s="9"/>
    </row>
    <row r="1476" spans="1:13">
      <c r="A1476" s="9"/>
      <c r="B1476" s="9"/>
      <c r="C1476" s="10" t="s">
        <v>27</v>
      </c>
      <c r="D1476" s="30"/>
      <c r="E1476" s="10" t="s">
        <v>1243</v>
      </c>
      <c r="F1476" s="19">
        <v>1</v>
      </c>
      <c r="G1476" s="20">
        <v>6.48</v>
      </c>
      <c r="H1476" s="20">
        <v>0</v>
      </c>
      <c r="I1476" s="20">
        <v>2.65</v>
      </c>
      <c r="J1476" s="16">
        <f>OR(F1476&lt;&gt;0,G1476&lt;&gt;0,H1476&lt;&gt;0,I1476&lt;&gt;0)*(F1476 + (F1476 = 0))*(G1476 + (G1476 = 0))*(H1476 + (H1476 = 0))*(I1476 + (I1476 = 0))</f>
        <v>17.172000000000001</v>
      </c>
      <c r="K1476" s="9"/>
      <c r="L1476" s="9"/>
      <c r="M1476" s="9"/>
    </row>
    <row r="1477" spans="1:13">
      <c r="A1477" s="9"/>
      <c r="B1477" s="9"/>
      <c r="C1477" s="10" t="s">
        <v>27</v>
      </c>
      <c r="D1477" s="30"/>
      <c r="E1477" s="10" t="s">
        <v>228</v>
      </c>
      <c r="F1477" s="19"/>
      <c r="G1477" s="20"/>
      <c r="H1477" s="20"/>
      <c r="I1477" s="20"/>
      <c r="J1477" s="16">
        <f>OR(F1477&lt;&gt;0,G1477&lt;&gt;0,H1477&lt;&gt;0,I1477&lt;&gt;0)*(F1477 + (F1477 = 0))*(G1477 + (G1477 = 0))*(H1477 + (H1477 = 0))*(I1477 + (I1477 = 0))</f>
        <v>0</v>
      </c>
      <c r="K1477" s="9"/>
      <c r="L1477" s="9"/>
      <c r="M1477" s="9"/>
    </row>
    <row r="1478" spans="1:13">
      <c r="A1478" s="9"/>
      <c r="B1478" s="9"/>
      <c r="C1478" s="10" t="s">
        <v>27</v>
      </c>
      <c r="D1478" s="30"/>
      <c r="E1478" s="10" t="s">
        <v>1244</v>
      </c>
      <c r="F1478" s="19">
        <v>1</v>
      </c>
      <c r="G1478" s="20">
        <v>3.5</v>
      </c>
      <c r="H1478" s="20">
        <v>0</v>
      </c>
      <c r="I1478" s="20">
        <v>2.2999999999999998</v>
      </c>
      <c r="J1478" s="16">
        <f>OR(F1478&lt;&gt;0,G1478&lt;&gt;0,H1478&lt;&gt;0,I1478&lt;&gt;0)*(F1478 + (F1478 = 0))*(G1478 + (G1478 = 0))*(H1478 + (H1478 = 0))*(I1478 + (I1478 = 0))</f>
        <v>8.0500000000000007</v>
      </c>
      <c r="K1478" s="9"/>
      <c r="L1478" s="9"/>
      <c r="M1478" s="9"/>
    </row>
    <row r="1479" spans="1:13">
      <c r="A1479" s="9"/>
      <c r="B1479" s="9"/>
      <c r="C1479" s="10" t="s">
        <v>27</v>
      </c>
      <c r="D1479" s="30"/>
      <c r="E1479" s="10" t="s">
        <v>1245</v>
      </c>
      <c r="F1479" s="19">
        <v>1</v>
      </c>
      <c r="G1479" s="20">
        <v>6.75</v>
      </c>
      <c r="H1479" s="20">
        <v>0</v>
      </c>
      <c r="I1479" s="20">
        <v>2.2999999999999998</v>
      </c>
      <c r="J1479" s="16">
        <f>OR(F1479&lt;&gt;0,G1479&lt;&gt;0,H1479&lt;&gt;0,I1479&lt;&gt;0)*(F1479 + (F1479 = 0))*(G1479 + (G1479 = 0))*(H1479 + (H1479 = 0))*(I1479 + (I1479 = 0))</f>
        <v>15.525</v>
      </c>
      <c r="K1479" s="9"/>
      <c r="L1479" s="9"/>
      <c r="M1479" s="9"/>
    </row>
    <row r="1480" spans="1:13">
      <c r="A1480" s="9"/>
      <c r="B1480" s="9"/>
      <c r="C1480" s="9"/>
      <c r="D1480" s="30"/>
      <c r="E1480" s="9"/>
      <c r="F1480" s="9"/>
      <c r="G1480" s="9"/>
      <c r="H1480" s="9"/>
      <c r="I1480" s="9"/>
      <c r="J1480" s="21" t="s">
        <v>1246</v>
      </c>
      <c r="K1480" s="22">
        <f>SUM(J1473:J1479)</f>
        <v>47.86</v>
      </c>
      <c r="L1480" s="23">
        <v>0</v>
      </c>
      <c r="M1480" s="24">
        <f>ROUND(K1480*L1480,2)</f>
        <v>0</v>
      </c>
    </row>
    <row r="1481" spans="1:13" ht="0.95" customHeight="1">
      <c r="A1481" s="25"/>
      <c r="B1481" s="25"/>
      <c r="C1481" s="25"/>
      <c r="D1481" s="31"/>
      <c r="E1481" s="25"/>
      <c r="F1481" s="25"/>
      <c r="G1481" s="25"/>
      <c r="H1481" s="25"/>
      <c r="I1481" s="25"/>
      <c r="J1481" s="25"/>
      <c r="K1481" s="25"/>
      <c r="L1481" s="25"/>
      <c r="M1481" s="25"/>
    </row>
    <row r="1482" spans="1:13">
      <c r="A1482" s="9"/>
      <c r="B1482" s="9"/>
      <c r="C1482" s="9"/>
      <c r="D1482" s="30"/>
      <c r="E1482" s="9"/>
      <c r="F1482" s="9"/>
      <c r="G1482" s="9"/>
      <c r="H1482" s="9"/>
      <c r="I1482" s="9"/>
      <c r="J1482" s="21" t="s">
        <v>1247</v>
      </c>
      <c r="K1482" s="20">
        <v>1</v>
      </c>
      <c r="L1482" s="24">
        <f>M1471</f>
        <v>0</v>
      </c>
      <c r="M1482" s="24">
        <f>ROUND(K1482*L1482,2)</f>
        <v>0</v>
      </c>
    </row>
    <row r="1483" spans="1:13" ht="0.95" customHeight="1">
      <c r="A1483" s="25"/>
      <c r="B1483" s="25"/>
      <c r="C1483" s="25"/>
      <c r="D1483" s="31"/>
      <c r="E1483" s="25"/>
      <c r="F1483" s="25"/>
      <c r="G1483" s="25"/>
      <c r="H1483" s="25"/>
      <c r="I1483" s="25"/>
      <c r="J1483" s="25"/>
      <c r="K1483" s="25"/>
      <c r="L1483" s="25"/>
      <c r="M1483" s="25"/>
    </row>
    <row r="1484" spans="1:13">
      <c r="A1484" s="11" t="s">
        <v>1248</v>
      </c>
      <c r="B1484" s="11" t="s">
        <v>16</v>
      </c>
      <c r="C1484" s="11" t="s">
        <v>17</v>
      </c>
      <c r="D1484" s="29" t="s">
        <v>1099</v>
      </c>
      <c r="E1484" s="12"/>
      <c r="F1484" s="12"/>
      <c r="G1484" s="12"/>
      <c r="H1484" s="12"/>
      <c r="I1484" s="12"/>
      <c r="J1484" s="12"/>
      <c r="K1484" s="13">
        <f>K1495</f>
        <v>1</v>
      </c>
      <c r="L1484" s="14">
        <f>L1495</f>
        <v>0</v>
      </c>
      <c r="M1484" s="14">
        <f>M1495</f>
        <v>0</v>
      </c>
    </row>
    <row r="1485" spans="1:13">
      <c r="A1485" s="15" t="s">
        <v>1249</v>
      </c>
      <c r="B1485" s="10" t="s">
        <v>23</v>
      </c>
      <c r="C1485" s="10" t="s">
        <v>4</v>
      </c>
      <c r="D1485" s="18" t="s">
        <v>1250</v>
      </c>
      <c r="E1485" s="9"/>
      <c r="F1485" s="9"/>
      <c r="G1485" s="9"/>
      <c r="H1485" s="9"/>
      <c r="I1485" s="9"/>
      <c r="J1485" s="9"/>
      <c r="K1485" s="16">
        <f>K1488</f>
        <v>30</v>
      </c>
      <c r="L1485" s="17">
        <f>L1488</f>
        <v>0</v>
      </c>
      <c r="M1485" s="17">
        <f>M1488</f>
        <v>0</v>
      </c>
    </row>
    <row r="1486" spans="1:13">
      <c r="A1486" s="9"/>
      <c r="B1486" s="9"/>
      <c r="C1486" s="9"/>
      <c r="D1486" s="18" t="s">
        <v>1251</v>
      </c>
      <c r="E1486" s="9"/>
      <c r="F1486" s="9"/>
      <c r="G1486" s="9"/>
      <c r="H1486" s="9"/>
      <c r="I1486" s="9"/>
      <c r="J1486" s="9"/>
      <c r="K1486" s="9"/>
      <c r="L1486" s="9"/>
      <c r="M1486" s="9"/>
    </row>
    <row r="1487" spans="1:13">
      <c r="A1487" s="9"/>
      <c r="B1487" s="9"/>
      <c r="C1487" s="10" t="s">
        <v>27</v>
      </c>
      <c r="D1487" s="30"/>
      <c r="E1487" s="10" t="s">
        <v>17</v>
      </c>
      <c r="F1487" s="19">
        <v>30</v>
      </c>
      <c r="G1487" s="23">
        <v>0</v>
      </c>
      <c r="H1487" s="23">
        <v>0</v>
      </c>
      <c r="I1487" s="23">
        <v>0</v>
      </c>
      <c r="J1487" s="17">
        <f>OR(F1487&lt;&gt;0,G1487&lt;&gt;0,H1487&lt;&gt;0,I1487&lt;&gt;0)*(F1487 + (F1487 = 0))*(G1487 + (G1487 = 0))*(H1487 + (H1487 = 0))*(I1487 + (I1487 = 0))</f>
        <v>30</v>
      </c>
      <c r="K1487" s="9"/>
      <c r="L1487" s="9"/>
      <c r="M1487" s="9"/>
    </row>
    <row r="1488" spans="1:13">
      <c r="A1488" s="9"/>
      <c r="B1488" s="9"/>
      <c r="C1488" s="9"/>
      <c r="D1488" s="30"/>
      <c r="E1488" s="9"/>
      <c r="F1488" s="9"/>
      <c r="G1488" s="9"/>
      <c r="H1488" s="9"/>
      <c r="I1488" s="9"/>
      <c r="J1488" s="21" t="s">
        <v>1252</v>
      </c>
      <c r="K1488" s="22">
        <f>J1487</f>
        <v>30</v>
      </c>
      <c r="L1488" s="23">
        <v>0</v>
      </c>
      <c r="M1488" s="24">
        <f>ROUND(K1488*L1488,2)</f>
        <v>0</v>
      </c>
    </row>
    <row r="1489" spans="1:13" ht="0.95" customHeight="1">
      <c r="A1489" s="25"/>
      <c r="B1489" s="25"/>
      <c r="C1489" s="25"/>
      <c r="D1489" s="31"/>
      <c r="E1489" s="25"/>
      <c r="F1489" s="25"/>
      <c r="G1489" s="25"/>
      <c r="H1489" s="25"/>
      <c r="I1489" s="25"/>
      <c r="J1489" s="25"/>
      <c r="K1489" s="25"/>
      <c r="L1489" s="25"/>
      <c r="M1489" s="25"/>
    </row>
    <row r="1490" spans="1:13">
      <c r="A1490" s="15" t="s">
        <v>1253</v>
      </c>
      <c r="B1490" s="10" t="s">
        <v>23</v>
      </c>
      <c r="C1490" s="10" t="s">
        <v>4</v>
      </c>
      <c r="D1490" s="18" t="s">
        <v>1254</v>
      </c>
      <c r="E1490" s="9"/>
      <c r="F1490" s="9"/>
      <c r="G1490" s="9"/>
      <c r="H1490" s="9"/>
      <c r="I1490" s="9"/>
      <c r="J1490" s="9"/>
      <c r="K1490" s="16">
        <f>K1493</f>
        <v>1</v>
      </c>
      <c r="L1490" s="17">
        <f>L1493</f>
        <v>0</v>
      </c>
      <c r="M1490" s="17">
        <f>M1493</f>
        <v>0</v>
      </c>
    </row>
    <row r="1491" spans="1:13">
      <c r="A1491" s="9"/>
      <c r="B1491" s="9"/>
      <c r="C1491" s="9"/>
      <c r="D1491" s="18" t="s">
        <v>1255</v>
      </c>
      <c r="E1491" s="9"/>
      <c r="F1491" s="9"/>
      <c r="G1491" s="9"/>
      <c r="H1491" s="9"/>
      <c r="I1491" s="9"/>
      <c r="J1491" s="9"/>
      <c r="K1491" s="9"/>
      <c r="L1491" s="9"/>
      <c r="M1491" s="9"/>
    </row>
    <row r="1492" spans="1:13">
      <c r="A1492" s="9"/>
      <c r="B1492" s="9"/>
      <c r="C1492" s="10" t="s">
        <v>27</v>
      </c>
      <c r="D1492" s="30"/>
      <c r="E1492" s="10" t="s">
        <v>1256</v>
      </c>
      <c r="F1492" s="19">
        <v>1</v>
      </c>
      <c r="G1492" s="23">
        <v>0</v>
      </c>
      <c r="H1492" s="23">
        <v>0</v>
      </c>
      <c r="I1492" s="23">
        <v>0</v>
      </c>
      <c r="J1492" s="17">
        <f>OR(F1492&lt;&gt;0,G1492&lt;&gt;0,H1492&lt;&gt;0,I1492&lt;&gt;0)*(F1492 + (F1492 = 0))*(G1492 + (G1492 = 0))*(H1492 + (H1492 = 0))*(I1492 + (I1492 = 0))</f>
        <v>1</v>
      </c>
      <c r="K1492" s="9"/>
      <c r="L1492" s="9"/>
      <c r="M1492" s="9"/>
    </row>
    <row r="1493" spans="1:13">
      <c r="A1493" s="9"/>
      <c r="B1493" s="9"/>
      <c r="C1493" s="9"/>
      <c r="D1493" s="30"/>
      <c r="E1493" s="9"/>
      <c r="F1493" s="9"/>
      <c r="G1493" s="9"/>
      <c r="H1493" s="9"/>
      <c r="I1493" s="9"/>
      <c r="J1493" s="21" t="s">
        <v>1257</v>
      </c>
      <c r="K1493" s="22">
        <f>J1492</f>
        <v>1</v>
      </c>
      <c r="L1493" s="23">
        <v>0</v>
      </c>
      <c r="M1493" s="24">
        <f>ROUND(K1493*L1493,2)</f>
        <v>0</v>
      </c>
    </row>
    <row r="1494" spans="1:13" ht="0.95" customHeight="1">
      <c r="A1494" s="25"/>
      <c r="B1494" s="25"/>
      <c r="C1494" s="25"/>
      <c r="D1494" s="31"/>
      <c r="E1494" s="25"/>
      <c r="F1494" s="25"/>
      <c r="G1494" s="25"/>
      <c r="H1494" s="25"/>
      <c r="I1494" s="25"/>
      <c r="J1494" s="25"/>
      <c r="K1494" s="25"/>
      <c r="L1494" s="25"/>
      <c r="M1494" s="25"/>
    </row>
    <row r="1495" spans="1:13">
      <c r="A1495" s="9"/>
      <c r="B1495" s="9"/>
      <c r="C1495" s="9"/>
      <c r="D1495" s="30"/>
      <c r="E1495" s="9"/>
      <c r="F1495" s="9"/>
      <c r="G1495" s="9"/>
      <c r="H1495" s="9"/>
      <c r="I1495" s="9"/>
      <c r="J1495" s="21" t="s">
        <v>1258</v>
      </c>
      <c r="K1495" s="20">
        <v>1</v>
      </c>
      <c r="L1495" s="24">
        <f>M1485+M1490</f>
        <v>0</v>
      </c>
      <c r="M1495" s="24">
        <f>ROUND(K1495*L1495,2)</f>
        <v>0</v>
      </c>
    </row>
    <row r="1496" spans="1:13" ht="0.95" customHeight="1">
      <c r="A1496" s="25"/>
      <c r="B1496" s="25"/>
      <c r="C1496" s="25"/>
      <c r="D1496" s="31"/>
      <c r="E1496" s="25"/>
      <c r="F1496" s="25"/>
      <c r="G1496" s="25"/>
      <c r="H1496" s="25"/>
      <c r="I1496" s="25"/>
      <c r="J1496" s="25"/>
      <c r="K1496" s="25"/>
      <c r="L1496" s="25"/>
      <c r="M1496" s="25"/>
    </row>
    <row r="1497" spans="1:13">
      <c r="A1497" s="11" t="s">
        <v>1259</v>
      </c>
      <c r="B1497" s="11" t="s">
        <v>16</v>
      </c>
      <c r="C1497" s="11" t="s">
        <v>17</v>
      </c>
      <c r="D1497" s="29" t="s">
        <v>1260</v>
      </c>
      <c r="E1497" s="12"/>
      <c r="F1497" s="12"/>
      <c r="G1497" s="12"/>
      <c r="H1497" s="12"/>
      <c r="I1497" s="12"/>
      <c r="J1497" s="12"/>
      <c r="K1497" s="13">
        <f>K1552</f>
        <v>1</v>
      </c>
      <c r="L1497" s="14">
        <f>L1552</f>
        <v>0</v>
      </c>
      <c r="M1497" s="14">
        <f>M1552</f>
        <v>0</v>
      </c>
    </row>
    <row r="1498" spans="1:13" ht="33.75">
      <c r="A1498" s="15" t="s">
        <v>1261</v>
      </c>
      <c r="B1498" s="10" t="s">
        <v>23</v>
      </c>
      <c r="C1498" s="10" t="s">
        <v>94</v>
      </c>
      <c r="D1498" s="18" t="s">
        <v>1262</v>
      </c>
      <c r="E1498" s="9"/>
      <c r="F1498" s="9"/>
      <c r="G1498" s="9"/>
      <c r="H1498" s="9"/>
      <c r="I1498" s="9"/>
      <c r="J1498" s="9"/>
      <c r="K1498" s="16">
        <f>K1510</f>
        <v>171.898</v>
      </c>
      <c r="L1498" s="17">
        <f>L1510</f>
        <v>0</v>
      </c>
      <c r="M1498" s="17">
        <f>M1510</f>
        <v>0</v>
      </c>
    </row>
    <row r="1499" spans="1:13">
      <c r="A1499" s="9"/>
      <c r="B1499" s="9"/>
      <c r="C1499" s="9"/>
      <c r="D1499" s="18" t="s">
        <v>1263</v>
      </c>
      <c r="E1499" s="9"/>
      <c r="F1499" s="9"/>
      <c r="G1499" s="9"/>
      <c r="H1499" s="9"/>
      <c r="I1499" s="9"/>
      <c r="J1499" s="9"/>
      <c r="K1499" s="9"/>
      <c r="L1499" s="9"/>
      <c r="M1499" s="9"/>
    </row>
    <row r="1500" spans="1:13">
      <c r="A1500" s="9"/>
      <c r="B1500" s="9"/>
      <c r="C1500" s="10" t="s">
        <v>27</v>
      </c>
      <c r="D1500" s="30"/>
      <c r="E1500" s="10" t="s">
        <v>97</v>
      </c>
      <c r="F1500" s="19">
        <v>1</v>
      </c>
      <c r="G1500" s="20">
        <v>20.8</v>
      </c>
      <c r="H1500" s="20">
        <v>0</v>
      </c>
      <c r="I1500" s="20">
        <v>2.2999999999999998</v>
      </c>
      <c r="J1500" s="16">
        <f>OR(F1500&lt;&gt;0,G1500&lt;&gt;0,H1500&lt;&gt;0,I1500&lt;&gt;0)*(F1500 + (F1500 = 0))*(G1500 + (G1500 = 0))*(H1500 + (H1500 = 0))*(I1500 + (I1500 = 0))</f>
        <v>47.84</v>
      </c>
      <c r="K1500" s="9"/>
      <c r="L1500" s="9"/>
      <c r="M1500" s="9"/>
    </row>
    <row r="1501" spans="1:13">
      <c r="A1501" s="9"/>
      <c r="B1501" s="9"/>
      <c r="C1501" s="10" t="s">
        <v>27</v>
      </c>
      <c r="D1501" s="30"/>
      <c r="E1501" s="10" t="s">
        <v>227</v>
      </c>
      <c r="F1501" s="19">
        <v>1</v>
      </c>
      <c r="G1501" s="20">
        <v>15.25</v>
      </c>
      <c r="H1501" s="20">
        <v>0</v>
      </c>
      <c r="I1501" s="20">
        <v>2.65</v>
      </c>
      <c r="J1501" s="16">
        <f>OR(F1501&lt;&gt;0,G1501&lt;&gt;0,H1501&lt;&gt;0,I1501&lt;&gt;0)*(F1501 + (F1501 = 0))*(G1501 + (G1501 = 0))*(H1501 + (H1501 = 0))*(I1501 + (I1501 = 0))</f>
        <v>40.412999999999997</v>
      </c>
      <c r="K1501" s="9"/>
      <c r="L1501" s="9"/>
      <c r="M1501" s="9"/>
    </row>
    <row r="1502" spans="1:13">
      <c r="A1502" s="9"/>
      <c r="B1502" s="9"/>
      <c r="C1502" s="10" t="s">
        <v>27</v>
      </c>
      <c r="D1502" s="30"/>
      <c r="E1502" s="10" t="s">
        <v>228</v>
      </c>
      <c r="F1502" s="19">
        <v>2</v>
      </c>
      <c r="G1502" s="20">
        <v>3.2</v>
      </c>
      <c r="H1502" s="20">
        <v>0</v>
      </c>
      <c r="I1502" s="20">
        <v>2.4</v>
      </c>
      <c r="J1502" s="16">
        <f>OR(F1502&lt;&gt;0,G1502&lt;&gt;0,H1502&lt;&gt;0,I1502&lt;&gt;0)*(F1502 + (F1502 = 0))*(G1502 + (G1502 = 0))*(H1502 + (H1502 = 0))*(I1502 + (I1502 = 0))</f>
        <v>15.36</v>
      </c>
      <c r="K1502" s="9"/>
      <c r="L1502" s="9"/>
      <c r="M1502" s="9"/>
    </row>
    <row r="1503" spans="1:13">
      <c r="A1503" s="9"/>
      <c r="B1503" s="9"/>
      <c r="C1503" s="10" t="s">
        <v>27</v>
      </c>
      <c r="D1503" s="30"/>
      <c r="E1503" s="10" t="s">
        <v>17</v>
      </c>
      <c r="F1503" s="19">
        <v>2</v>
      </c>
      <c r="G1503" s="20">
        <v>9.8000000000000007</v>
      </c>
      <c r="H1503" s="20">
        <v>0</v>
      </c>
      <c r="I1503" s="20">
        <v>0</v>
      </c>
      <c r="J1503" s="16">
        <f>OR(F1503&lt;&gt;0,G1503&lt;&gt;0,H1503&lt;&gt;0,I1503&lt;&gt;0)*(F1503 + (F1503 = 0))*(G1503 + (G1503 = 0))*(H1503 + (H1503 = 0))*(I1503 + (I1503 = 0))</f>
        <v>19.600000000000001</v>
      </c>
      <c r="K1503" s="9"/>
      <c r="L1503" s="9"/>
      <c r="M1503" s="9"/>
    </row>
    <row r="1504" spans="1:13">
      <c r="A1504" s="9"/>
      <c r="B1504" s="9"/>
      <c r="C1504" s="10" t="s">
        <v>27</v>
      </c>
      <c r="D1504" s="30"/>
      <c r="E1504" s="10" t="s">
        <v>17</v>
      </c>
      <c r="F1504" s="19">
        <v>1</v>
      </c>
      <c r="G1504" s="20">
        <v>4.2</v>
      </c>
      <c r="H1504" s="20">
        <v>0</v>
      </c>
      <c r="I1504" s="20">
        <v>2.2000000000000002</v>
      </c>
      <c r="J1504" s="16">
        <f>OR(F1504&lt;&gt;0,G1504&lt;&gt;0,H1504&lt;&gt;0,I1504&lt;&gt;0)*(F1504 + (F1504 = 0))*(G1504 + (G1504 = 0))*(H1504 + (H1504 = 0))*(I1504 + (I1504 = 0))</f>
        <v>9.24</v>
      </c>
      <c r="K1504" s="9"/>
      <c r="L1504" s="9"/>
      <c r="M1504" s="9"/>
    </row>
    <row r="1505" spans="1:13">
      <c r="A1505" s="9"/>
      <c r="B1505" s="9"/>
      <c r="C1505" s="10" t="s">
        <v>27</v>
      </c>
      <c r="D1505" s="30"/>
      <c r="E1505" s="10" t="s">
        <v>17</v>
      </c>
      <c r="F1505" s="19">
        <v>1</v>
      </c>
      <c r="G1505" s="20">
        <v>1.25</v>
      </c>
      <c r="H1505" s="20">
        <v>0</v>
      </c>
      <c r="I1505" s="20">
        <v>3</v>
      </c>
      <c r="J1505" s="16">
        <f>OR(F1505&lt;&gt;0,G1505&lt;&gt;0,H1505&lt;&gt;0,I1505&lt;&gt;0)*(F1505 + (F1505 = 0))*(G1505 + (G1505 = 0))*(H1505 + (H1505 = 0))*(I1505 + (I1505 = 0))</f>
        <v>3.75</v>
      </c>
      <c r="K1505" s="9"/>
      <c r="L1505" s="9"/>
      <c r="M1505" s="9"/>
    </row>
    <row r="1506" spans="1:13">
      <c r="A1506" s="9"/>
      <c r="B1506" s="9"/>
      <c r="C1506" s="10" t="s">
        <v>27</v>
      </c>
      <c r="D1506" s="30"/>
      <c r="E1506" s="10" t="s">
        <v>17</v>
      </c>
      <c r="F1506" s="19">
        <v>1</v>
      </c>
      <c r="G1506" s="20">
        <v>5.45</v>
      </c>
      <c r="H1506" s="20">
        <v>0</v>
      </c>
      <c r="I1506" s="20">
        <v>0</v>
      </c>
      <c r="J1506" s="16">
        <f>OR(F1506&lt;&gt;0,G1506&lt;&gt;0,H1506&lt;&gt;0,I1506&lt;&gt;0)*(F1506 + (F1506 = 0))*(G1506 + (G1506 = 0))*(H1506 + (H1506 = 0))*(I1506 + (I1506 = 0))</f>
        <v>5.45</v>
      </c>
      <c r="K1506" s="9"/>
      <c r="L1506" s="9"/>
      <c r="M1506" s="9"/>
    </row>
    <row r="1507" spans="1:13">
      <c r="A1507" s="9"/>
      <c r="B1507" s="9"/>
      <c r="C1507" s="10" t="s">
        <v>27</v>
      </c>
      <c r="D1507" s="30"/>
      <c r="E1507" s="10" t="s">
        <v>17</v>
      </c>
      <c r="F1507" s="19">
        <v>2</v>
      </c>
      <c r="G1507" s="20">
        <v>10.5</v>
      </c>
      <c r="H1507" s="20">
        <v>0</v>
      </c>
      <c r="I1507" s="20">
        <v>0</v>
      </c>
      <c r="J1507" s="16">
        <f>OR(F1507&lt;&gt;0,G1507&lt;&gt;0,H1507&lt;&gt;0,I1507&lt;&gt;0)*(F1507 + (F1507 = 0))*(G1507 + (G1507 = 0))*(H1507 + (H1507 = 0))*(I1507 + (I1507 = 0))</f>
        <v>21</v>
      </c>
      <c r="K1507" s="9"/>
      <c r="L1507" s="9"/>
      <c r="M1507" s="9"/>
    </row>
    <row r="1508" spans="1:13">
      <c r="A1508" s="9"/>
      <c r="B1508" s="9"/>
      <c r="C1508" s="10" t="s">
        <v>27</v>
      </c>
      <c r="D1508" s="30"/>
      <c r="E1508" s="10" t="s">
        <v>17</v>
      </c>
      <c r="F1508" s="19">
        <v>2</v>
      </c>
      <c r="G1508" s="20">
        <v>2.15</v>
      </c>
      <c r="H1508" s="20">
        <v>0</v>
      </c>
      <c r="I1508" s="20">
        <v>2.15</v>
      </c>
      <c r="J1508" s="16">
        <f>OR(F1508&lt;&gt;0,G1508&lt;&gt;0,H1508&lt;&gt;0,I1508&lt;&gt;0)*(F1508 + (F1508 = 0))*(G1508 + (G1508 = 0))*(H1508 + (H1508 = 0))*(I1508 + (I1508 = 0))</f>
        <v>9.2449999999999992</v>
      </c>
      <c r="K1508" s="9"/>
      <c r="L1508" s="9"/>
      <c r="M1508" s="9"/>
    </row>
    <row r="1509" spans="1:13">
      <c r="A1509" s="9"/>
      <c r="B1509" s="9"/>
      <c r="C1509" s="10" t="s">
        <v>27</v>
      </c>
      <c r="D1509" s="30"/>
      <c r="E1509" s="10" t="s">
        <v>17</v>
      </c>
      <c r="F1509" s="19"/>
      <c r="G1509" s="20"/>
      <c r="H1509" s="20"/>
      <c r="I1509" s="20"/>
      <c r="J1509" s="16">
        <f>OR(F1509&lt;&gt;0,G1509&lt;&gt;0,H1509&lt;&gt;0,I1509&lt;&gt;0)*(F1509 + (F1509 = 0))*(G1509 + (G1509 = 0))*(H1509 + (H1509 = 0))*(I1509 + (I1509 = 0))</f>
        <v>0</v>
      </c>
      <c r="K1509" s="9"/>
      <c r="L1509" s="9"/>
      <c r="M1509" s="9"/>
    </row>
    <row r="1510" spans="1:13">
      <c r="A1510" s="9"/>
      <c r="B1510" s="9"/>
      <c r="C1510" s="9"/>
      <c r="D1510" s="30"/>
      <c r="E1510" s="9"/>
      <c r="F1510" s="9"/>
      <c r="G1510" s="9"/>
      <c r="H1510" s="9"/>
      <c r="I1510" s="9"/>
      <c r="J1510" s="21" t="s">
        <v>1264</v>
      </c>
      <c r="K1510" s="22">
        <f>SUM(J1500:J1509)</f>
        <v>171.898</v>
      </c>
      <c r="L1510" s="23">
        <v>0</v>
      </c>
      <c r="M1510" s="24">
        <f>ROUND(K1510*L1510,2)</f>
        <v>0</v>
      </c>
    </row>
    <row r="1511" spans="1:13" ht="0.95" customHeight="1">
      <c r="A1511" s="25"/>
      <c r="B1511" s="25"/>
      <c r="C1511" s="25"/>
      <c r="D1511" s="31"/>
      <c r="E1511" s="25"/>
      <c r="F1511" s="25"/>
      <c r="G1511" s="25"/>
      <c r="H1511" s="25"/>
      <c r="I1511" s="25"/>
      <c r="J1511" s="25"/>
      <c r="K1511" s="25"/>
      <c r="L1511" s="25"/>
      <c r="M1511" s="25"/>
    </row>
    <row r="1512" spans="1:13" ht="33.75">
      <c r="A1512" s="15" t="s">
        <v>1265</v>
      </c>
      <c r="B1512" s="10" t="s">
        <v>23</v>
      </c>
      <c r="C1512" s="10" t="s">
        <v>94</v>
      </c>
      <c r="D1512" s="18" t="s">
        <v>1262</v>
      </c>
      <c r="E1512" s="9"/>
      <c r="F1512" s="9"/>
      <c r="G1512" s="9"/>
      <c r="H1512" s="9"/>
      <c r="I1512" s="9"/>
      <c r="J1512" s="9"/>
      <c r="K1512" s="16">
        <f>K1531</f>
        <v>181.57300000000001</v>
      </c>
      <c r="L1512" s="17">
        <f>L1531</f>
        <v>0</v>
      </c>
      <c r="M1512" s="17">
        <f>M1531</f>
        <v>0</v>
      </c>
    </row>
    <row r="1513" spans="1:13">
      <c r="A1513" s="9"/>
      <c r="B1513" s="9"/>
      <c r="C1513" s="9"/>
      <c r="D1513" s="18" t="s">
        <v>1263</v>
      </c>
      <c r="E1513" s="9"/>
      <c r="F1513" s="9"/>
      <c r="G1513" s="9"/>
      <c r="H1513" s="9"/>
      <c r="I1513" s="9"/>
      <c r="J1513" s="9"/>
      <c r="K1513" s="9"/>
      <c r="L1513" s="9"/>
      <c r="M1513" s="9"/>
    </row>
    <row r="1514" spans="1:13">
      <c r="A1514" s="9"/>
      <c r="B1514" s="9"/>
      <c r="C1514" s="10" t="s">
        <v>27</v>
      </c>
      <c r="D1514" s="30"/>
      <c r="E1514" s="10" t="s">
        <v>227</v>
      </c>
      <c r="F1514" s="19">
        <v>1</v>
      </c>
      <c r="G1514" s="20">
        <v>45.85</v>
      </c>
      <c r="H1514" s="20">
        <v>0</v>
      </c>
      <c r="I1514" s="20">
        <v>2.6</v>
      </c>
      <c r="J1514" s="16">
        <f>OR(F1514&lt;&gt;0,G1514&lt;&gt;0,H1514&lt;&gt;0,I1514&lt;&gt;0)*(F1514 + (F1514 = 0))*(G1514 + (G1514 = 0))*(H1514 + (H1514 = 0))*(I1514 + (I1514 = 0))</f>
        <v>119.21</v>
      </c>
      <c r="K1514" s="9"/>
      <c r="L1514" s="9"/>
      <c r="M1514" s="9"/>
    </row>
    <row r="1515" spans="1:13">
      <c r="A1515" s="9"/>
      <c r="B1515" s="9"/>
      <c r="C1515" s="10" t="s">
        <v>27</v>
      </c>
      <c r="D1515" s="30"/>
      <c r="E1515" s="10" t="s">
        <v>17</v>
      </c>
      <c r="F1515" s="19">
        <v>-1</v>
      </c>
      <c r="G1515" s="20">
        <v>2.5</v>
      </c>
      <c r="H1515" s="20">
        <v>0</v>
      </c>
      <c r="I1515" s="20">
        <v>0</v>
      </c>
      <c r="J1515" s="16">
        <f>OR(F1515&lt;&gt;0,G1515&lt;&gt;0,H1515&lt;&gt;0,I1515&lt;&gt;0)*(F1515 + (F1515 = 0))*(G1515 + (G1515 = 0))*(H1515 + (H1515 = 0))*(I1515 + (I1515 = 0))</f>
        <v>-2.5</v>
      </c>
      <c r="K1515" s="9"/>
      <c r="L1515" s="9"/>
      <c r="M1515" s="9"/>
    </row>
    <row r="1516" spans="1:13">
      <c r="A1516" s="9"/>
      <c r="B1516" s="9"/>
      <c r="C1516" s="10" t="s">
        <v>27</v>
      </c>
      <c r="D1516" s="30"/>
      <c r="E1516" s="10" t="s">
        <v>17</v>
      </c>
      <c r="F1516" s="19">
        <v>-1</v>
      </c>
      <c r="G1516" s="20">
        <v>3.38</v>
      </c>
      <c r="H1516" s="20">
        <v>0</v>
      </c>
      <c r="I1516" s="20">
        <v>0</v>
      </c>
      <c r="J1516" s="16">
        <f>OR(F1516&lt;&gt;0,G1516&lt;&gt;0,H1516&lt;&gt;0,I1516&lt;&gt;0)*(F1516 + (F1516 = 0))*(G1516 + (G1516 = 0))*(H1516 + (H1516 = 0))*(I1516 + (I1516 = 0))</f>
        <v>-3.38</v>
      </c>
      <c r="K1516" s="9"/>
      <c r="L1516" s="9"/>
      <c r="M1516" s="9"/>
    </row>
    <row r="1517" spans="1:13">
      <c r="A1517" s="9"/>
      <c r="B1517" s="9"/>
      <c r="C1517" s="10" t="s">
        <v>27</v>
      </c>
      <c r="D1517" s="30"/>
      <c r="E1517" s="10" t="s">
        <v>17</v>
      </c>
      <c r="F1517" s="19">
        <v>-1</v>
      </c>
      <c r="G1517" s="20">
        <v>3.32</v>
      </c>
      <c r="H1517" s="20">
        <v>0</v>
      </c>
      <c r="I1517" s="20">
        <v>0</v>
      </c>
      <c r="J1517" s="16">
        <f>OR(F1517&lt;&gt;0,G1517&lt;&gt;0,H1517&lt;&gt;0,I1517&lt;&gt;0)*(F1517 + (F1517 = 0))*(G1517 + (G1517 = 0))*(H1517 + (H1517 = 0))*(I1517 + (I1517 = 0))</f>
        <v>-3.32</v>
      </c>
      <c r="K1517" s="9"/>
      <c r="L1517" s="9"/>
      <c r="M1517" s="9"/>
    </row>
    <row r="1518" spans="1:13">
      <c r="A1518" s="9"/>
      <c r="B1518" s="9"/>
      <c r="C1518" s="10" t="s">
        <v>27</v>
      </c>
      <c r="D1518" s="30"/>
      <c r="E1518" s="10" t="s">
        <v>17</v>
      </c>
      <c r="F1518" s="19">
        <v>-1</v>
      </c>
      <c r="G1518" s="20">
        <v>6</v>
      </c>
      <c r="H1518" s="20">
        <v>0</v>
      </c>
      <c r="I1518" s="20">
        <v>0</v>
      </c>
      <c r="J1518" s="16">
        <f>OR(F1518&lt;&gt;0,G1518&lt;&gt;0,H1518&lt;&gt;0,I1518&lt;&gt;0)*(F1518 + (F1518 = 0))*(G1518 + (G1518 = 0))*(H1518 + (H1518 = 0))*(I1518 + (I1518 = 0))</f>
        <v>-6</v>
      </c>
      <c r="K1518" s="9"/>
      <c r="L1518" s="9"/>
      <c r="M1518" s="9"/>
    </row>
    <row r="1519" spans="1:13">
      <c r="A1519" s="9"/>
      <c r="B1519" s="9"/>
      <c r="C1519" s="10" t="s">
        <v>27</v>
      </c>
      <c r="D1519" s="30"/>
      <c r="E1519" s="10" t="s">
        <v>17</v>
      </c>
      <c r="F1519" s="19">
        <v>-1</v>
      </c>
      <c r="G1519" s="20">
        <v>3.92</v>
      </c>
      <c r="H1519" s="20">
        <v>0</v>
      </c>
      <c r="I1519" s="20">
        <v>0</v>
      </c>
      <c r="J1519" s="16">
        <f>OR(F1519&lt;&gt;0,G1519&lt;&gt;0,H1519&lt;&gt;0,I1519&lt;&gt;0)*(F1519 + (F1519 = 0))*(G1519 + (G1519 = 0))*(H1519 + (H1519 = 0))*(I1519 + (I1519 = 0))</f>
        <v>-3.92</v>
      </c>
      <c r="K1519" s="9"/>
      <c r="L1519" s="9"/>
      <c r="M1519" s="9"/>
    </row>
    <row r="1520" spans="1:13">
      <c r="A1520" s="9"/>
      <c r="B1520" s="9"/>
      <c r="C1520" s="10" t="s">
        <v>27</v>
      </c>
      <c r="D1520" s="30"/>
      <c r="E1520" s="10" t="s">
        <v>17</v>
      </c>
      <c r="F1520" s="19">
        <v>-1</v>
      </c>
      <c r="G1520" s="20">
        <v>3.25</v>
      </c>
      <c r="H1520" s="20">
        <v>0</v>
      </c>
      <c r="I1520" s="20">
        <v>0</v>
      </c>
      <c r="J1520" s="16">
        <f>OR(F1520&lt;&gt;0,G1520&lt;&gt;0,H1520&lt;&gt;0,I1520&lt;&gt;0)*(F1520 + (F1520 = 0))*(G1520 + (G1520 = 0))*(H1520 + (H1520 = 0))*(I1520 + (I1520 = 0))</f>
        <v>-3.25</v>
      </c>
      <c r="K1520" s="9"/>
      <c r="L1520" s="9"/>
      <c r="M1520" s="9"/>
    </row>
    <row r="1521" spans="1:13">
      <c r="A1521" s="9"/>
      <c r="B1521" s="9"/>
      <c r="C1521" s="10" t="s">
        <v>27</v>
      </c>
      <c r="D1521" s="30"/>
      <c r="E1521" s="10" t="s">
        <v>17</v>
      </c>
      <c r="F1521" s="19">
        <v>-1</v>
      </c>
      <c r="G1521" s="20">
        <v>10.34</v>
      </c>
      <c r="H1521" s="20">
        <v>0</v>
      </c>
      <c r="I1521" s="20">
        <v>0</v>
      </c>
      <c r="J1521" s="16">
        <f>OR(F1521&lt;&gt;0,G1521&lt;&gt;0,H1521&lt;&gt;0,I1521&lt;&gt;0)*(F1521 + (F1521 = 0))*(G1521 + (G1521 = 0))*(H1521 + (H1521 = 0))*(I1521 + (I1521 = 0))</f>
        <v>-10.34</v>
      </c>
      <c r="K1521" s="9"/>
      <c r="L1521" s="9"/>
      <c r="M1521" s="9"/>
    </row>
    <row r="1522" spans="1:13">
      <c r="A1522" s="9"/>
      <c r="B1522" s="9"/>
      <c r="C1522" s="10" t="s">
        <v>27</v>
      </c>
      <c r="D1522" s="30"/>
      <c r="E1522" s="10" t="s">
        <v>228</v>
      </c>
      <c r="F1522" s="19">
        <v>2</v>
      </c>
      <c r="G1522" s="20">
        <v>22.92</v>
      </c>
      <c r="H1522" s="20">
        <v>0</v>
      </c>
      <c r="I1522" s="20">
        <v>0</v>
      </c>
      <c r="J1522" s="16">
        <f>OR(F1522&lt;&gt;0,G1522&lt;&gt;0,H1522&lt;&gt;0,I1522&lt;&gt;0)*(F1522 + (F1522 = 0))*(G1522 + (G1522 = 0))*(H1522 + (H1522 = 0))*(I1522 + (I1522 = 0))</f>
        <v>45.84</v>
      </c>
      <c r="K1522" s="9"/>
      <c r="L1522" s="9"/>
      <c r="M1522" s="9"/>
    </row>
    <row r="1523" spans="1:13">
      <c r="A1523" s="9"/>
      <c r="B1523" s="9"/>
      <c r="C1523" s="10" t="s">
        <v>27</v>
      </c>
      <c r="D1523" s="30"/>
      <c r="E1523" s="10" t="s">
        <v>17</v>
      </c>
      <c r="F1523" s="19">
        <v>1</v>
      </c>
      <c r="G1523" s="20">
        <v>12.18</v>
      </c>
      <c r="H1523" s="20">
        <v>0</v>
      </c>
      <c r="I1523" s="20">
        <v>0</v>
      </c>
      <c r="J1523" s="16">
        <f>OR(F1523&lt;&gt;0,G1523&lt;&gt;0,H1523&lt;&gt;0,I1523&lt;&gt;0)*(F1523 + (F1523 = 0))*(G1523 + (G1523 = 0))*(H1523 + (H1523 = 0))*(I1523 + (I1523 = 0))</f>
        <v>12.18</v>
      </c>
      <c r="K1523" s="9"/>
      <c r="L1523" s="9"/>
      <c r="M1523" s="9"/>
    </row>
    <row r="1524" spans="1:13">
      <c r="A1524" s="9"/>
      <c r="B1524" s="9"/>
      <c r="C1524" s="10" t="s">
        <v>27</v>
      </c>
      <c r="D1524" s="30"/>
      <c r="E1524" s="10" t="s">
        <v>17</v>
      </c>
      <c r="F1524" s="19">
        <v>1</v>
      </c>
      <c r="G1524" s="20">
        <v>19.600000000000001</v>
      </c>
      <c r="H1524" s="20">
        <v>0</v>
      </c>
      <c r="I1524" s="20">
        <v>0</v>
      </c>
      <c r="J1524" s="16">
        <f>OR(F1524&lt;&gt;0,G1524&lt;&gt;0,H1524&lt;&gt;0,I1524&lt;&gt;0)*(F1524 + (F1524 = 0))*(G1524 + (G1524 = 0))*(H1524 + (H1524 = 0))*(I1524 + (I1524 = 0))</f>
        <v>19.600000000000001</v>
      </c>
      <c r="K1524" s="9"/>
      <c r="L1524" s="9"/>
      <c r="M1524" s="9"/>
    </row>
    <row r="1525" spans="1:13">
      <c r="A1525" s="9"/>
      <c r="B1525" s="9"/>
      <c r="C1525" s="10" t="s">
        <v>27</v>
      </c>
      <c r="D1525" s="30"/>
      <c r="E1525" s="10" t="s">
        <v>17</v>
      </c>
      <c r="F1525" s="19">
        <v>-2</v>
      </c>
      <c r="G1525" s="20">
        <v>5.64</v>
      </c>
      <c r="H1525" s="20">
        <v>0</v>
      </c>
      <c r="I1525" s="20">
        <v>0</v>
      </c>
      <c r="J1525" s="16">
        <f>OR(F1525&lt;&gt;0,G1525&lt;&gt;0,H1525&lt;&gt;0,I1525&lt;&gt;0)*(F1525 + (F1525 = 0))*(G1525 + (G1525 = 0))*(H1525 + (H1525 = 0))*(I1525 + (I1525 = 0))</f>
        <v>-11.28</v>
      </c>
      <c r="K1525" s="9"/>
      <c r="L1525" s="9"/>
      <c r="M1525" s="9"/>
    </row>
    <row r="1526" spans="1:13">
      <c r="A1526" s="9"/>
      <c r="B1526" s="9"/>
      <c r="C1526" s="10" t="s">
        <v>27</v>
      </c>
      <c r="D1526" s="30"/>
      <c r="E1526" s="10" t="s">
        <v>17</v>
      </c>
      <c r="F1526" s="19">
        <v>1</v>
      </c>
      <c r="G1526" s="20">
        <v>5.75</v>
      </c>
      <c r="H1526" s="20">
        <v>0</v>
      </c>
      <c r="I1526" s="20">
        <v>1.95</v>
      </c>
      <c r="J1526" s="16">
        <f>OR(F1526&lt;&gt;0,G1526&lt;&gt;0,H1526&lt;&gt;0,I1526&lt;&gt;0)*(F1526 + (F1526 = 0))*(G1526 + (G1526 = 0))*(H1526 + (H1526 = 0))*(I1526 + (I1526 = 0))</f>
        <v>11.212999999999999</v>
      </c>
      <c r="K1526" s="9"/>
      <c r="L1526" s="9"/>
      <c r="M1526" s="9"/>
    </row>
    <row r="1527" spans="1:13">
      <c r="A1527" s="9"/>
      <c r="B1527" s="9"/>
      <c r="C1527" s="10" t="s">
        <v>27</v>
      </c>
      <c r="D1527" s="30"/>
      <c r="E1527" s="10" t="s">
        <v>17</v>
      </c>
      <c r="F1527" s="19">
        <v>1</v>
      </c>
      <c r="G1527" s="20">
        <v>6.5</v>
      </c>
      <c r="H1527" s="20">
        <v>0</v>
      </c>
      <c r="I1527" s="20">
        <v>2.7</v>
      </c>
      <c r="J1527" s="16">
        <f>OR(F1527&lt;&gt;0,G1527&lt;&gt;0,H1527&lt;&gt;0,I1527&lt;&gt;0)*(F1527 + (F1527 = 0))*(G1527 + (G1527 = 0))*(H1527 + (H1527 = 0))*(I1527 + (I1527 = 0))</f>
        <v>17.55</v>
      </c>
      <c r="K1527" s="9"/>
      <c r="L1527" s="9"/>
      <c r="M1527" s="9"/>
    </row>
    <row r="1528" spans="1:13">
      <c r="A1528" s="9"/>
      <c r="B1528" s="9"/>
      <c r="C1528" s="10" t="s">
        <v>27</v>
      </c>
      <c r="D1528" s="30"/>
      <c r="E1528" s="10" t="s">
        <v>17</v>
      </c>
      <c r="F1528" s="19">
        <v>-1</v>
      </c>
      <c r="G1528" s="20">
        <v>2.0299999999999998</v>
      </c>
      <c r="H1528" s="20">
        <v>0</v>
      </c>
      <c r="I1528" s="20">
        <v>0</v>
      </c>
      <c r="J1528" s="16">
        <f>OR(F1528&lt;&gt;0,G1528&lt;&gt;0,H1528&lt;&gt;0,I1528&lt;&gt;0)*(F1528 + (F1528 = 0))*(G1528 + (G1528 = 0))*(H1528 + (H1528 = 0))*(I1528 + (I1528 = 0))</f>
        <v>-2.0299999999999998</v>
      </c>
      <c r="K1528" s="9"/>
      <c r="L1528" s="9"/>
      <c r="M1528" s="9"/>
    </row>
    <row r="1529" spans="1:13">
      <c r="A1529" s="9"/>
      <c r="B1529" s="9"/>
      <c r="C1529" s="10" t="s">
        <v>27</v>
      </c>
      <c r="D1529" s="30"/>
      <c r="E1529" s="10" t="s">
        <v>17</v>
      </c>
      <c r="F1529" s="19">
        <v>-1</v>
      </c>
      <c r="G1529" s="20">
        <v>5.99</v>
      </c>
      <c r="H1529" s="20">
        <v>0</v>
      </c>
      <c r="I1529" s="20">
        <v>0</v>
      </c>
      <c r="J1529" s="16">
        <f>OR(F1529&lt;&gt;0,G1529&lt;&gt;0,H1529&lt;&gt;0,I1529&lt;&gt;0)*(F1529 + (F1529 = 0))*(G1529 + (G1529 = 0))*(H1529 + (H1529 = 0))*(I1529 + (I1529 = 0))</f>
        <v>-5.99</v>
      </c>
      <c r="K1529" s="9"/>
      <c r="L1529" s="9"/>
      <c r="M1529" s="9"/>
    </row>
    <row r="1530" spans="1:13">
      <c r="A1530" s="9"/>
      <c r="B1530" s="9"/>
      <c r="C1530" s="10" t="s">
        <v>27</v>
      </c>
      <c r="D1530" s="30"/>
      <c r="E1530" s="10" t="s">
        <v>17</v>
      </c>
      <c r="F1530" s="19">
        <v>2</v>
      </c>
      <c r="G1530" s="20">
        <v>1.7</v>
      </c>
      <c r="H1530" s="20">
        <v>0</v>
      </c>
      <c r="I1530" s="20">
        <v>2.35</v>
      </c>
      <c r="J1530" s="16">
        <f>OR(F1530&lt;&gt;0,G1530&lt;&gt;0,H1530&lt;&gt;0,I1530&lt;&gt;0)*(F1530 + (F1530 = 0))*(G1530 + (G1530 = 0))*(H1530 + (H1530 = 0))*(I1530 + (I1530 = 0))</f>
        <v>7.99</v>
      </c>
      <c r="K1530" s="9"/>
      <c r="L1530" s="9"/>
      <c r="M1530" s="9"/>
    </row>
    <row r="1531" spans="1:13">
      <c r="A1531" s="9"/>
      <c r="B1531" s="9"/>
      <c r="C1531" s="9"/>
      <c r="D1531" s="30"/>
      <c r="E1531" s="9"/>
      <c r="F1531" s="9"/>
      <c r="G1531" s="9"/>
      <c r="H1531" s="9"/>
      <c r="I1531" s="9"/>
      <c r="J1531" s="21" t="s">
        <v>1266</v>
      </c>
      <c r="K1531" s="22">
        <f>SUM(J1514:J1530)</f>
        <v>181.57300000000001</v>
      </c>
      <c r="L1531" s="23">
        <v>0</v>
      </c>
      <c r="M1531" s="24">
        <f>ROUND(K1531*L1531,2)</f>
        <v>0</v>
      </c>
    </row>
    <row r="1532" spans="1:13" ht="0.95" customHeight="1">
      <c r="A1532" s="25"/>
      <c r="B1532" s="25"/>
      <c r="C1532" s="25"/>
      <c r="D1532" s="31"/>
      <c r="E1532" s="25"/>
      <c r="F1532" s="25"/>
      <c r="G1532" s="25"/>
      <c r="H1532" s="25"/>
      <c r="I1532" s="25"/>
      <c r="J1532" s="25"/>
      <c r="K1532" s="25"/>
      <c r="L1532" s="25"/>
      <c r="M1532" s="25"/>
    </row>
    <row r="1533" spans="1:13" ht="33.75">
      <c r="A1533" s="15" t="s">
        <v>1267</v>
      </c>
      <c r="B1533" s="10" t="s">
        <v>23</v>
      </c>
      <c r="C1533" s="10" t="s">
        <v>94</v>
      </c>
      <c r="D1533" s="18" t="s">
        <v>1262</v>
      </c>
      <c r="E1533" s="9"/>
      <c r="F1533" s="9"/>
      <c r="G1533" s="9"/>
      <c r="H1533" s="9"/>
      <c r="I1533" s="9"/>
      <c r="J1533" s="9"/>
      <c r="K1533" s="16">
        <f>K1550</f>
        <v>117.60899999999999</v>
      </c>
      <c r="L1533" s="17">
        <f>L1550</f>
        <v>0</v>
      </c>
      <c r="M1533" s="17">
        <f>M1550</f>
        <v>0</v>
      </c>
    </row>
    <row r="1534" spans="1:13">
      <c r="A1534" s="9"/>
      <c r="B1534" s="9"/>
      <c r="C1534" s="9"/>
      <c r="D1534" s="18" t="s">
        <v>1268</v>
      </c>
      <c r="E1534" s="9"/>
      <c r="F1534" s="9"/>
      <c r="G1534" s="9"/>
      <c r="H1534" s="9"/>
      <c r="I1534" s="9"/>
      <c r="J1534" s="9"/>
      <c r="K1534" s="9"/>
      <c r="L1534" s="9"/>
      <c r="M1534" s="9"/>
    </row>
    <row r="1535" spans="1:13">
      <c r="A1535" s="9"/>
      <c r="B1535" s="9"/>
      <c r="C1535" s="10" t="s">
        <v>27</v>
      </c>
      <c r="D1535" s="30"/>
      <c r="E1535" s="10" t="s">
        <v>1096</v>
      </c>
      <c r="F1535" s="19">
        <v>1</v>
      </c>
      <c r="G1535" s="20">
        <v>7.62</v>
      </c>
      <c r="H1535" s="20">
        <v>0</v>
      </c>
      <c r="I1535" s="20">
        <v>0</v>
      </c>
      <c r="J1535" s="16">
        <f>OR(F1535&lt;&gt;0,G1535&lt;&gt;0,H1535&lt;&gt;0,I1535&lt;&gt;0)*(F1535 + (F1535 = 0))*(G1535 + (G1535 = 0))*(H1535 + (H1535 = 0))*(I1535 + (I1535 = 0))</f>
        <v>7.62</v>
      </c>
      <c r="K1535" s="9"/>
      <c r="L1535" s="9"/>
      <c r="M1535" s="9"/>
    </row>
    <row r="1536" spans="1:13">
      <c r="A1536" s="9"/>
      <c r="B1536" s="9"/>
      <c r="C1536" s="10" t="s">
        <v>27</v>
      </c>
      <c r="D1536" s="30"/>
      <c r="E1536" s="10" t="s">
        <v>1097</v>
      </c>
      <c r="F1536" s="19"/>
      <c r="G1536" s="20"/>
      <c r="H1536" s="20"/>
      <c r="I1536" s="20"/>
      <c r="J1536" s="16">
        <f>OR(F1536&lt;&gt;0,G1536&lt;&gt;0,H1536&lt;&gt;0,I1536&lt;&gt;0)*(F1536 + (F1536 = 0))*(G1536 + (G1536 = 0))*(H1536 + (H1536 = 0))*(I1536 + (I1536 = 0))</f>
        <v>0</v>
      </c>
      <c r="K1536" s="9"/>
      <c r="L1536" s="9"/>
      <c r="M1536" s="9"/>
    </row>
    <row r="1537" spans="1:13">
      <c r="A1537" s="9"/>
      <c r="B1537" s="9"/>
      <c r="C1537" s="10" t="s">
        <v>27</v>
      </c>
      <c r="D1537" s="30"/>
      <c r="E1537" s="10" t="s">
        <v>1101</v>
      </c>
      <c r="F1537" s="19"/>
      <c r="G1537" s="20"/>
      <c r="H1537" s="20"/>
      <c r="I1537" s="20"/>
      <c r="J1537" s="16">
        <f>OR(F1537&lt;&gt;0,G1537&lt;&gt;0,H1537&lt;&gt;0,I1537&lt;&gt;0)*(F1537 + (F1537 = 0))*(G1537 + (G1537 = 0))*(H1537 + (H1537 = 0))*(I1537 + (I1537 = 0))</f>
        <v>0</v>
      </c>
      <c r="K1537" s="9"/>
      <c r="L1537" s="9"/>
      <c r="M1537" s="9"/>
    </row>
    <row r="1538" spans="1:13">
      <c r="A1538" s="9"/>
      <c r="B1538" s="9"/>
      <c r="C1538" s="10" t="s">
        <v>27</v>
      </c>
      <c r="D1538" s="30"/>
      <c r="E1538" s="10" t="s">
        <v>627</v>
      </c>
      <c r="F1538" s="19">
        <v>1</v>
      </c>
      <c r="G1538" s="20">
        <v>2.77</v>
      </c>
      <c r="H1538" s="20">
        <v>0</v>
      </c>
      <c r="I1538" s="20">
        <v>0</v>
      </c>
      <c r="J1538" s="16">
        <f>OR(F1538&lt;&gt;0,G1538&lt;&gt;0,H1538&lt;&gt;0,I1538&lt;&gt;0)*(F1538 + (F1538 = 0))*(G1538 + (G1538 = 0))*(H1538 + (H1538 = 0))*(I1538 + (I1538 = 0))</f>
        <v>2.77</v>
      </c>
      <c r="K1538" s="9"/>
      <c r="L1538" s="9"/>
      <c r="M1538" s="9"/>
    </row>
    <row r="1539" spans="1:13">
      <c r="A1539" s="9"/>
      <c r="B1539" s="9"/>
      <c r="C1539" s="10" t="s">
        <v>27</v>
      </c>
      <c r="D1539" s="30"/>
      <c r="E1539" s="10" t="s">
        <v>628</v>
      </c>
      <c r="F1539" s="19">
        <v>1</v>
      </c>
      <c r="G1539" s="20">
        <v>3.27</v>
      </c>
      <c r="H1539" s="20">
        <v>0</v>
      </c>
      <c r="I1539" s="20">
        <v>0</v>
      </c>
      <c r="J1539" s="16">
        <f>OR(F1539&lt;&gt;0,G1539&lt;&gt;0,H1539&lt;&gt;0,I1539&lt;&gt;0)*(F1539 + (F1539 = 0))*(G1539 + (G1539 = 0))*(H1539 + (H1539 = 0))*(I1539 + (I1539 = 0))</f>
        <v>3.27</v>
      </c>
      <c r="K1539" s="9"/>
      <c r="L1539" s="9"/>
      <c r="M1539" s="9"/>
    </row>
    <row r="1540" spans="1:13">
      <c r="A1540" s="9"/>
      <c r="B1540" s="9"/>
      <c r="C1540" s="10" t="s">
        <v>27</v>
      </c>
      <c r="D1540" s="30"/>
      <c r="E1540" s="10" t="s">
        <v>624</v>
      </c>
      <c r="F1540" s="19">
        <v>1</v>
      </c>
      <c r="G1540" s="20">
        <v>13.5</v>
      </c>
      <c r="H1540" s="20">
        <v>0</v>
      </c>
      <c r="I1540" s="20">
        <v>0</v>
      </c>
      <c r="J1540" s="16">
        <f>OR(F1540&lt;&gt;0,G1540&lt;&gt;0,H1540&lt;&gt;0,I1540&lt;&gt;0)*(F1540 + (F1540 = 0))*(G1540 + (G1540 = 0))*(H1540 + (H1540 = 0))*(I1540 + (I1540 = 0))</f>
        <v>13.5</v>
      </c>
      <c r="K1540" s="9"/>
      <c r="L1540" s="9"/>
      <c r="M1540" s="9"/>
    </row>
    <row r="1541" spans="1:13">
      <c r="A1541" s="9"/>
      <c r="B1541" s="9"/>
      <c r="C1541" s="10" t="s">
        <v>27</v>
      </c>
      <c r="D1541" s="30"/>
      <c r="E1541" s="10" t="s">
        <v>1109</v>
      </c>
      <c r="F1541" s="19"/>
      <c r="G1541" s="20"/>
      <c r="H1541" s="20"/>
      <c r="I1541" s="20"/>
      <c r="J1541" s="16">
        <f>OR(F1541&lt;&gt;0,G1541&lt;&gt;0,H1541&lt;&gt;0,I1541&lt;&gt;0)*(F1541 + (F1541 = 0))*(G1541 + (G1541 = 0))*(H1541 + (H1541 = 0))*(I1541 + (I1541 = 0))</f>
        <v>0</v>
      </c>
      <c r="K1541" s="9"/>
      <c r="L1541" s="9"/>
      <c r="M1541" s="9"/>
    </row>
    <row r="1542" spans="1:13">
      <c r="A1542" s="9"/>
      <c r="B1542" s="9"/>
      <c r="C1542" s="10" t="s">
        <v>27</v>
      </c>
      <c r="D1542" s="30"/>
      <c r="E1542" s="10" t="s">
        <v>1110</v>
      </c>
      <c r="F1542" s="19">
        <v>1</v>
      </c>
      <c r="G1542" s="20">
        <v>6.5</v>
      </c>
      <c r="H1542" s="20">
        <v>4.3</v>
      </c>
      <c r="I1542" s="20">
        <v>0</v>
      </c>
      <c r="J1542" s="16">
        <f>OR(F1542&lt;&gt;0,G1542&lt;&gt;0,H1542&lt;&gt;0,I1542&lt;&gt;0)*(F1542 + (F1542 = 0))*(G1542 + (G1542 = 0))*(H1542 + (H1542 = 0))*(I1542 + (I1542 = 0))</f>
        <v>27.95</v>
      </c>
      <c r="K1542" s="9"/>
      <c r="L1542" s="9"/>
      <c r="M1542" s="9"/>
    </row>
    <row r="1543" spans="1:13">
      <c r="A1543" s="9"/>
      <c r="B1543" s="9"/>
      <c r="C1543" s="10" t="s">
        <v>27</v>
      </c>
      <c r="D1543" s="30"/>
      <c r="E1543" s="10" t="s">
        <v>17</v>
      </c>
      <c r="F1543" s="19">
        <v>1</v>
      </c>
      <c r="G1543" s="20">
        <v>6.5</v>
      </c>
      <c r="H1543" s="20">
        <v>6.25</v>
      </c>
      <c r="I1543" s="20">
        <v>0</v>
      </c>
      <c r="J1543" s="16">
        <f>OR(F1543&lt;&gt;0,G1543&lt;&gt;0,H1543&lt;&gt;0,I1543&lt;&gt;0)*(F1543 + (F1543 = 0))*(G1543 + (G1543 = 0))*(H1543 + (H1543 = 0))*(I1543 + (I1543 = 0))</f>
        <v>40.625</v>
      </c>
      <c r="K1543" s="9"/>
      <c r="L1543" s="9"/>
      <c r="M1543" s="9"/>
    </row>
    <row r="1544" spans="1:13">
      <c r="A1544" s="9"/>
      <c r="B1544" s="9"/>
      <c r="C1544" s="10" t="s">
        <v>27</v>
      </c>
      <c r="D1544" s="30"/>
      <c r="E1544" s="10" t="s">
        <v>17</v>
      </c>
      <c r="F1544" s="19">
        <v>1</v>
      </c>
      <c r="G1544" s="20">
        <v>5.6</v>
      </c>
      <c r="H1544" s="20">
        <v>4.1500000000000004</v>
      </c>
      <c r="I1544" s="20">
        <v>0</v>
      </c>
      <c r="J1544" s="16">
        <f>OR(F1544&lt;&gt;0,G1544&lt;&gt;0,H1544&lt;&gt;0,I1544&lt;&gt;0)*(F1544 + (F1544 = 0))*(G1544 + (G1544 = 0))*(H1544 + (H1544 = 0))*(I1544 + (I1544 = 0))</f>
        <v>23.24</v>
      </c>
      <c r="K1544" s="9"/>
      <c r="L1544" s="9"/>
      <c r="M1544" s="9"/>
    </row>
    <row r="1545" spans="1:13">
      <c r="A1545" s="9"/>
      <c r="B1545" s="9"/>
      <c r="C1545" s="10" t="s">
        <v>27</v>
      </c>
      <c r="D1545" s="30"/>
      <c r="E1545" s="10" t="s">
        <v>17</v>
      </c>
      <c r="F1545" s="19">
        <v>-1</v>
      </c>
      <c r="G1545" s="20">
        <v>1.75</v>
      </c>
      <c r="H1545" s="20">
        <v>2.4500000000000002</v>
      </c>
      <c r="I1545" s="20">
        <v>0</v>
      </c>
      <c r="J1545" s="16">
        <f>OR(F1545&lt;&gt;0,G1545&lt;&gt;0,H1545&lt;&gt;0,I1545&lt;&gt;0)*(F1545 + (F1545 = 0))*(G1545 + (G1545 = 0))*(H1545 + (H1545 = 0))*(I1545 + (I1545 = 0))</f>
        <v>-4.2880000000000003</v>
      </c>
      <c r="K1545" s="9"/>
      <c r="L1545" s="9"/>
      <c r="M1545" s="9"/>
    </row>
    <row r="1546" spans="1:13">
      <c r="A1546" s="9"/>
      <c r="B1546" s="9"/>
      <c r="C1546" s="10" t="s">
        <v>27</v>
      </c>
      <c r="D1546" s="30"/>
      <c r="E1546" s="10" t="s">
        <v>17</v>
      </c>
      <c r="F1546" s="19">
        <v>-1</v>
      </c>
      <c r="G1546" s="20">
        <v>2.5499999999999998</v>
      </c>
      <c r="H1546" s="20">
        <v>2.4500000000000002</v>
      </c>
      <c r="I1546" s="20">
        <v>0</v>
      </c>
      <c r="J1546" s="16">
        <f>OR(F1546&lt;&gt;0,G1546&lt;&gt;0,H1546&lt;&gt;0,I1546&lt;&gt;0)*(F1546 + (F1546 = 0))*(G1546 + (G1546 = 0))*(H1546 + (H1546 = 0))*(I1546 + (I1546 = 0))</f>
        <v>-6.2480000000000002</v>
      </c>
      <c r="K1546" s="9"/>
      <c r="L1546" s="9"/>
      <c r="M1546" s="9"/>
    </row>
    <row r="1547" spans="1:13">
      <c r="A1547" s="9"/>
      <c r="B1547" s="9"/>
      <c r="C1547" s="10" t="s">
        <v>27</v>
      </c>
      <c r="D1547" s="30"/>
      <c r="E1547" s="10" t="s">
        <v>1269</v>
      </c>
      <c r="F1547" s="19">
        <v>1</v>
      </c>
      <c r="G1547" s="20">
        <v>21.9</v>
      </c>
      <c r="H1547" s="20">
        <v>0.2</v>
      </c>
      <c r="I1547" s="20">
        <v>0</v>
      </c>
      <c r="J1547" s="16">
        <f>OR(F1547&lt;&gt;0,G1547&lt;&gt;0,H1547&lt;&gt;0,I1547&lt;&gt;0)*(F1547 + (F1547 = 0))*(G1547 + (G1547 = 0))*(H1547 + (H1547 = 0))*(I1547 + (I1547 = 0))</f>
        <v>4.38</v>
      </c>
      <c r="K1547" s="9"/>
      <c r="L1547" s="9"/>
      <c r="M1547" s="9"/>
    </row>
    <row r="1548" spans="1:13">
      <c r="A1548" s="9"/>
      <c r="B1548" s="9"/>
      <c r="C1548" s="10" t="s">
        <v>27</v>
      </c>
      <c r="D1548" s="30"/>
      <c r="E1548" s="10" t="s">
        <v>1243</v>
      </c>
      <c r="F1548" s="19">
        <v>1</v>
      </c>
      <c r="G1548" s="20">
        <v>2.0099999999999998</v>
      </c>
      <c r="H1548" s="20">
        <v>0</v>
      </c>
      <c r="I1548" s="20">
        <v>0</v>
      </c>
      <c r="J1548" s="16">
        <f>OR(F1548&lt;&gt;0,G1548&lt;&gt;0,H1548&lt;&gt;0,I1548&lt;&gt;0)*(F1548 + (F1548 = 0))*(G1548 + (G1548 = 0))*(H1548 + (H1548 = 0))*(I1548 + (I1548 = 0))</f>
        <v>2.0099999999999998</v>
      </c>
      <c r="K1548" s="9"/>
      <c r="L1548" s="9"/>
      <c r="M1548" s="9"/>
    </row>
    <row r="1549" spans="1:13">
      <c r="A1549" s="9"/>
      <c r="B1549" s="9"/>
      <c r="C1549" s="10" t="s">
        <v>27</v>
      </c>
      <c r="D1549" s="30"/>
      <c r="E1549" s="10" t="s">
        <v>1270</v>
      </c>
      <c r="F1549" s="19">
        <v>1</v>
      </c>
      <c r="G1549" s="20">
        <v>2.78</v>
      </c>
      <c r="H1549" s="20">
        <v>0</v>
      </c>
      <c r="I1549" s="20">
        <v>0</v>
      </c>
      <c r="J1549" s="16">
        <f>OR(F1549&lt;&gt;0,G1549&lt;&gt;0,H1549&lt;&gt;0,I1549&lt;&gt;0)*(F1549 + (F1549 = 0))*(G1549 + (G1549 = 0))*(H1549 + (H1549 = 0))*(I1549 + (I1549 = 0))</f>
        <v>2.78</v>
      </c>
      <c r="K1549" s="9"/>
      <c r="L1549" s="9"/>
      <c r="M1549" s="9"/>
    </row>
    <row r="1550" spans="1:13">
      <c r="A1550" s="9"/>
      <c r="B1550" s="9"/>
      <c r="C1550" s="9"/>
      <c r="D1550" s="30"/>
      <c r="E1550" s="9"/>
      <c r="F1550" s="9"/>
      <c r="G1550" s="9"/>
      <c r="H1550" s="9"/>
      <c r="I1550" s="9"/>
      <c r="J1550" s="21" t="s">
        <v>1271</v>
      </c>
      <c r="K1550" s="22">
        <f>SUM(J1535:J1549)</f>
        <v>117.60899999999999</v>
      </c>
      <c r="L1550" s="23">
        <v>0</v>
      </c>
      <c r="M1550" s="24">
        <f>ROUND(K1550*L1550,2)</f>
        <v>0</v>
      </c>
    </row>
    <row r="1551" spans="1:13" ht="0.95" customHeight="1">
      <c r="A1551" s="25"/>
      <c r="B1551" s="25"/>
      <c r="C1551" s="25"/>
      <c r="D1551" s="31"/>
      <c r="E1551" s="25"/>
      <c r="F1551" s="25"/>
      <c r="G1551" s="25"/>
      <c r="H1551" s="25"/>
      <c r="I1551" s="25"/>
      <c r="J1551" s="25"/>
      <c r="K1551" s="25"/>
      <c r="L1551" s="25"/>
      <c r="M1551" s="25"/>
    </row>
    <row r="1552" spans="1:13">
      <c r="A1552" s="9"/>
      <c r="B1552" s="9"/>
      <c r="C1552" s="9"/>
      <c r="D1552" s="30"/>
      <c r="E1552" s="9"/>
      <c r="F1552" s="9"/>
      <c r="G1552" s="9"/>
      <c r="H1552" s="9"/>
      <c r="I1552" s="9"/>
      <c r="J1552" s="21" t="s">
        <v>1272</v>
      </c>
      <c r="K1552" s="20">
        <v>1</v>
      </c>
      <c r="L1552" s="24">
        <f>M1498+M1512+M1533</f>
        <v>0</v>
      </c>
      <c r="M1552" s="24">
        <f>ROUND(K1552*L1552,2)</f>
        <v>0</v>
      </c>
    </row>
    <row r="1553" spans="1:13" ht="0.95" customHeight="1">
      <c r="A1553" s="25"/>
      <c r="B1553" s="25"/>
      <c r="C1553" s="25"/>
      <c r="D1553" s="31"/>
      <c r="E1553" s="25"/>
      <c r="F1553" s="25"/>
      <c r="G1553" s="25"/>
      <c r="H1553" s="25"/>
      <c r="I1553" s="25"/>
      <c r="J1553" s="25"/>
      <c r="K1553" s="25"/>
      <c r="L1553" s="25"/>
      <c r="M1553" s="25"/>
    </row>
    <row r="1554" spans="1:13">
      <c r="A1554" s="11" t="s">
        <v>1273</v>
      </c>
      <c r="B1554" s="11" t="s">
        <v>16</v>
      </c>
      <c r="C1554" s="11" t="s">
        <v>17</v>
      </c>
      <c r="D1554" s="29" t="s">
        <v>1274</v>
      </c>
      <c r="E1554" s="12"/>
      <c r="F1554" s="12"/>
      <c r="G1554" s="12"/>
      <c r="H1554" s="12"/>
      <c r="I1554" s="12"/>
      <c r="J1554" s="12"/>
      <c r="K1554" s="13">
        <f>K1569</f>
        <v>1</v>
      </c>
      <c r="L1554" s="14">
        <f>L1569</f>
        <v>0</v>
      </c>
      <c r="M1554" s="14">
        <f>M1569</f>
        <v>0</v>
      </c>
    </row>
    <row r="1555" spans="1:13">
      <c r="A1555" s="9"/>
      <c r="B1555" s="9"/>
      <c r="C1555" s="9"/>
      <c r="D1555" s="18" t="s">
        <v>1274</v>
      </c>
      <c r="E1555" s="9"/>
      <c r="F1555" s="9"/>
      <c r="G1555" s="9"/>
      <c r="H1555" s="9"/>
      <c r="I1555" s="9"/>
      <c r="J1555" s="9"/>
      <c r="K1555" s="9"/>
      <c r="L1555" s="9"/>
      <c r="M1555" s="9"/>
    </row>
    <row r="1556" spans="1:13" ht="22.5">
      <c r="A1556" s="15" t="s">
        <v>1275</v>
      </c>
      <c r="B1556" s="10" t="s">
        <v>23</v>
      </c>
      <c r="C1556" s="10" t="s">
        <v>94</v>
      </c>
      <c r="D1556" s="18" t="s">
        <v>1276</v>
      </c>
      <c r="E1556" s="9"/>
      <c r="F1556" s="9"/>
      <c r="G1556" s="9"/>
      <c r="H1556" s="9"/>
      <c r="I1556" s="9"/>
      <c r="J1556" s="9"/>
      <c r="K1556" s="16">
        <f>K1567</f>
        <v>178.84</v>
      </c>
      <c r="L1556" s="17">
        <f>L1567</f>
        <v>0</v>
      </c>
      <c r="M1556" s="17">
        <f>M1567</f>
        <v>0</v>
      </c>
    </row>
    <row r="1557" spans="1:13">
      <c r="A1557" s="9"/>
      <c r="B1557" s="9"/>
      <c r="C1557" s="9"/>
      <c r="D1557" s="18" t="s">
        <v>1277</v>
      </c>
      <c r="E1557" s="9"/>
      <c r="F1557" s="9"/>
      <c r="G1557" s="9"/>
      <c r="H1557" s="9"/>
      <c r="I1557" s="9"/>
      <c r="J1557" s="9"/>
      <c r="K1557" s="9"/>
      <c r="L1557" s="9"/>
      <c r="M1557" s="9"/>
    </row>
    <row r="1558" spans="1:13">
      <c r="A1558" s="9"/>
      <c r="B1558" s="9"/>
      <c r="C1558" s="10" t="s">
        <v>27</v>
      </c>
      <c r="D1558" s="30"/>
      <c r="E1558" s="10" t="s">
        <v>693</v>
      </c>
      <c r="F1558" s="19"/>
      <c r="G1558" s="20"/>
      <c r="H1558" s="20"/>
      <c r="I1558" s="20"/>
      <c r="J1558" s="16">
        <f>OR(F1558&lt;&gt;0,G1558&lt;&gt;0,H1558&lt;&gt;0,I1558&lt;&gt;0)*(F1558 + (F1558 = 0))*(G1558 + (G1558 = 0))*(H1558 + (H1558 = 0))*(I1558 + (I1558 = 0))</f>
        <v>0</v>
      </c>
      <c r="K1558" s="9"/>
      <c r="L1558" s="9"/>
      <c r="M1558" s="9"/>
    </row>
    <row r="1559" spans="1:13">
      <c r="A1559" s="9"/>
      <c r="B1559" s="9"/>
      <c r="C1559" s="10" t="s">
        <v>27</v>
      </c>
      <c r="D1559" s="30"/>
      <c r="E1559" s="10" t="s">
        <v>694</v>
      </c>
      <c r="F1559" s="19">
        <v>1</v>
      </c>
      <c r="G1559" s="20">
        <v>78.099999999999994</v>
      </c>
      <c r="H1559" s="20">
        <v>0</v>
      </c>
      <c r="I1559" s="20">
        <v>0</v>
      </c>
      <c r="J1559" s="16">
        <f>OR(F1559&lt;&gt;0,G1559&lt;&gt;0,H1559&lt;&gt;0,I1559&lt;&gt;0)*(F1559 + (F1559 = 0))*(G1559 + (G1559 = 0))*(H1559 + (H1559 = 0))*(I1559 + (I1559 = 0))</f>
        <v>78.099999999999994</v>
      </c>
      <c r="K1559" s="9"/>
      <c r="L1559" s="9"/>
      <c r="M1559" s="9"/>
    </row>
    <row r="1560" spans="1:13">
      <c r="A1560" s="9"/>
      <c r="B1560" s="9"/>
      <c r="C1560" s="10" t="s">
        <v>27</v>
      </c>
      <c r="D1560" s="30"/>
      <c r="E1560" s="10" t="s">
        <v>17</v>
      </c>
      <c r="F1560" s="19">
        <v>1</v>
      </c>
      <c r="G1560" s="20">
        <v>1.2</v>
      </c>
      <c r="H1560" s="20">
        <v>0</v>
      </c>
      <c r="I1560" s="20">
        <v>2.85</v>
      </c>
      <c r="J1560" s="16">
        <f>OR(F1560&lt;&gt;0,G1560&lt;&gt;0,H1560&lt;&gt;0,I1560&lt;&gt;0)*(F1560 + (F1560 = 0))*(G1560 + (G1560 = 0))*(H1560 + (H1560 = 0))*(I1560 + (I1560 = 0))</f>
        <v>3.42</v>
      </c>
      <c r="K1560" s="9"/>
      <c r="L1560" s="9"/>
      <c r="M1560" s="9"/>
    </row>
    <row r="1561" spans="1:13">
      <c r="A1561" s="9"/>
      <c r="B1561" s="9"/>
      <c r="C1561" s="10" t="s">
        <v>27</v>
      </c>
      <c r="D1561" s="30"/>
      <c r="E1561" s="10" t="s">
        <v>17</v>
      </c>
      <c r="F1561" s="19">
        <v>-1</v>
      </c>
      <c r="G1561" s="20">
        <v>15.13</v>
      </c>
      <c r="H1561" s="20">
        <v>0</v>
      </c>
      <c r="I1561" s="20">
        <v>0</v>
      </c>
      <c r="J1561" s="16">
        <f>OR(F1561&lt;&gt;0,G1561&lt;&gt;0,H1561&lt;&gt;0,I1561&lt;&gt;0)*(F1561 + (F1561 = 0))*(G1561 + (G1561 = 0))*(H1561 + (H1561 = 0))*(I1561 + (I1561 = 0))</f>
        <v>-15.13</v>
      </c>
      <c r="K1561" s="9"/>
      <c r="L1561" s="9"/>
      <c r="M1561" s="9"/>
    </row>
    <row r="1562" spans="1:13">
      <c r="A1562" s="9"/>
      <c r="B1562" s="9"/>
      <c r="C1562" s="10" t="s">
        <v>27</v>
      </c>
      <c r="D1562" s="30"/>
      <c r="E1562" s="10" t="s">
        <v>695</v>
      </c>
      <c r="F1562" s="19">
        <v>1</v>
      </c>
      <c r="G1562" s="20">
        <v>91.4</v>
      </c>
      <c r="H1562" s="20">
        <v>0</v>
      </c>
      <c r="I1562" s="20">
        <v>0</v>
      </c>
      <c r="J1562" s="16">
        <f>OR(F1562&lt;&gt;0,G1562&lt;&gt;0,H1562&lt;&gt;0,I1562&lt;&gt;0)*(F1562 + (F1562 = 0))*(G1562 + (G1562 = 0))*(H1562 + (H1562 = 0))*(I1562 + (I1562 = 0))</f>
        <v>91.4</v>
      </c>
      <c r="K1562" s="9"/>
      <c r="L1562" s="9"/>
      <c r="M1562" s="9"/>
    </row>
    <row r="1563" spans="1:13">
      <c r="A1563" s="9"/>
      <c r="B1563" s="9"/>
      <c r="C1563" s="10" t="s">
        <v>27</v>
      </c>
      <c r="D1563" s="30"/>
      <c r="E1563" s="10" t="s">
        <v>17</v>
      </c>
      <c r="F1563" s="19">
        <v>-1</v>
      </c>
      <c r="G1563" s="20">
        <v>13.43</v>
      </c>
      <c r="H1563" s="20">
        <v>0</v>
      </c>
      <c r="I1563" s="20">
        <v>0</v>
      </c>
      <c r="J1563" s="16">
        <f>OR(F1563&lt;&gt;0,G1563&lt;&gt;0,H1563&lt;&gt;0,I1563&lt;&gt;0)*(F1563 + (F1563 = 0))*(G1563 + (G1563 = 0))*(H1563 + (H1563 = 0))*(I1563 + (I1563 = 0))</f>
        <v>-13.43</v>
      </c>
      <c r="K1563" s="9"/>
      <c r="L1563" s="9"/>
      <c r="M1563" s="9"/>
    </row>
    <row r="1564" spans="1:13">
      <c r="A1564" s="9"/>
      <c r="B1564" s="9"/>
      <c r="C1564" s="10" t="s">
        <v>27</v>
      </c>
      <c r="D1564" s="30"/>
      <c r="E1564" s="10" t="s">
        <v>696</v>
      </c>
      <c r="F1564" s="19">
        <v>1</v>
      </c>
      <c r="G1564" s="20">
        <v>25.44</v>
      </c>
      <c r="H1564" s="20">
        <v>0</v>
      </c>
      <c r="I1564" s="20">
        <v>0</v>
      </c>
      <c r="J1564" s="16">
        <f>OR(F1564&lt;&gt;0,G1564&lt;&gt;0,H1564&lt;&gt;0,I1564&lt;&gt;0)*(F1564 + (F1564 = 0))*(G1564 + (G1564 = 0))*(H1564 + (H1564 = 0))*(I1564 + (I1564 = 0))</f>
        <v>25.44</v>
      </c>
      <c r="K1564" s="9"/>
      <c r="L1564" s="9"/>
      <c r="M1564" s="9"/>
    </row>
    <row r="1565" spans="1:13">
      <c r="A1565" s="9"/>
      <c r="B1565" s="9"/>
      <c r="C1565" s="10" t="s">
        <v>27</v>
      </c>
      <c r="D1565" s="30"/>
      <c r="E1565" s="10" t="s">
        <v>17</v>
      </c>
      <c r="F1565" s="19">
        <v>-1</v>
      </c>
      <c r="G1565" s="20">
        <v>1.86</v>
      </c>
      <c r="H1565" s="20">
        <v>0</v>
      </c>
      <c r="I1565" s="20">
        <v>0</v>
      </c>
      <c r="J1565" s="16">
        <f>OR(F1565&lt;&gt;0,G1565&lt;&gt;0,H1565&lt;&gt;0,I1565&lt;&gt;0)*(F1565 + (F1565 = 0))*(G1565 + (G1565 = 0))*(H1565 + (H1565 = 0))*(I1565 + (I1565 = 0))</f>
        <v>-1.86</v>
      </c>
      <c r="K1565" s="9"/>
      <c r="L1565" s="9"/>
      <c r="M1565" s="9"/>
    </row>
    <row r="1566" spans="1:13">
      <c r="A1566" s="9"/>
      <c r="B1566" s="9"/>
      <c r="C1566" s="10" t="s">
        <v>27</v>
      </c>
      <c r="D1566" s="30"/>
      <c r="E1566" s="10" t="s">
        <v>697</v>
      </c>
      <c r="F1566" s="19">
        <v>1</v>
      </c>
      <c r="G1566" s="20">
        <v>10.9</v>
      </c>
      <c r="H1566" s="20">
        <v>0</v>
      </c>
      <c r="I1566" s="20">
        <v>0</v>
      </c>
      <c r="J1566" s="16">
        <f>OR(F1566&lt;&gt;0,G1566&lt;&gt;0,H1566&lt;&gt;0,I1566&lt;&gt;0)*(F1566 + (F1566 = 0))*(G1566 + (G1566 = 0))*(H1566 + (H1566 = 0))*(I1566 + (I1566 = 0))</f>
        <v>10.9</v>
      </c>
      <c r="K1566" s="9"/>
      <c r="L1566" s="9"/>
      <c r="M1566" s="9"/>
    </row>
    <row r="1567" spans="1:13">
      <c r="A1567" s="9"/>
      <c r="B1567" s="9"/>
      <c r="C1567" s="9"/>
      <c r="D1567" s="30"/>
      <c r="E1567" s="9"/>
      <c r="F1567" s="9"/>
      <c r="G1567" s="9"/>
      <c r="H1567" s="9"/>
      <c r="I1567" s="9"/>
      <c r="J1567" s="21" t="s">
        <v>1278</v>
      </c>
      <c r="K1567" s="22">
        <f>SUM(J1558:J1566)</f>
        <v>178.84</v>
      </c>
      <c r="L1567" s="23">
        <v>0</v>
      </c>
      <c r="M1567" s="24">
        <f>ROUND(K1567*L1567,2)</f>
        <v>0</v>
      </c>
    </row>
    <row r="1568" spans="1:13" ht="0.95" customHeight="1">
      <c r="A1568" s="25"/>
      <c r="B1568" s="25"/>
      <c r="C1568" s="25"/>
      <c r="D1568" s="31"/>
      <c r="E1568" s="25"/>
      <c r="F1568" s="25"/>
      <c r="G1568" s="25"/>
      <c r="H1568" s="25"/>
      <c r="I1568" s="25"/>
      <c r="J1568" s="25"/>
      <c r="K1568" s="25"/>
      <c r="L1568" s="25"/>
      <c r="M1568" s="25"/>
    </row>
    <row r="1569" spans="1:13">
      <c r="A1569" s="9"/>
      <c r="B1569" s="9"/>
      <c r="C1569" s="9"/>
      <c r="D1569" s="30"/>
      <c r="E1569" s="9"/>
      <c r="F1569" s="9"/>
      <c r="G1569" s="9"/>
      <c r="H1569" s="9"/>
      <c r="I1569" s="9"/>
      <c r="J1569" s="21" t="s">
        <v>1279</v>
      </c>
      <c r="K1569" s="20">
        <v>1</v>
      </c>
      <c r="L1569" s="24">
        <f>M1556</f>
        <v>0</v>
      </c>
      <c r="M1569" s="24">
        <f>ROUND(K1569*L1569,2)</f>
        <v>0</v>
      </c>
    </row>
    <row r="1570" spans="1:13" ht="0.95" customHeight="1">
      <c r="A1570" s="25"/>
      <c r="B1570" s="25"/>
      <c r="C1570" s="25"/>
      <c r="D1570" s="31"/>
      <c r="E1570" s="25"/>
      <c r="F1570" s="25"/>
      <c r="G1570" s="25"/>
      <c r="H1570" s="25"/>
      <c r="I1570" s="25"/>
      <c r="J1570" s="25"/>
      <c r="K1570" s="25"/>
      <c r="L1570" s="25"/>
      <c r="M1570" s="25"/>
    </row>
    <row r="1571" spans="1:13">
      <c r="A1571" s="11" t="s">
        <v>1280</v>
      </c>
      <c r="B1571" s="11" t="s">
        <v>16</v>
      </c>
      <c r="C1571" s="11" t="s">
        <v>17</v>
      </c>
      <c r="D1571" s="29" t="s">
        <v>1281</v>
      </c>
      <c r="E1571" s="12"/>
      <c r="F1571" s="12"/>
      <c r="G1571" s="12"/>
      <c r="H1571" s="12"/>
      <c r="I1571" s="12"/>
      <c r="J1571" s="12"/>
      <c r="K1571" s="13">
        <f>K1603</f>
        <v>1</v>
      </c>
      <c r="L1571" s="14">
        <f>L1603</f>
        <v>0</v>
      </c>
      <c r="M1571" s="14">
        <f>M1603</f>
        <v>0</v>
      </c>
    </row>
    <row r="1572" spans="1:13">
      <c r="A1572" s="15" t="s">
        <v>1282</v>
      </c>
      <c r="B1572" s="10" t="s">
        <v>23</v>
      </c>
      <c r="C1572" s="10" t="s">
        <v>94</v>
      </c>
      <c r="D1572" s="18" t="s">
        <v>1283</v>
      </c>
      <c r="E1572" s="9"/>
      <c r="F1572" s="9"/>
      <c r="G1572" s="9"/>
      <c r="H1572" s="9"/>
      <c r="I1572" s="9"/>
      <c r="J1572" s="9"/>
      <c r="K1572" s="16">
        <f>K1577</f>
        <v>69.5</v>
      </c>
      <c r="L1572" s="17">
        <f>L1577</f>
        <v>0</v>
      </c>
      <c r="M1572" s="17">
        <f>M1577</f>
        <v>0</v>
      </c>
    </row>
    <row r="1573" spans="1:13">
      <c r="A1573" s="9"/>
      <c r="B1573" s="9"/>
      <c r="C1573" s="9"/>
      <c r="D1573" s="18" t="s">
        <v>1284</v>
      </c>
      <c r="E1573" s="9"/>
      <c r="F1573" s="9"/>
      <c r="G1573" s="9"/>
      <c r="H1573" s="9"/>
      <c r="I1573" s="9"/>
      <c r="J1573" s="9"/>
      <c r="K1573" s="9"/>
      <c r="L1573" s="9"/>
      <c r="M1573" s="9"/>
    </row>
    <row r="1574" spans="1:13">
      <c r="A1574" s="9"/>
      <c r="B1574" s="9"/>
      <c r="C1574" s="10" t="s">
        <v>27</v>
      </c>
      <c r="D1574" s="30"/>
      <c r="E1574" s="10" t="s">
        <v>1285</v>
      </c>
      <c r="F1574" s="19"/>
      <c r="G1574" s="23"/>
      <c r="H1574" s="23"/>
      <c r="I1574" s="23"/>
      <c r="J1574" s="17">
        <f>OR(F1574&lt;&gt;0,G1574&lt;&gt;0,H1574&lt;&gt;0,I1574&lt;&gt;0)*(F1574 + (F1574 = 0))*(G1574 + (G1574 = 0))*(H1574 + (H1574 = 0))*(I1574 + (I1574 = 0))</f>
        <v>0</v>
      </c>
      <c r="K1574" s="9"/>
      <c r="L1574" s="9"/>
      <c r="M1574" s="9"/>
    </row>
    <row r="1575" spans="1:13">
      <c r="A1575" s="9"/>
      <c r="B1575" s="9"/>
      <c r="C1575" s="10" t="s">
        <v>27</v>
      </c>
      <c r="D1575" s="30"/>
      <c r="E1575" s="10" t="s">
        <v>228</v>
      </c>
      <c r="F1575" s="19"/>
      <c r="G1575" s="23"/>
      <c r="H1575" s="23"/>
      <c r="I1575" s="23"/>
      <c r="J1575" s="17">
        <f>OR(F1575&lt;&gt;0,G1575&lt;&gt;0,H1575&lt;&gt;0,I1575&lt;&gt;0)*(F1575 + (F1575 = 0))*(G1575 + (G1575 = 0))*(H1575 + (H1575 = 0))*(I1575 + (I1575 = 0))</f>
        <v>0</v>
      </c>
      <c r="K1575" s="9"/>
      <c r="L1575" s="9"/>
      <c r="M1575" s="9"/>
    </row>
    <row r="1576" spans="1:13">
      <c r="A1576" s="9"/>
      <c r="B1576" s="9"/>
      <c r="C1576" s="10" t="s">
        <v>27</v>
      </c>
      <c r="D1576" s="30"/>
      <c r="E1576" s="10" t="s">
        <v>17</v>
      </c>
      <c r="F1576" s="19">
        <v>1</v>
      </c>
      <c r="G1576" s="23">
        <v>69.5</v>
      </c>
      <c r="H1576" s="23">
        <v>0</v>
      </c>
      <c r="I1576" s="23">
        <v>0</v>
      </c>
      <c r="J1576" s="17">
        <f>OR(F1576&lt;&gt;0,G1576&lt;&gt;0,H1576&lt;&gt;0,I1576&lt;&gt;0)*(F1576 + (F1576 = 0))*(G1576 + (G1576 = 0))*(H1576 + (H1576 = 0))*(I1576 + (I1576 = 0))</f>
        <v>69.5</v>
      </c>
      <c r="K1576" s="9"/>
      <c r="L1576" s="9"/>
      <c r="M1576" s="9"/>
    </row>
    <row r="1577" spans="1:13">
      <c r="A1577" s="9"/>
      <c r="B1577" s="9"/>
      <c r="C1577" s="9"/>
      <c r="D1577" s="30"/>
      <c r="E1577" s="9"/>
      <c r="F1577" s="9"/>
      <c r="G1577" s="9"/>
      <c r="H1577" s="9"/>
      <c r="I1577" s="9"/>
      <c r="J1577" s="21" t="s">
        <v>1286</v>
      </c>
      <c r="K1577" s="22">
        <f>SUM(J1574:J1576)</f>
        <v>69.5</v>
      </c>
      <c r="L1577" s="23">
        <v>0</v>
      </c>
      <c r="M1577" s="24">
        <f>ROUND(K1577*L1577,2)</f>
        <v>0</v>
      </c>
    </row>
    <row r="1578" spans="1:13" ht="0.95" customHeight="1">
      <c r="A1578" s="25"/>
      <c r="B1578" s="25"/>
      <c r="C1578" s="25"/>
      <c r="D1578" s="31"/>
      <c r="E1578" s="25"/>
      <c r="F1578" s="25"/>
      <c r="G1578" s="25"/>
      <c r="H1578" s="25"/>
      <c r="I1578" s="25"/>
      <c r="J1578" s="25"/>
      <c r="K1578" s="25"/>
      <c r="L1578" s="25"/>
      <c r="M1578" s="25"/>
    </row>
    <row r="1579" spans="1:13" ht="22.5">
      <c r="A1579" s="15" t="s">
        <v>1287</v>
      </c>
      <c r="B1579" s="10" t="s">
        <v>23</v>
      </c>
      <c r="C1579" s="10" t="s">
        <v>204</v>
      </c>
      <c r="D1579" s="18" t="s">
        <v>1288</v>
      </c>
      <c r="E1579" s="9"/>
      <c r="F1579" s="9"/>
      <c r="G1579" s="9"/>
      <c r="H1579" s="9"/>
      <c r="I1579" s="9"/>
      <c r="J1579" s="9"/>
      <c r="K1579" s="16">
        <f>K1585</f>
        <v>93.21</v>
      </c>
      <c r="L1579" s="17">
        <f>L1585</f>
        <v>0</v>
      </c>
      <c r="M1579" s="17">
        <f>M1585</f>
        <v>0</v>
      </c>
    </row>
    <row r="1580" spans="1:13">
      <c r="A1580" s="9"/>
      <c r="B1580" s="9"/>
      <c r="C1580" s="9"/>
      <c r="D1580" s="18" t="s">
        <v>1289</v>
      </c>
      <c r="E1580" s="9"/>
      <c r="F1580" s="9"/>
      <c r="G1580" s="9"/>
      <c r="H1580" s="9"/>
      <c r="I1580" s="9"/>
      <c r="J1580" s="9"/>
      <c r="K1580" s="9"/>
      <c r="L1580" s="9"/>
      <c r="M1580" s="9"/>
    </row>
    <row r="1581" spans="1:13">
      <c r="A1581" s="9"/>
      <c r="B1581" s="9"/>
      <c r="C1581" s="10" t="s">
        <v>27</v>
      </c>
      <c r="D1581" s="30"/>
      <c r="E1581" s="10" t="s">
        <v>1290</v>
      </c>
      <c r="F1581" s="19"/>
      <c r="G1581" s="23"/>
      <c r="H1581" s="23"/>
      <c r="I1581" s="23"/>
      <c r="J1581" s="17">
        <f>OR(F1581&lt;&gt;0,G1581&lt;&gt;0,H1581&lt;&gt;0,I1581&lt;&gt;0)*(F1581 + (F1581 = 0))*(G1581 + (G1581 = 0))*(H1581 + (H1581 = 0))*(I1581 + (I1581 = 0))</f>
        <v>0</v>
      </c>
      <c r="K1581" s="9"/>
      <c r="L1581" s="9"/>
      <c r="M1581" s="9"/>
    </row>
    <row r="1582" spans="1:13">
      <c r="A1582" s="9"/>
      <c r="B1582" s="9"/>
      <c r="C1582" s="10" t="s">
        <v>27</v>
      </c>
      <c r="D1582" s="30"/>
      <c r="E1582" s="10" t="s">
        <v>227</v>
      </c>
      <c r="F1582" s="19"/>
      <c r="G1582" s="23"/>
      <c r="H1582" s="23"/>
      <c r="I1582" s="23"/>
      <c r="J1582" s="17">
        <f>OR(F1582&lt;&gt;0,G1582&lt;&gt;0,H1582&lt;&gt;0,I1582&lt;&gt;0)*(F1582 + (F1582 = 0))*(G1582 + (G1582 = 0))*(H1582 + (H1582 = 0))*(I1582 + (I1582 = 0))</f>
        <v>0</v>
      </c>
      <c r="K1582" s="9"/>
      <c r="L1582" s="9"/>
      <c r="M1582" s="9"/>
    </row>
    <row r="1583" spans="1:13">
      <c r="A1583" s="9"/>
      <c r="B1583" s="9"/>
      <c r="C1583" s="10" t="s">
        <v>27</v>
      </c>
      <c r="D1583" s="30"/>
      <c r="E1583" s="10" t="s">
        <v>17</v>
      </c>
      <c r="F1583" s="19">
        <v>1</v>
      </c>
      <c r="G1583" s="23">
        <v>93.21</v>
      </c>
      <c r="H1583" s="23">
        <v>0</v>
      </c>
      <c r="I1583" s="23">
        <v>0</v>
      </c>
      <c r="J1583" s="17">
        <f>OR(F1583&lt;&gt;0,G1583&lt;&gt;0,H1583&lt;&gt;0,I1583&lt;&gt;0)*(F1583 + (F1583 = 0))*(G1583 + (G1583 = 0))*(H1583 + (H1583 = 0))*(I1583 + (I1583 = 0))</f>
        <v>93.21</v>
      </c>
      <c r="K1583" s="9"/>
      <c r="L1583" s="9"/>
      <c r="M1583" s="9"/>
    </row>
    <row r="1584" spans="1:13">
      <c r="A1584" s="9"/>
      <c r="B1584" s="9"/>
      <c r="C1584" s="10" t="s">
        <v>27</v>
      </c>
      <c r="D1584" s="30"/>
      <c r="E1584" s="10" t="s">
        <v>228</v>
      </c>
      <c r="F1584" s="19"/>
      <c r="G1584" s="23"/>
      <c r="H1584" s="23"/>
      <c r="I1584" s="23"/>
      <c r="J1584" s="17">
        <f>OR(F1584&lt;&gt;0,G1584&lt;&gt;0,H1584&lt;&gt;0,I1584&lt;&gt;0)*(F1584 + (F1584 = 0))*(G1584 + (G1584 = 0))*(H1584 + (H1584 = 0))*(I1584 + (I1584 = 0))</f>
        <v>0</v>
      </c>
      <c r="K1584" s="9"/>
      <c r="L1584" s="9"/>
      <c r="M1584" s="9"/>
    </row>
    <row r="1585" spans="1:13">
      <c r="A1585" s="9"/>
      <c r="B1585" s="9"/>
      <c r="C1585" s="9"/>
      <c r="D1585" s="30"/>
      <c r="E1585" s="9"/>
      <c r="F1585" s="9"/>
      <c r="G1585" s="9"/>
      <c r="H1585" s="9"/>
      <c r="I1585" s="9"/>
      <c r="J1585" s="21" t="s">
        <v>1291</v>
      </c>
      <c r="K1585" s="22">
        <f>SUM(J1581:J1584)</f>
        <v>93.21</v>
      </c>
      <c r="L1585" s="23">
        <v>0</v>
      </c>
      <c r="M1585" s="24">
        <f>ROUND(K1585*L1585,2)</f>
        <v>0</v>
      </c>
    </row>
    <row r="1586" spans="1:13" ht="0.95" customHeight="1">
      <c r="A1586" s="25"/>
      <c r="B1586" s="25"/>
      <c r="C1586" s="25"/>
      <c r="D1586" s="31"/>
      <c r="E1586" s="25"/>
      <c r="F1586" s="25"/>
      <c r="G1586" s="25"/>
      <c r="H1586" s="25"/>
      <c r="I1586" s="25"/>
      <c r="J1586" s="25"/>
      <c r="K1586" s="25"/>
      <c r="L1586" s="25"/>
      <c r="M1586" s="25"/>
    </row>
    <row r="1587" spans="1:13">
      <c r="A1587" s="15" t="s">
        <v>1292</v>
      </c>
      <c r="B1587" s="10" t="s">
        <v>23</v>
      </c>
      <c r="C1587" s="10" t="s">
        <v>66</v>
      </c>
      <c r="D1587" s="18" t="s">
        <v>1293</v>
      </c>
      <c r="E1587" s="9"/>
      <c r="F1587" s="9"/>
      <c r="G1587" s="9"/>
      <c r="H1587" s="9"/>
      <c r="I1587" s="9"/>
      <c r="J1587" s="9"/>
      <c r="K1587" s="16">
        <f>K1591</f>
        <v>149.84</v>
      </c>
      <c r="L1587" s="17">
        <f>L1591</f>
        <v>0</v>
      </c>
      <c r="M1587" s="17">
        <f>M1591</f>
        <v>0</v>
      </c>
    </row>
    <row r="1588" spans="1:13">
      <c r="A1588" s="9"/>
      <c r="B1588" s="9"/>
      <c r="C1588" s="9"/>
      <c r="D1588" s="18" t="s">
        <v>1294</v>
      </c>
      <c r="E1588" s="9"/>
      <c r="F1588" s="9"/>
      <c r="G1588" s="9"/>
      <c r="H1588" s="9"/>
      <c r="I1588" s="9"/>
      <c r="J1588" s="9"/>
      <c r="K1588" s="9"/>
      <c r="L1588" s="9"/>
      <c r="M1588" s="9"/>
    </row>
    <row r="1589" spans="1:13">
      <c r="A1589" s="9"/>
      <c r="B1589" s="9"/>
      <c r="C1589" s="10" t="s">
        <v>27</v>
      </c>
      <c r="D1589" s="30"/>
      <c r="E1589" s="10" t="s">
        <v>227</v>
      </c>
      <c r="F1589" s="19">
        <v>1</v>
      </c>
      <c r="G1589" s="23">
        <v>73.239999999999995</v>
      </c>
      <c r="H1589" s="23">
        <v>0</v>
      </c>
      <c r="I1589" s="23">
        <v>0</v>
      </c>
      <c r="J1589" s="17">
        <f>OR(F1589&lt;&gt;0,G1589&lt;&gt;0,H1589&lt;&gt;0,I1589&lt;&gt;0)*(F1589 + (F1589 = 0))*(G1589 + (G1589 = 0))*(H1589 + (H1589 = 0))*(I1589 + (I1589 = 0))</f>
        <v>73.239999999999995</v>
      </c>
      <c r="K1589" s="9"/>
      <c r="L1589" s="9"/>
      <c r="M1589" s="9"/>
    </row>
    <row r="1590" spans="1:13">
      <c r="A1590" s="9"/>
      <c r="B1590" s="9"/>
      <c r="C1590" s="10" t="s">
        <v>27</v>
      </c>
      <c r="D1590" s="30"/>
      <c r="E1590" s="10" t="s">
        <v>228</v>
      </c>
      <c r="F1590" s="19">
        <v>1</v>
      </c>
      <c r="G1590" s="23">
        <v>76.599999999999994</v>
      </c>
      <c r="H1590" s="23">
        <v>0</v>
      </c>
      <c r="I1590" s="23">
        <v>0</v>
      </c>
      <c r="J1590" s="17">
        <f>OR(F1590&lt;&gt;0,G1590&lt;&gt;0,H1590&lt;&gt;0,I1590&lt;&gt;0)*(F1590 + (F1590 = 0))*(G1590 + (G1590 = 0))*(H1590 + (H1590 = 0))*(I1590 + (I1590 = 0))</f>
        <v>76.599999999999994</v>
      </c>
      <c r="K1590" s="9"/>
      <c r="L1590" s="9"/>
      <c r="M1590" s="9"/>
    </row>
    <row r="1591" spans="1:13">
      <c r="A1591" s="9"/>
      <c r="B1591" s="9"/>
      <c r="C1591" s="9"/>
      <c r="D1591" s="30"/>
      <c r="E1591" s="9"/>
      <c r="F1591" s="9"/>
      <c r="G1591" s="9"/>
      <c r="H1591" s="9"/>
      <c r="I1591" s="9"/>
      <c r="J1591" s="21" t="s">
        <v>1295</v>
      </c>
      <c r="K1591" s="22">
        <f>SUM(J1589:J1590)</f>
        <v>149.84</v>
      </c>
      <c r="L1591" s="23">
        <v>0</v>
      </c>
      <c r="M1591" s="24">
        <f>ROUND(K1591*L1591,2)</f>
        <v>0</v>
      </c>
    </row>
    <row r="1592" spans="1:13" ht="0.95" customHeight="1">
      <c r="A1592" s="25"/>
      <c r="B1592" s="25"/>
      <c r="C1592" s="25"/>
      <c r="D1592" s="31"/>
      <c r="E1592" s="25"/>
      <c r="F1592" s="25"/>
      <c r="G1592" s="25"/>
      <c r="H1592" s="25"/>
      <c r="I1592" s="25"/>
      <c r="J1592" s="25"/>
      <c r="K1592" s="25"/>
      <c r="L1592" s="25"/>
      <c r="M1592" s="25"/>
    </row>
    <row r="1593" spans="1:13">
      <c r="A1593" s="15" t="s">
        <v>1296</v>
      </c>
      <c r="B1593" s="10" t="s">
        <v>23</v>
      </c>
      <c r="C1593" s="10" t="s">
        <v>204</v>
      </c>
      <c r="D1593" s="18" t="s">
        <v>1297</v>
      </c>
      <c r="E1593" s="9"/>
      <c r="F1593" s="9"/>
      <c r="G1593" s="9"/>
      <c r="H1593" s="9"/>
      <c r="I1593" s="9"/>
      <c r="J1593" s="9"/>
      <c r="K1593" s="16">
        <f>K1596</f>
        <v>8.16</v>
      </c>
      <c r="L1593" s="17">
        <f>L1596</f>
        <v>0</v>
      </c>
      <c r="M1593" s="17">
        <f>M1596</f>
        <v>0</v>
      </c>
    </row>
    <row r="1594" spans="1:13" ht="33.75">
      <c r="A1594" s="9"/>
      <c r="B1594" s="9"/>
      <c r="C1594" s="9"/>
      <c r="D1594" s="18" t="s">
        <v>1298</v>
      </c>
      <c r="E1594" s="9"/>
      <c r="F1594" s="9"/>
      <c r="G1594" s="9"/>
      <c r="H1594" s="9"/>
      <c r="I1594" s="9"/>
      <c r="J1594" s="9"/>
      <c r="K1594" s="9"/>
      <c r="L1594" s="9"/>
      <c r="M1594" s="9"/>
    </row>
    <row r="1595" spans="1:13">
      <c r="A1595" s="9"/>
      <c r="B1595" s="9"/>
      <c r="C1595" s="10" t="s">
        <v>27</v>
      </c>
      <c r="D1595" s="30"/>
      <c r="E1595" s="10" t="s">
        <v>1299</v>
      </c>
      <c r="F1595" s="19">
        <v>2</v>
      </c>
      <c r="G1595" s="23">
        <v>0</v>
      </c>
      <c r="H1595" s="23">
        <v>0</v>
      </c>
      <c r="I1595" s="23">
        <v>0</v>
      </c>
      <c r="J1595" s="23">
        <v>8.16</v>
      </c>
      <c r="K1595" s="10" t="s">
        <v>1300</v>
      </c>
      <c r="L1595" s="9"/>
      <c r="M1595" s="9"/>
    </row>
    <row r="1596" spans="1:13">
      <c r="A1596" s="9"/>
      <c r="B1596" s="9"/>
      <c r="C1596" s="9"/>
      <c r="D1596" s="30"/>
      <c r="E1596" s="9"/>
      <c r="F1596" s="9"/>
      <c r="G1596" s="9"/>
      <c r="H1596" s="9"/>
      <c r="I1596" s="9"/>
      <c r="J1596" s="21" t="s">
        <v>1301</v>
      </c>
      <c r="K1596" s="22">
        <f>J1595</f>
        <v>8.16</v>
      </c>
      <c r="L1596" s="23">
        <v>0</v>
      </c>
      <c r="M1596" s="24">
        <f>ROUND(K1596*L1596,2)</f>
        <v>0</v>
      </c>
    </row>
    <row r="1597" spans="1:13" ht="0.95" customHeight="1">
      <c r="A1597" s="25"/>
      <c r="B1597" s="25"/>
      <c r="C1597" s="25"/>
      <c r="D1597" s="31"/>
      <c r="E1597" s="25"/>
      <c r="F1597" s="25"/>
      <c r="G1597" s="25"/>
      <c r="H1597" s="25"/>
      <c r="I1597" s="25"/>
      <c r="J1597" s="25"/>
      <c r="K1597" s="25"/>
      <c r="L1597" s="25"/>
      <c r="M1597" s="25"/>
    </row>
    <row r="1598" spans="1:13" ht="22.5">
      <c r="A1598" s="15" t="s">
        <v>1302</v>
      </c>
      <c r="B1598" s="10" t="s">
        <v>23</v>
      </c>
      <c r="C1598" s="10" t="s">
        <v>94</v>
      </c>
      <c r="D1598" s="18" t="s">
        <v>1303</v>
      </c>
      <c r="E1598" s="9"/>
      <c r="F1598" s="9"/>
      <c r="G1598" s="9"/>
      <c r="H1598" s="9"/>
      <c r="I1598" s="9"/>
      <c r="J1598" s="9"/>
      <c r="K1598" s="16">
        <f>K1601</f>
        <v>12</v>
      </c>
      <c r="L1598" s="17">
        <f>L1601</f>
        <v>0</v>
      </c>
      <c r="M1598" s="17">
        <f>M1601</f>
        <v>0</v>
      </c>
    </row>
    <row r="1599" spans="1:13">
      <c r="A1599" s="9"/>
      <c r="B1599" s="9"/>
      <c r="C1599" s="9"/>
      <c r="D1599" s="18" t="s">
        <v>1304</v>
      </c>
      <c r="E1599" s="9"/>
      <c r="F1599" s="9"/>
      <c r="G1599" s="9"/>
      <c r="H1599" s="9"/>
      <c r="I1599" s="9"/>
      <c r="J1599" s="9"/>
      <c r="K1599" s="9"/>
      <c r="L1599" s="9"/>
      <c r="M1599" s="9"/>
    </row>
    <row r="1600" spans="1:13">
      <c r="A1600" s="9"/>
      <c r="B1600" s="9"/>
      <c r="C1600" s="10" t="s">
        <v>27</v>
      </c>
      <c r="D1600" s="30"/>
      <c r="E1600" s="10" t="s">
        <v>17</v>
      </c>
      <c r="F1600" s="19">
        <v>1</v>
      </c>
      <c r="G1600" s="23">
        <v>12</v>
      </c>
      <c r="H1600" s="23">
        <v>0</v>
      </c>
      <c r="I1600" s="23">
        <v>0</v>
      </c>
      <c r="J1600" s="17">
        <f>OR(F1600&lt;&gt;0,G1600&lt;&gt;0,H1600&lt;&gt;0,I1600&lt;&gt;0)*(F1600 + (F1600 = 0))*(G1600 + (G1600 = 0))*(H1600 + (H1600 = 0))*(I1600 + (I1600 = 0))</f>
        <v>12</v>
      </c>
      <c r="K1600" s="9"/>
      <c r="L1600" s="9"/>
      <c r="M1600" s="9"/>
    </row>
    <row r="1601" spans="1:13">
      <c r="A1601" s="9"/>
      <c r="B1601" s="9"/>
      <c r="C1601" s="9"/>
      <c r="D1601" s="30"/>
      <c r="E1601" s="9"/>
      <c r="F1601" s="9"/>
      <c r="G1601" s="9"/>
      <c r="H1601" s="9"/>
      <c r="I1601" s="9"/>
      <c r="J1601" s="21" t="s">
        <v>1305</v>
      </c>
      <c r="K1601" s="22">
        <f>J1600</f>
        <v>12</v>
      </c>
      <c r="L1601" s="23">
        <v>0</v>
      </c>
      <c r="M1601" s="24">
        <f>ROUND(K1601*L1601,2)</f>
        <v>0</v>
      </c>
    </row>
    <row r="1602" spans="1:13" ht="0.95" customHeight="1">
      <c r="A1602" s="25"/>
      <c r="B1602" s="25"/>
      <c r="C1602" s="25"/>
      <c r="D1602" s="31"/>
      <c r="E1602" s="25"/>
      <c r="F1602" s="25"/>
      <c r="G1602" s="25"/>
      <c r="H1602" s="25"/>
      <c r="I1602" s="25"/>
      <c r="J1602" s="25"/>
      <c r="K1602" s="25"/>
      <c r="L1602" s="25"/>
      <c r="M1602" s="25"/>
    </row>
    <row r="1603" spans="1:13">
      <c r="A1603" s="9"/>
      <c r="B1603" s="9"/>
      <c r="C1603" s="9"/>
      <c r="D1603" s="30"/>
      <c r="E1603" s="9"/>
      <c r="F1603" s="9"/>
      <c r="G1603" s="9"/>
      <c r="H1603" s="9"/>
      <c r="I1603" s="9"/>
      <c r="J1603" s="21" t="s">
        <v>1306</v>
      </c>
      <c r="K1603" s="20">
        <v>1</v>
      </c>
      <c r="L1603" s="24">
        <f>M1572+M1579+M1587+M1593+M1598</f>
        <v>0</v>
      </c>
      <c r="M1603" s="24">
        <f>ROUND(K1603*L1603,2)</f>
        <v>0</v>
      </c>
    </row>
    <row r="1604" spans="1:13" ht="0.95" customHeight="1">
      <c r="A1604" s="25"/>
      <c r="B1604" s="25"/>
      <c r="C1604" s="25"/>
      <c r="D1604" s="31"/>
      <c r="E1604" s="25"/>
      <c r="F1604" s="25"/>
      <c r="G1604" s="25"/>
      <c r="H1604" s="25"/>
      <c r="I1604" s="25"/>
      <c r="J1604" s="25"/>
      <c r="K1604" s="25"/>
      <c r="L1604" s="25"/>
      <c r="M1604" s="25"/>
    </row>
    <row r="1605" spans="1:13">
      <c r="A1605" s="11" t="s">
        <v>1307</v>
      </c>
      <c r="B1605" s="11" t="s">
        <v>16</v>
      </c>
      <c r="C1605" s="11" t="s">
        <v>17</v>
      </c>
      <c r="D1605" s="29" t="s">
        <v>1308</v>
      </c>
      <c r="E1605" s="12"/>
      <c r="F1605" s="12"/>
      <c r="G1605" s="12"/>
      <c r="H1605" s="12"/>
      <c r="I1605" s="12"/>
      <c r="J1605" s="12"/>
      <c r="K1605" s="13">
        <f>K1635</f>
        <v>1</v>
      </c>
      <c r="L1605" s="14">
        <f>L1635</f>
        <v>0</v>
      </c>
      <c r="M1605" s="14">
        <f>M1635</f>
        <v>0</v>
      </c>
    </row>
    <row r="1606" spans="1:13">
      <c r="A1606" s="9"/>
      <c r="B1606" s="9"/>
      <c r="C1606" s="9"/>
      <c r="D1606" s="18" t="s">
        <v>1308</v>
      </c>
      <c r="E1606" s="9"/>
      <c r="F1606" s="9"/>
      <c r="G1606" s="9"/>
      <c r="H1606" s="9"/>
      <c r="I1606" s="9"/>
      <c r="J1606" s="9"/>
      <c r="K1606" s="9"/>
      <c r="L1606" s="9"/>
      <c r="M1606" s="9"/>
    </row>
    <row r="1607" spans="1:13" ht="22.5">
      <c r="A1607" s="15" t="s">
        <v>1309</v>
      </c>
      <c r="B1607" s="10" t="s">
        <v>23</v>
      </c>
      <c r="C1607" s="10" t="s">
        <v>94</v>
      </c>
      <c r="D1607" s="18" t="s">
        <v>1310</v>
      </c>
      <c r="E1607" s="9"/>
      <c r="F1607" s="9"/>
      <c r="G1607" s="9"/>
      <c r="H1607" s="9"/>
      <c r="I1607" s="9"/>
      <c r="J1607" s="9"/>
      <c r="K1607" s="16">
        <f>K1626</f>
        <v>187.30099999999999</v>
      </c>
      <c r="L1607" s="17">
        <f>L1626</f>
        <v>0</v>
      </c>
      <c r="M1607" s="17">
        <f>M1626</f>
        <v>0</v>
      </c>
    </row>
    <row r="1608" spans="1:13">
      <c r="A1608" s="9"/>
      <c r="B1608" s="9"/>
      <c r="C1608" s="9"/>
      <c r="D1608" s="18" t="s">
        <v>1311</v>
      </c>
      <c r="E1608" s="9"/>
      <c r="F1608" s="9"/>
      <c r="G1608" s="9"/>
      <c r="H1608" s="9"/>
      <c r="I1608" s="9"/>
      <c r="J1608" s="9"/>
      <c r="K1608" s="9"/>
      <c r="L1608" s="9"/>
      <c r="M1608" s="9"/>
    </row>
    <row r="1609" spans="1:13">
      <c r="A1609" s="9"/>
      <c r="B1609" s="9"/>
      <c r="C1609" s="10" t="s">
        <v>27</v>
      </c>
      <c r="D1609" s="30"/>
      <c r="E1609" s="10" t="s">
        <v>227</v>
      </c>
      <c r="F1609" s="19">
        <v>1</v>
      </c>
      <c r="G1609" s="20">
        <v>46.15</v>
      </c>
      <c r="H1609" s="20">
        <v>0</v>
      </c>
      <c r="I1609" s="20">
        <v>2.65</v>
      </c>
      <c r="J1609" s="16">
        <f>OR(F1609&lt;&gt;0,G1609&lt;&gt;0,H1609&lt;&gt;0,I1609&lt;&gt;0)*(F1609 + (F1609 = 0))*(G1609 + (G1609 = 0))*(H1609 + (H1609 = 0))*(I1609 + (I1609 = 0))</f>
        <v>122.298</v>
      </c>
      <c r="K1609" s="9"/>
      <c r="L1609" s="9"/>
      <c r="M1609" s="9"/>
    </row>
    <row r="1610" spans="1:13">
      <c r="A1610" s="9"/>
      <c r="B1610" s="9"/>
      <c r="C1610" s="10" t="s">
        <v>27</v>
      </c>
      <c r="D1610" s="30"/>
      <c r="E1610" s="10" t="s">
        <v>17</v>
      </c>
      <c r="F1610" s="19">
        <v>-1</v>
      </c>
      <c r="G1610" s="20">
        <v>3.4</v>
      </c>
      <c r="H1610" s="20">
        <v>0</v>
      </c>
      <c r="I1610" s="20">
        <v>0</v>
      </c>
      <c r="J1610" s="16">
        <f>OR(F1610&lt;&gt;0,G1610&lt;&gt;0,H1610&lt;&gt;0,I1610&lt;&gt;0)*(F1610 + (F1610 = 0))*(G1610 + (G1610 = 0))*(H1610 + (H1610 = 0))*(I1610 + (I1610 = 0))</f>
        <v>-3.4</v>
      </c>
      <c r="K1610" s="9"/>
      <c r="L1610" s="9"/>
      <c r="M1610" s="9"/>
    </row>
    <row r="1611" spans="1:13">
      <c r="A1611" s="9"/>
      <c r="B1611" s="9"/>
      <c r="C1611" s="10" t="s">
        <v>27</v>
      </c>
      <c r="D1611" s="30"/>
      <c r="E1611" s="10" t="s">
        <v>17</v>
      </c>
      <c r="F1611" s="19">
        <v>-1</v>
      </c>
      <c r="G1611" s="20">
        <v>4.12</v>
      </c>
      <c r="H1611" s="20">
        <v>0</v>
      </c>
      <c r="I1611" s="20">
        <v>0</v>
      </c>
      <c r="J1611" s="16">
        <f>OR(F1611&lt;&gt;0,G1611&lt;&gt;0,H1611&lt;&gt;0,I1611&lt;&gt;0)*(F1611 + (F1611 = 0))*(G1611 + (G1611 = 0))*(H1611 + (H1611 = 0))*(I1611 + (I1611 = 0))</f>
        <v>-4.12</v>
      </c>
      <c r="K1611" s="9"/>
      <c r="L1611" s="9"/>
      <c r="M1611" s="9"/>
    </row>
    <row r="1612" spans="1:13">
      <c r="A1612" s="9"/>
      <c r="B1612" s="9"/>
      <c r="C1612" s="10" t="s">
        <v>27</v>
      </c>
      <c r="D1612" s="30"/>
      <c r="E1612" s="10" t="s">
        <v>17</v>
      </c>
      <c r="F1612" s="19">
        <v>-1</v>
      </c>
      <c r="G1612" s="20">
        <v>6</v>
      </c>
      <c r="H1612" s="20">
        <v>0</v>
      </c>
      <c r="I1612" s="20">
        <v>0</v>
      </c>
      <c r="J1612" s="16">
        <f>OR(F1612&lt;&gt;0,G1612&lt;&gt;0,H1612&lt;&gt;0,I1612&lt;&gt;0)*(F1612 + (F1612 = 0))*(G1612 + (G1612 = 0))*(H1612 + (H1612 = 0))*(I1612 + (I1612 = 0))</f>
        <v>-6</v>
      </c>
      <c r="K1612" s="9"/>
      <c r="L1612" s="9"/>
      <c r="M1612" s="9"/>
    </row>
    <row r="1613" spans="1:13">
      <c r="A1613" s="9"/>
      <c r="B1613" s="9"/>
      <c r="C1613" s="10" t="s">
        <v>27</v>
      </c>
      <c r="D1613" s="30"/>
      <c r="E1613" s="10" t="s">
        <v>17</v>
      </c>
      <c r="F1613" s="19">
        <v>-1</v>
      </c>
      <c r="G1613" s="20">
        <v>3.4</v>
      </c>
      <c r="H1613" s="20">
        <v>0</v>
      </c>
      <c r="I1613" s="20">
        <v>0</v>
      </c>
      <c r="J1613" s="16">
        <f>OR(F1613&lt;&gt;0,G1613&lt;&gt;0,H1613&lt;&gt;0,I1613&lt;&gt;0)*(F1613 + (F1613 = 0))*(G1613 + (G1613 = 0))*(H1613 + (H1613 = 0))*(I1613 + (I1613 = 0))</f>
        <v>-3.4</v>
      </c>
      <c r="K1613" s="9"/>
      <c r="L1613" s="9"/>
      <c r="M1613" s="9"/>
    </row>
    <row r="1614" spans="1:13">
      <c r="A1614" s="9"/>
      <c r="B1614" s="9"/>
      <c r="C1614" s="10" t="s">
        <v>27</v>
      </c>
      <c r="D1614" s="30"/>
      <c r="E1614" s="10" t="s">
        <v>17</v>
      </c>
      <c r="F1614" s="19">
        <v>-1</v>
      </c>
      <c r="G1614" s="20">
        <v>3.5</v>
      </c>
      <c r="H1614" s="20">
        <v>0</v>
      </c>
      <c r="I1614" s="20">
        <v>0</v>
      </c>
      <c r="J1614" s="16">
        <f>OR(F1614&lt;&gt;0,G1614&lt;&gt;0,H1614&lt;&gt;0,I1614&lt;&gt;0)*(F1614 + (F1614 = 0))*(G1614 + (G1614 = 0))*(H1614 + (H1614 = 0))*(I1614 + (I1614 = 0))</f>
        <v>-3.5</v>
      </c>
      <c r="K1614" s="9"/>
      <c r="L1614" s="9"/>
      <c r="M1614" s="9"/>
    </row>
    <row r="1615" spans="1:13">
      <c r="A1615" s="9"/>
      <c r="B1615" s="9"/>
      <c r="C1615" s="10" t="s">
        <v>27</v>
      </c>
      <c r="D1615" s="30"/>
      <c r="E1615" s="10" t="s">
        <v>17</v>
      </c>
      <c r="F1615" s="19">
        <v>-1</v>
      </c>
      <c r="G1615" s="20">
        <v>8.17</v>
      </c>
      <c r="H1615" s="20">
        <v>0</v>
      </c>
      <c r="I1615" s="20">
        <v>0</v>
      </c>
      <c r="J1615" s="16">
        <f>OR(F1615&lt;&gt;0,G1615&lt;&gt;0,H1615&lt;&gt;0,I1615&lt;&gt;0)*(F1615 + (F1615 = 0))*(G1615 + (G1615 = 0))*(H1615 + (H1615 = 0))*(I1615 + (I1615 = 0))</f>
        <v>-8.17</v>
      </c>
      <c r="K1615" s="9"/>
      <c r="L1615" s="9"/>
      <c r="M1615" s="9"/>
    </row>
    <row r="1616" spans="1:13">
      <c r="A1616" s="9"/>
      <c r="B1616" s="9"/>
      <c r="C1616" s="10" t="s">
        <v>27</v>
      </c>
      <c r="D1616" s="30"/>
      <c r="E1616" s="10" t="s">
        <v>17</v>
      </c>
      <c r="F1616" s="19">
        <v>-1</v>
      </c>
      <c r="G1616" s="20">
        <v>1.95</v>
      </c>
      <c r="H1616" s="20">
        <v>0</v>
      </c>
      <c r="I1616" s="20">
        <v>0</v>
      </c>
      <c r="J1616" s="16">
        <f>OR(F1616&lt;&gt;0,G1616&lt;&gt;0,H1616&lt;&gt;0,I1616&lt;&gt;0)*(F1616 + (F1616 = 0))*(G1616 + (G1616 = 0))*(H1616 + (H1616 = 0))*(I1616 + (I1616 = 0))</f>
        <v>-1.95</v>
      </c>
      <c r="K1616" s="9"/>
      <c r="L1616" s="9"/>
      <c r="M1616" s="9"/>
    </row>
    <row r="1617" spans="1:13">
      <c r="A1617" s="9"/>
      <c r="B1617" s="9"/>
      <c r="C1617" s="10" t="s">
        <v>27</v>
      </c>
      <c r="D1617" s="30"/>
      <c r="E1617" s="10" t="s">
        <v>228</v>
      </c>
      <c r="F1617" s="19">
        <v>2</v>
      </c>
      <c r="G1617" s="20">
        <v>22.92</v>
      </c>
      <c r="H1617" s="20">
        <v>0</v>
      </c>
      <c r="I1617" s="20">
        <v>0</v>
      </c>
      <c r="J1617" s="16">
        <f>OR(F1617&lt;&gt;0,G1617&lt;&gt;0,H1617&lt;&gt;0,I1617&lt;&gt;0)*(F1617 + (F1617 = 0))*(G1617 + (G1617 = 0))*(H1617 + (H1617 = 0))*(I1617 + (I1617 = 0))</f>
        <v>45.84</v>
      </c>
      <c r="K1617" s="9"/>
      <c r="L1617" s="9"/>
      <c r="M1617" s="9"/>
    </row>
    <row r="1618" spans="1:13">
      <c r="A1618" s="9"/>
      <c r="B1618" s="9"/>
      <c r="C1618" s="10" t="s">
        <v>27</v>
      </c>
      <c r="D1618" s="30"/>
      <c r="E1618" s="10" t="s">
        <v>17</v>
      </c>
      <c r="F1618" s="19">
        <v>1</v>
      </c>
      <c r="G1618" s="20">
        <v>12.18</v>
      </c>
      <c r="H1618" s="20">
        <v>0</v>
      </c>
      <c r="I1618" s="20">
        <v>0</v>
      </c>
      <c r="J1618" s="16">
        <f>OR(F1618&lt;&gt;0,G1618&lt;&gt;0,H1618&lt;&gt;0,I1618&lt;&gt;0)*(F1618 + (F1618 = 0))*(G1618 + (G1618 = 0))*(H1618 + (H1618 = 0))*(I1618 + (I1618 = 0))</f>
        <v>12.18</v>
      </c>
      <c r="K1618" s="9"/>
      <c r="L1618" s="9"/>
      <c r="M1618" s="9"/>
    </row>
    <row r="1619" spans="1:13">
      <c r="A1619" s="9"/>
      <c r="B1619" s="9"/>
      <c r="C1619" s="10" t="s">
        <v>27</v>
      </c>
      <c r="D1619" s="30"/>
      <c r="E1619" s="10" t="s">
        <v>17</v>
      </c>
      <c r="F1619" s="19">
        <v>1</v>
      </c>
      <c r="G1619" s="20">
        <v>19.600000000000001</v>
      </c>
      <c r="H1619" s="20">
        <v>0</v>
      </c>
      <c r="I1619" s="20">
        <v>0</v>
      </c>
      <c r="J1619" s="16">
        <f>OR(F1619&lt;&gt;0,G1619&lt;&gt;0,H1619&lt;&gt;0,I1619&lt;&gt;0)*(F1619 + (F1619 = 0))*(G1619 + (G1619 = 0))*(H1619 + (H1619 = 0))*(I1619 + (I1619 = 0))</f>
        <v>19.600000000000001</v>
      </c>
      <c r="K1619" s="9"/>
      <c r="L1619" s="9"/>
      <c r="M1619" s="9"/>
    </row>
    <row r="1620" spans="1:13">
      <c r="A1620" s="9"/>
      <c r="B1620" s="9"/>
      <c r="C1620" s="10" t="s">
        <v>27</v>
      </c>
      <c r="D1620" s="30"/>
      <c r="E1620" s="10" t="s">
        <v>17</v>
      </c>
      <c r="F1620" s="19">
        <v>-2</v>
      </c>
      <c r="G1620" s="20">
        <v>5.64</v>
      </c>
      <c r="H1620" s="20">
        <v>0</v>
      </c>
      <c r="I1620" s="20">
        <v>0</v>
      </c>
      <c r="J1620" s="16">
        <f>OR(F1620&lt;&gt;0,G1620&lt;&gt;0,H1620&lt;&gt;0,I1620&lt;&gt;0)*(F1620 + (F1620 = 0))*(G1620 + (G1620 = 0))*(H1620 + (H1620 = 0))*(I1620 + (I1620 = 0))</f>
        <v>-11.28</v>
      </c>
      <c r="K1620" s="9"/>
      <c r="L1620" s="9"/>
      <c r="M1620" s="9"/>
    </row>
    <row r="1621" spans="1:13">
      <c r="A1621" s="9"/>
      <c r="B1621" s="9"/>
      <c r="C1621" s="10" t="s">
        <v>27</v>
      </c>
      <c r="D1621" s="30"/>
      <c r="E1621" s="10" t="s">
        <v>17</v>
      </c>
      <c r="F1621" s="19">
        <v>1</v>
      </c>
      <c r="G1621" s="20">
        <v>5.75</v>
      </c>
      <c r="H1621" s="20">
        <v>0</v>
      </c>
      <c r="I1621" s="20">
        <v>1.95</v>
      </c>
      <c r="J1621" s="16">
        <f>OR(F1621&lt;&gt;0,G1621&lt;&gt;0,H1621&lt;&gt;0,I1621&lt;&gt;0)*(F1621 + (F1621 = 0))*(G1621 + (G1621 = 0))*(H1621 + (H1621 = 0))*(I1621 + (I1621 = 0))</f>
        <v>11.212999999999999</v>
      </c>
      <c r="K1621" s="9"/>
      <c r="L1621" s="9"/>
      <c r="M1621" s="9"/>
    </row>
    <row r="1622" spans="1:13">
      <c r="A1622" s="9"/>
      <c r="B1622" s="9"/>
      <c r="C1622" s="10" t="s">
        <v>27</v>
      </c>
      <c r="D1622" s="30"/>
      <c r="E1622" s="10" t="s">
        <v>17</v>
      </c>
      <c r="F1622" s="19">
        <v>1</v>
      </c>
      <c r="G1622" s="20">
        <v>6.5</v>
      </c>
      <c r="H1622" s="20">
        <v>0</v>
      </c>
      <c r="I1622" s="20">
        <v>2.7</v>
      </c>
      <c r="J1622" s="16">
        <f>OR(F1622&lt;&gt;0,G1622&lt;&gt;0,H1622&lt;&gt;0,I1622&lt;&gt;0)*(F1622 + (F1622 = 0))*(G1622 + (G1622 = 0))*(H1622 + (H1622 = 0))*(I1622 + (I1622 = 0))</f>
        <v>17.55</v>
      </c>
      <c r="K1622" s="9"/>
      <c r="L1622" s="9"/>
      <c r="M1622" s="9"/>
    </row>
    <row r="1623" spans="1:13">
      <c r="A1623" s="9"/>
      <c r="B1623" s="9"/>
      <c r="C1623" s="10" t="s">
        <v>27</v>
      </c>
      <c r="D1623" s="30"/>
      <c r="E1623" s="10" t="s">
        <v>17</v>
      </c>
      <c r="F1623" s="19">
        <v>-1</v>
      </c>
      <c r="G1623" s="20">
        <v>2.0299999999999998</v>
      </c>
      <c r="H1623" s="20">
        <v>0</v>
      </c>
      <c r="I1623" s="20">
        <v>0</v>
      </c>
      <c r="J1623" s="16">
        <f>OR(F1623&lt;&gt;0,G1623&lt;&gt;0,H1623&lt;&gt;0,I1623&lt;&gt;0)*(F1623 + (F1623 = 0))*(G1623 + (G1623 = 0))*(H1623 + (H1623 = 0))*(I1623 + (I1623 = 0))</f>
        <v>-2.0299999999999998</v>
      </c>
      <c r="K1623" s="9"/>
      <c r="L1623" s="9"/>
      <c r="M1623" s="9"/>
    </row>
    <row r="1624" spans="1:13">
      <c r="A1624" s="9"/>
      <c r="B1624" s="9"/>
      <c r="C1624" s="10" t="s">
        <v>27</v>
      </c>
      <c r="D1624" s="30"/>
      <c r="E1624" s="10" t="s">
        <v>17</v>
      </c>
      <c r="F1624" s="19">
        <v>-1</v>
      </c>
      <c r="G1624" s="20">
        <v>5.99</v>
      </c>
      <c r="H1624" s="20">
        <v>0</v>
      </c>
      <c r="I1624" s="20">
        <v>0</v>
      </c>
      <c r="J1624" s="16">
        <f>OR(F1624&lt;&gt;0,G1624&lt;&gt;0,H1624&lt;&gt;0,I1624&lt;&gt;0)*(F1624 + (F1624 = 0))*(G1624 + (G1624 = 0))*(H1624 + (H1624 = 0))*(I1624 + (I1624 = 0))</f>
        <v>-5.99</v>
      </c>
      <c r="K1624" s="9"/>
      <c r="L1624" s="9"/>
      <c r="M1624" s="9"/>
    </row>
    <row r="1625" spans="1:13">
      <c r="A1625" s="9"/>
      <c r="B1625" s="9"/>
      <c r="C1625" s="10" t="s">
        <v>27</v>
      </c>
      <c r="D1625" s="30"/>
      <c r="E1625" s="10" t="s">
        <v>17</v>
      </c>
      <c r="F1625" s="19">
        <v>2</v>
      </c>
      <c r="G1625" s="20">
        <v>1.8</v>
      </c>
      <c r="H1625" s="20">
        <v>0</v>
      </c>
      <c r="I1625" s="20">
        <v>2.35</v>
      </c>
      <c r="J1625" s="16">
        <f>OR(F1625&lt;&gt;0,G1625&lt;&gt;0,H1625&lt;&gt;0,I1625&lt;&gt;0)*(F1625 + (F1625 = 0))*(G1625 + (G1625 = 0))*(H1625 + (H1625 = 0))*(I1625 + (I1625 = 0))</f>
        <v>8.4600000000000009</v>
      </c>
      <c r="K1625" s="9"/>
      <c r="L1625" s="9"/>
      <c r="M1625" s="9"/>
    </row>
    <row r="1626" spans="1:13">
      <c r="A1626" s="9"/>
      <c r="B1626" s="9"/>
      <c r="C1626" s="9"/>
      <c r="D1626" s="30"/>
      <c r="E1626" s="9"/>
      <c r="F1626" s="9"/>
      <c r="G1626" s="9"/>
      <c r="H1626" s="9"/>
      <c r="I1626" s="9"/>
      <c r="J1626" s="21" t="s">
        <v>1312</v>
      </c>
      <c r="K1626" s="22">
        <f>SUM(J1609:J1625)</f>
        <v>187.30099999999999</v>
      </c>
      <c r="L1626" s="23">
        <v>0</v>
      </c>
      <c r="M1626" s="24">
        <f>ROUND(K1626*L1626,2)</f>
        <v>0</v>
      </c>
    </row>
    <row r="1627" spans="1:13" ht="0.95" customHeight="1">
      <c r="A1627" s="25"/>
      <c r="B1627" s="25"/>
      <c r="C1627" s="25"/>
      <c r="D1627" s="31"/>
      <c r="E1627" s="25"/>
      <c r="F1627" s="25"/>
      <c r="G1627" s="25"/>
      <c r="H1627" s="25"/>
      <c r="I1627" s="25"/>
      <c r="J1627" s="25"/>
      <c r="K1627" s="25"/>
      <c r="L1627" s="25"/>
      <c r="M1627" s="25"/>
    </row>
    <row r="1628" spans="1:13" ht="22.5">
      <c r="A1628" s="15" t="s">
        <v>1313</v>
      </c>
      <c r="B1628" s="10" t="s">
        <v>23</v>
      </c>
      <c r="C1628" s="10" t="s">
        <v>94</v>
      </c>
      <c r="D1628" s="18" t="s">
        <v>1314</v>
      </c>
      <c r="E1628" s="9"/>
      <c r="F1628" s="9"/>
      <c r="G1628" s="9"/>
      <c r="H1628" s="9"/>
      <c r="I1628" s="9"/>
      <c r="J1628" s="9"/>
      <c r="K1628" s="16">
        <f>K1633</f>
        <v>14.539</v>
      </c>
      <c r="L1628" s="17">
        <f>L1633</f>
        <v>0</v>
      </c>
      <c r="M1628" s="17">
        <f>M1633</f>
        <v>0</v>
      </c>
    </row>
    <row r="1629" spans="1:13">
      <c r="A1629" s="9"/>
      <c r="B1629" s="9"/>
      <c r="C1629" s="9"/>
      <c r="D1629" s="18" t="s">
        <v>1315</v>
      </c>
      <c r="E1629" s="9"/>
      <c r="F1629" s="9"/>
      <c r="G1629" s="9"/>
      <c r="H1629" s="9"/>
      <c r="I1629" s="9"/>
      <c r="J1629" s="9"/>
      <c r="K1629" s="9"/>
      <c r="L1629" s="9"/>
      <c r="M1629" s="9"/>
    </row>
    <row r="1630" spans="1:13">
      <c r="A1630" s="9"/>
      <c r="B1630" s="9"/>
      <c r="C1630" s="10" t="s">
        <v>27</v>
      </c>
      <c r="D1630" s="30"/>
      <c r="E1630" s="10" t="s">
        <v>228</v>
      </c>
      <c r="F1630" s="19">
        <v>1</v>
      </c>
      <c r="G1630" s="20">
        <v>7.9</v>
      </c>
      <c r="H1630" s="20">
        <v>0</v>
      </c>
      <c r="I1630" s="20">
        <v>0</v>
      </c>
      <c r="J1630" s="16">
        <f>OR(F1630&lt;&gt;0,G1630&lt;&gt;0,H1630&lt;&gt;0,I1630&lt;&gt;0)*(F1630 + (F1630 = 0))*(G1630 + (G1630 = 0))*(H1630 + (H1630 = 0))*(I1630 + (I1630 = 0))</f>
        <v>7.9</v>
      </c>
      <c r="K1630" s="9"/>
      <c r="L1630" s="9"/>
      <c r="M1630" s="9"/>
    </row>
    <row r="1631" spans="1:13">
      <c r="A1631" s="9"/>
      <c r="B1631" s="9"/>
      <c r="C1631" s="10" t="s">
        <v>27</v>
      </c>
      <c r="D1631" s="30"/>
      <c r="E1631" s="10" t="s">
        <v>835</v>
      </c>
      <c r="F1631" s="19">
        <v>1</v>
      </c>
      <c r="G1631" s="20">
        <v>1.48</v>
      </c>
      <c r="H1631" s="20">
        <v>0</v>
      </c>
      <c r="I1631" s="20">
        <v>2.65</v>
      </c>
      <c r="J1631" s="16">
        <f>OR(F1631&lt;&gt;0,G1631&lt;&gt;0,H1631&lt;&gt;0,I1631&lt;&gt;0)*(F1631 + (F1631 = 0))*(G1631 + (G1631 = 0))*(H1631 + (H1631 = 0))*(I1631 + (I1631 = 0))</f>
        <v>3.9220000000000002</v>
      </c>
      <c r="K1631" s="9"/>
      <c r="L1631" s="9"/>
      <c r="M1631" s="9"/>
    </row>
    <row r="1632" spans="1:13">
      <c r="A1632" s="9"/>
      <c r="B1632" s="9"/>
      <c r="C1632" s="10" t="s">
        <v>27</v>
      </c>
      <c r="D1632" s="30"/>
      <c r="E1632" s="10" t="s">
        <v>17</v>
      </c>
      <c r="F1632" s="19">
        <v>1</v>
      </c>
      <c r="G1632" s="20">
        <v>2.4700000000000002</v>
      </c>
      <c r="H1632" s="20">
        <v>0</v>
      </c>
      <c r="I1632" s="20">
        <v>1.1000000000000001</v>
      </c>
      <c r="J1632" s="16">
        <f>OR(F1632&lt;&gt;0,G1632&lt;&gt;0,H1632&lt;&gt;0,I1632&lt;&gt;0)*(F1632 + (F1632 = 0))*(G1632 + (G1632 = 0))*(H1632 + (H1632 = 0))*(I1632 + (I1632 = 0))</f>
        <v>2.7170000000000001</v>
      </c>
      <c r="K1632" s="9"/>
      <c r="L1632" s="9"/>
      <c r="M1632" s="9"/>
    </row>
    <row r="1633" spans="1:13">
      <c r="A1633" s="9"/>
      <c r="B1633" s="9"/>
      <c r="C1633" s="9"/>
      <c r="D1633" s="30"/>
      <c r="E1633" s="9"/>
      <c r="F1633" s="9"/>
      <c r="G1633" s="9"/>
      <c r="H1633" s="9"/>
      <c r="I1633" s="9"/>
      <c r="J1633" s="21" t="s">
        <v>1316</v>
      </c>
      <c r="K1633" s="22">
        <f>SUM(J1630:J1632)</f>
        <v>14.539</v>
      </c>
      <c r="L1633" s="23">
        <v>0</v>
      </c>
      <c r="M1633" s="24">
        <f>ROUND(K1633*L1633,2)</f>
        <v>0</v>
      </c>
    </row>
    <row r="1634" spans="1:13" ht="0.95" customHeight="1">
      <c r="A1634" s="25"/>
      <c r="B1634" s="25"/>
      <c r="C1634" s="25"/>
      <c r="D1634" s="31"/>
      <c r="E1634" s="25"/>
      <c r="F1634" s="25"/>
      <c r="G1634" s="25"/>
      <c r="H1634" s="25"/>
      <c r="I1634" s="25"/>
      <c r="J1634" s="25"/>
      <c r="K1634" s="25"/>
      <c r="L1634" s="25"/>
      <c r="M1634" s="25"/>
    </row>
    <row r="1635" spans="1:13">
      <c r="A1635" s="9"/>
      <c r="B1635" s="9"/>
      <c r="C1635" s="9"/>
      <c r="D1635" s="30"/>
      <c r="E1635" s="9"/>
      <c r="F1635" s="9"/>
      <c r="G1635" s="9"/>
      <c r="H1635" s="9"/>
      <c r="I1635" s="9"/>
      <c r="J1635" s="21" t="s">
        <v>1317</v>
      </c>
      <c r="K1635" s="20">
        <v>1</v>
      </c>
      <c r="L1635" s="24">
        <f>M1607+M1628</f>
        <v>0</v>
      </c>
      <c r="M1635" s="24">
        <f>ROUND(K1635*L1635,2)</f>
        <v>0</v>
      </c>
    </row>
    <row r="1636" spans="1:13" ht="0.95" customHeight="1">
      <c r="A1636" s="25"/>
      <c r="B1636" s="25"/>
      <c r="C1636" s="25"/>
      <c r="D1636" s="31"/>
      <c r="E1636" s="25"/>
      <c r="F1636" s="25"/>
      <c r="G1636" s="25"/>
      <c r="H1636" s="25"/>
      <c r="I1636" s="25"/>
      <c r="J1636" s="25"/>
      <c r="K1636" s="25"/>
      <c r="L1636" s="25"/>
      <c r="M1636" s="25"/>
    </row>
    <row r="1637" spans="1:13">
      <c r="A1637" s="11" t="s">
        <v>1318</v>
      </c>
      <c r="B1637" s="11" t="s">
        <v>16</v>
      </c>
      <c r="C1637" s="11" t="s">
        <v>17</v>
      </c>
      <c r="D1637" s="29" t="s">
        <v>1319</v>
      </c>
      <c r="E1637" s="12"/>
      <c r="F1637" s="12"/>
      <c r="G1637" s="12"/>
      <c r="H1637" s="12"/>
      <c r="I1637" s="12"/>
      <c r="J1637" s="12"/>
      <c r="K1637" s="13">
        <f>K1683</f>
        <v>1</v>
      </c>
      <c r="L1637" s="14">
        <f>L1683</f>
        <v>0</v>
      </c>
      <c r="M1637" s="14">
        <f>M1683</f>
        <v>0</v>
      </c>
    </row>
    <row r="1638" spans="1:13" ht="22.5">
      <c r="A1638" s="15" t="s">
        <v>1320</v>
      </c>
      <c r="B1638" s="10" t="s">
        <v>23</v>
      </c>
      <c r="C1638" s="10" t="s">
        <v>94</v>
      </c>
      <c r="D1638" s="18" t="s">
        <v>1321</v>
      </c>
      <c r="E1638" s="9"/>
      <c r="F1638" s="9"/>
      <c r="G1638" s="9"/>
      <c r="H1638" s="9"/>
      <c r="I1638" s="9"/>
      <c r="J1638" s="9"/>
      <c r="K1638" s="16">
        <f>K1641</f>
        <v>7.62</v>
      </c>
      <c r="L1638" s="17">
        <f>L1641</f>
        <v>0</v>
      </c>
      <c r="M1638" s="17">
        <f>M1641</f>
        <v>0</v>
      </c>
    </row>
    <row r="1639" spans="1:13">
      <c r="A1639" s="9"/>
      <c r="B1639" s="9"/>
      <c r="C1639" s="9"/>
      <c r="D1639" s="18" t="s">
        <v>1322</v>
      </c>
      <c r="E1639" s="9"/>
      <c r="F1639" s="9"/>
      <c r="G1639" s="9"/>
      <c r="H1639" s="9"/>
      <c r="I1639" s="9"/>
      <c r="J1639" s="9"/>
      <c r="K1639" s="9"/>
      <c r="L1639" s="9"/>
      <c r="M1639" s="9"/>
    </row>
    <row r="1640" spans="1:13">
      <c r="A1640" s="9"/>
      <c r="B1640" s="9"/>
      <c r="C1640" s="10" t="s">
        <v>27</v>
      </c>
      <c r="D1640" s="30"/>
      <c r="E1640" s="10" t="s">
        <v>1096</v>
      </c>
      <c r="F1640" s="19">
        <v>1</v>
      </c>
      <c r="G1640" s="20">
        <v>7.62</v>
      </c>
      <c r="H1640" s="20">
        <v>0</v>
      </c>
      <c r="I1640" s="20">
        <v>0</v>
      </c>
      <c r="J1640" s="16">
        <f>OR(F1640&lt;&gt;0,G1640&lt;&gt;0,H1640&lt;&gt;0,I1640&lt;&gt;0)*(F1640 + (F1640 = 0))*(G1640 + (G1640 = 0))*(H1640 + (H1640 = 0))*(I1640 + (I1640 = 0))</f>
        <v>7.62</v>
      </c>
      <c r="K1640" s="9"/>
      <c r="L1640" s="9"/>
      <c r="M1640" s="9"/>
    </row>
    <row r="1641" spans="1:13">
      <c r="A1641" s="9"/>
      <c r="B1641" s="9"/>
      <c r="C1641" s="9"/>
      <c r="D1641" s="30"/>
      <c r="E1641" s="9"/>
      <c r="F1641" s="9"/>
      <c r="G1641" s="9"/>
      <c r="H1641" s="9"/>
      <c r="I1641" s="9"/>
      <c r="J1641" s="21" t="s">
        <v>1323</v>
      </c>
      <c r="K1641" s="22">
        <f>J1640</f>
        <v>7.62</v>
      </c>
      <c r="L1641" s="23">
        <v>0</v>
      </c>
      <c r="M1641" s="24">
        <f>ROUND(K1641*L1641,2)</f>
        <v>0</v>
      </c>
    </row>
    <row r="1642" spans="1:13" ht="0.95" customHeight="1">
      <c r="A1642" s="25"/>
      <c r="B1642" s="25"/>
      <c r="C1642" s="25"/>
      <c r="D1642" s="31"/>
      <c r="E1642" s="25"/>
      <c r="F1642" s="25"/>
      <c r="G1642" s="25"/>
      <c r="H1642" s="25"/>
      <c r="I1642" s="25"/>
      <c r="J1642" s="25"/>
      <c r="K1642" s="25"/>
      <c r="L1642" s="25"/>
      <c r="M1642" s="25"/>
    </row>
    <row r="1643" spans="1:13" ht="22.5">
      <c r="A1643" s="15" t="s">
        <v>1324</v>
      </c>
      <c r="B1643" s="10" t="s">
        <v>23</v>
      </c>
      <c r="C1643" s="10" t="s">
        <v>94</v>
      </c>
      <c r="D1643" s="18" t="s">
        <v>1321</v>
      </c>
      <c r="E1643" s="9"/>
      <c r="F1643" s="9"/>
      <c r="G1643" s="9"/>
      <c r="H1643" s="9"/>
      <c r="I1643" s="9"/>
      <c r="J1643" s="9"/>
      <c r="K1643" s="16">
        <f>K1651</f>
        <v>24.33</v>
      </c>
      <c r="L1643" s="17">
        <f>L1651</f>
        <v>0</v>
      </c>
      <c r="M1643" s="17">
        <f>M1651</f>
        <v>0</v>
      </c>
    </row>
    <row r="1644" spans="1:13">
      <c r="A1644" s="9"/>
      <c r="B1644" s="9"/>
      <c r="C1644" s="9"/>
      <c r="D1644" s="18" t="s">
        <v>1325</v>
      </c>
      <c r="E1644" s="9"/>
      <c r="F1644" s="9"/>
      <c r="G1644" s="9"/>
      <c r="H1644" s="9"/>
      <c r="I1644" s="9"/>
      <c r="J1644" s="9"/>
      <c r="K1644" s="9"/>
      <c r="L1644" s="9"/>
      <c r="M1644" s="9"/>
    </row>
    <row r="1645" spans="1:13">
      <c r="A1645" s="9"/>
      <c r="B1645" s="9"/>
      <c r="C1645" s="10" t="s">
        <v>27</v>
      </c>
      <c r="D1645" s="30"/>
      <c r="E1645" s="10" t="s">
        <v>1101</v>
      </c>
      <c r="F1645" s="19"/>
      <c r="G1645" s="20"/>
      <c r="H1645" s="20"/>
      <c r="I1645" s="20"/>
      <c r="J1645" s="16">
        <f>OR(F1645&lt;&gt;0,G1645&lt;&gt;0,H1645&lt;&gt;0,I1645&lt;&gt;0)*(F1645 + (F1645 = 0))*(G1645 + (G1645 = 0))*(H1645 + (H1645 = 0))*(I1645 + (I1645 = 0))</f>
        <v>0</v>
      </c>
      <c r="K1645" s="9"/>
      <c r="L1645" s="9"/>
      <c r="M1645" s="9"/>
    </row>
    <row r="1646" spans="1:13">
      <c r="A1646" s="9"/>
      <c r="B1646" s="9"/>
      <c r="C1646" s="10" t="s">
        <v>27</v>
      </c>
      <c r="D1646" s="30"/>
      <c r="E1646" s="10" t="s">
        <v>627</v>
      </c>
      <c r="F1646" s="19">
        <v>1</v>
      </c>
      <c r="G1646" s="20">
        <v>2.77</v>
      </c>
      <c r="H1646" s="20">
        <v>0</v>
      </c>
      <c r="I1646" s="20">
        <v>0</v>
      </c>
      <c r="J1646" s="16">
        <f>OR(F1646&lt;&gt;0,G1646&lt;&gt;0,H1646&lt;&gt;0,I1646&lt;&gt;0)*(F1646 + (F1646 = 0))*(G1646 + (G1646 = 0))*(H1646 + (H1646 = 0))*(I1646 + (I1646 = 0))</f>
        <v>2.77</v>
      </c>
      <c r="K1646" s="9"/>
      <c r="L1646" s="9"/>
      <c r="M1646" s="9"/>
    </row>
    <row r="1647" spans="1:13">
      <c r="A1647" s="9"/>
      <c r="B1647" s="9"/>
      <c r="C1647" s="10" t="s">
        <v>27</v>
      </c>
      <c r="D1647" s="30"/>
      <c r="E1647" s="10" t="s">
        <v>628</v>
      </c>
      <c r="F1647" s="19">
        <v>1</v>
      </c>
      <c r="G1647" s="20">
        <v>3.27</v>
      </c>
      <c r="H1647" s="20">
        <v>0</v>
      </c>
      <c r="I1647" s="20">
        <v>0</v>
      </c>
      <c r="J1647" s="16">
        <f>OR(F1647&lt;&gt;0,G1647&lt;&gt;0,H1647&lt;&gt;0,I1647&lt;&gt;0)*(F1647 + (F1647 = 0))*(G1647 + (G1647 = 0))*(H1647 + (H1647 = 0))*(I1647 + (I1647 = 0))</f>
        <v>3.27</v>
      </c>
      <c r="K1647" s="9"/>
      <c r="L1647" s="9"/>
      <c r="M1647" s="9"/>
    </row>
    <row r="1648" spans="1:13">
      <c r="A1648" s="9"/>
      <c r="B1648" s="9"/>
      <c r="C1648" s="10" t="s">
        <v>27</v>
      </c>
      <c r="D1648" s="30"/>
      <c r="E1648" s="10" t="s">
        <v>624</v>
      </c>
      <c r="F1648" s="19">
        <v>1</v>
      </c>
      <c r="G1648" s="20">
        <v>13.5</v>
      </c>
      <c r="H1648" s="20">
        <v>0</v>
      </c>
      <c r="I1648" s="20">
        <v>0</v>
      </c>
      <c r="J1648" s="16">
        <f>OR(F1648&lt;&gt;0,G1648&lt;&gt;0,H1648&lt;&gt;0,I1648&lt;&gt;0)*(F1648 + (F1648 = 0))*(G1648 + (G1648 = 0))*(H1648 + (H1648 = 0))*(I1648 + (I1648 = 0))</f>
        <v>13.5</v>
      </c>
      <c r="K1648" s="9"/>
      <c r="L1648" s="9"/>
      <c r="M1648" s="9"/>
    </row>
    <row r="1649" spans="1:13">
      <c r="A1649" s="9"/>
      <c r="B1649" s="9"/>
      <c r="C1649" s="10" t="s">
        <v>27</v>
      </c>
      <c r="D1649" s="30"/>
      <c r="E1649" s="10" t="s">
        <v>1326</v>
      </c>
      <c r="F1649" s="19">
        <v>1</v>
      </c>
      <c r="G1649" s="20">
        <v>2.78</v>
      </c>
      <c r="H1649" s="20">
        <v>0</v>
      </c>
      <c r="I1649" s="20">
        <v>0</v>
      </c>
      <c r="J1649" s="16">
        <f>OR(F1649&lt;&gt;0,G1649&lt;&gt;0,H1649&lt;&gt;0,I1649&lt;&gt;0)*(F1649 + (F1649 = 0))*(G1649 + (G1649 = 0))*(H1649 + (H1649 = 0))*(I1649 + (I1649 = 0))</f>
        <v>2.78</v>
      </c>
      <c r="K1649" s="9"/>
      <c r="L1649" s="9"/>
      <c r="M1649" s="9"/>
    </row>
    <row r="1650" spans="1:13">
      <c r="A1650" s="9"/>
      <c r="B1650" s="9"/>
      <c r="C1650" s="10" t="s">
        <v>27</v>
      </c>
      <c r="D1650" s="30"/>
      <c r="E1650" s="10" t="s">
        <v>1327</v>
      </c>
      <c r="F1650" s="19">
        <v>1</v>
      </c>
      <c r="G1650" s="20">
        <v>2.0099999999999998</v>
      </c>
      <c r="H1650" s="20">
        <v>0</v>
      </c>
      <c r="I1650" s="20">
        <v>0</v>
      </c>
      <c r="J1650" s="16">
        <f>OR(F1650&lt;&gt;0,G1650&lt;&gt;0,H1650&lt;&gt;0,I1650&lt;&gt;0)*(F1650 + (F1650 = 0))*(G1650 + (G1650 = 0))*(H1650 + (H1650 = 0))*(I1650 + (I1650 = 0))</f>
        <v>2.0099999999999998</v>
      </c>
      <c r="K1650" s="9"/>
      <c r="L1650" s="9"/>
      <c r="M1650" s="9"/>
    </row>
    <row r="1651" spans="1:13">
      <c r="A1651" s="9"/>
      <c r="B1651" s="9"/>
      <c r="C1651" s="9"/>
      <c r="D1651" s="30"/>
      <c r="E1651" s="9"/>
      <c r="F1651" s="9"/>
      <c r="G1651" s="9"/>
      <c r="H1651" s="9"/>
      <c r="I1651" s="9"/>
      <c r="J1651" s="21" t="s">
        <v>1328</v>
      </c>
      <c r="K1651" s="22">
        <f>SUM(J1645:J1650)</f>
        <v>24.33</v>
      </c>
      <c r="L1651" s="23">
        <v>0</v>
      </c>
      <c r="M1651" s="24">
        <f>ROUND(K1651*L1651,2)</f>
        <v>0</v>
      </c>
    </row>
    <row r="1652" spans="1:13" ht="0.95" customHeight="1">
      <c r="A1652" s="25"/>
      <c r="B1652" s="25"/>
      <c r="C1652" s="25"/>
      <c r="D1652" s="31"/>
      <c r="E1652" s="25"/>
      <c r="F1652" s="25"/>
      <c r="G1652" s="25"/>
      <c r="H1652" s="25"/>
      <c r="I1652" s="25"/>
      <c r="J1652" s="25"/>
      <c r="K1652" s="25"/>
      <c r="L1652" s="25"/>
      <c r="M1652" s="25"/>
    </row>
    <row r="1653" spans="1:13" ht="45">
      <c r="A1653" s="15" t="s">
        <v>1329</v>
      </c>
      <c r="B1653" s="10" t="s">
        <v>23</v>
      </c>
      <c r="C1653" s="10" t="s">
        <v>94</v>
      </c>
      <c r="D1653" s="18" t="s">
        <v>1330</v>
      </c>
      <c r="E1653" s="9"/>
      <c r="F1653" s="9"/>
      <c r="G1653" s="9"/>
      <c r="H1653" s="9"/>
      <c r="I1653" s="9"/>
      <c r="J1653" s="9"/>
      <c r="K1653" s="16">
        <f>K1658</f>
        <v>10.6</v>
      </c>
      <c r="L1653" s="17">
        <f>L1658</f>
        <v>0</v>
      </c>
      <c r="M1653" s="17">
        <f>M1658</f>
        <v>0</v>
      </c>
    </row>
    <row r="1654" spans="1:13">
      <c r="A1654" s="9"/>
      <c r="B1654" s="9"/>
      <c r="C1654" s="9"/>
      <c r="D1654" s="18" t="s">
        <v>1331</v>
      </c>
      <c r="E1654" s="9"/>
      <c r="F1654" s="9"/>
      <c r="G1654" s="9"/>
      <c r="H1654" s="9"/>
      <c r="I1654" s="9"/>
      <c r="J1654" s="9"/>
      <c r="K1654" s="9"/>
      <c r="L1654" s="9"/>
      <c r="M1654" s="9"/>
    </row>
    <row r="1655" spans="1:13">
      <c r="A1655" s="9"/>
      <c r="B1655" s="9"/>
      <c r="C1655" s="10" t="s">
        <v>27</v>
      </c>
      <c r="D1655" s="30"/>
      <c r="E1655" s="10" t="s">
        <v>1179</v>
      </c>
      <c r="F1655" s="19"/>
      <c r="G1655" s="20"/>
      <c r="H1655" s="20"/>
      <c r="I1655" s="20"/>
      <c r="J1655" s="16">
        <f>OR(F1655&lt;&gt;0,G1655&lt;&gt;0,H1655&lt;&gt;0,I1655&lt;&gt;0)*(F1655 + (F1655 = 0))*(G1655 + (G1655 = 0))*(H1655 + (H1655 = 0))*(I1655 + (I1655 = 0))</f>
        <v>0</v>
      </c>
      <c r="K1655" s="9"/>
      <c r="L1655" s="9"/>
      <c r="M1655" s="9"/>
    </row>
    <row r="1656" spans="1:13">
      <c r="A1656" s="9"/>
      <c r="B1656" s="9"/>
      <c r="C1656" s="10" t="s">
        <v>27</v>
      </c>
      <c r="D1656" s="30"/>
      <c r="E1656" s="10" t="s">
        <v>1103</v>
      </c>
      <c r="F1656" s="19">
        <v>1</v>
      </c>
      <c r="G1656" s="20">
        <v>8.02</v>
      </c>
      <c r="H1656" s="20">
        <v>0</v>
      </c>
      <c r="I1656" s="20">
        <v>0</v>
      </c>
      <c r="J1656" s="16">
        <f>OR(F1656&lt;&gt;0,G1656&lt;&gt;0,H1656&lt;&gt;0,I1656&lt;&gt;0)*(F1656 + (F1656 = 0))*(G1656 + (G1656 = 0))*(H1656 + (H1656 = 0))*(I1656 + (I1656 = 0))</f>
        <v>8.02</v>
      </c>
      <c r="K1656" s="9"/>
      <c r="L1656" s="9"/>
      <c r="M1656" s="9"/>
    </row>
    <row r="1657" spans="1:13">
      <c r="A1657" s="9"/>
      <c r="B1657" s="9"/>
      <c r="C1657" s="10" t="s">
        <v>27</v>
      </c>
      <c r="D1657" s="30"/>
      <c r="E1657" s="10" t="s">
        <v>1104</v>
      </c>
      <c r="F1657" s="19">
        <v>1</v>
      </c>
      <c r="G1657" s="20">
        <v>2.58</v>
      </c>
      <c r="H1657" s="20">
        <v>0</v>
      </c>
      <c r="I1657" s="20">
        <v>0</v>
      </c>
      <c r="J1657" s="16">
        <f>OR(F1657&lt;&gt;0,G1657&lt;&gt;0,H1657&lt;&gt;0,I1657&lt;&gt;0)*(F1657 + (F1657 = 0))*(G1657 + (G1657 = 0))*(H1657 + (H1657 = 0))*(I1657 + (I1657 = 0))</f>
        <v>2.58</v>
      </c>
      <c r="K1657" s="9"/>
      <c r="L1657" s="9"/>
      <c r="M1657" s="9"/>
    </row>
    <row r="1658" spans="1:13">
      <c r="A1658" s="9"/>
      <c r="B1658" s="9"/>
      <c r="C1658" s="9"/>
      <c r="D1658" s="30"/>
      <c r="E1658" s="9"/>
      <c r="F1658" s="9"/>
      <c r="G1658" s="9"/>
      <c r="H1658" s="9"/>
      <c r="I1658" s="9"/>
      <c r="J1658" s="21" t="s">
        <v>1332</v>
      </c>
      <c r="K1658" s="22">
        <f>SUM(J1655:J1657)</f>
        <v>10.6</v>
      </c>
      <c r="L1658" s="23">
        <v>0</v>
      </c>
      <c r="M1658" s="24">
        <f>ROUND(K1658*L1658,2)</f>
        <v>0</v>
      </c>
    </row>
    <row r="1659" spans="1:13" ht="0.95" customHeight="1">
      <c r="A1659" s="25"/>
      <c r="B1659" s="25"/>
      <c r="C1659" s="25"/>
      <c r="D1659" s="31"/>
      <c r="E1659" s="25"/>
      <c r="F1659" s="25"/>
      <c r="G1659" s="25"/>
      <c r="H1659" s="25"/>
      <c r="I1659" s="25"/>
      <c r="J1659" s="25"/>
      <c r="K1659" s="25"/>
      <c r="L1659" s="25"/>
      <c r="M1659" s="25"/>
    </row>
    <row r="1660" spans="1:13" ht="22.5">
      <c r="A1660" s="15" t="s">
        <v>1333</v>
      </c>
      <c r="B1660" s="10" t="s">
        <v>23</v>
      </c>
      <c r="C1660" s="10" t="s">
        <v>94</v>
      </c>
      <c r="D1660" s="18" t="s">
        <v>1321</v>
      </c>
      <c r="E1660" s="9"/>
      <c r="F1660" s="9"/>
      <c r="G1660" s="9"/>
      <c r="H1660" s="9"/>
      <c r="I1660" s="9"/>
      <c r="J1660" s="9"/>
      <c r="K1660" s="16">
        <f>K1668</f>
        <v>93.953999999999994</v>
      </c>
      <c r="L1660" s="17">
        <f>L1668</f>
        <v>0</v>
      </c>
      <c r="M1660" s="17">
        <f>M1668</f>
        <v>0</v>
      </c>
    </row>
    <row r="1661" spans="1:13">
      <c r="A1661" s="9"/>
      <c r="B1661" s="9"/>
      <c r="C1661" s="9"/>
      <c r="D1661" s="18" t="s">
        <v>1334</v>
      </c>
      <c r="E1661" s="9"/>
      <c r="F1661" s="9"/>
      <c r="G1661" s="9"/>
      <c r="H1661" s="9"/>
      <c r="I1661" s="9"/>
      <c r="J1661" s="9"/>
      <c r="K1661" s="9"/>
      <c r="L1661" s="9"/>
      <c r="M1661" s="9"/>
    </row>
    <row r="1662" spans="1:13">
      <c r="A1662" s="9"/>
      <c r="B1662" s="9"/>
      <c r="C1662" s="10" t="s">
        <v>27</v>
      </c>
      <c r="D1662" s="30"/>
      <c r="E1662" s="10" t="s">
        <v>1109</v>
      </c>
      <c r="F1662" s="19"/>
      <c r="G1662" s="20"/>
      <c r="H1662" s="20"/>
      <c r="I1662" s="20"/>
      <c r="J1662" s="16">
        <f>OR(F1662&lt;&gt;0,G1662&lt;&gt;0,H1662&lt;&gt;0,I1662&lt;&gt;0)*(F1662 + (F1662 = 0))*(G1662 + (G1662 = 0))*(H1662 + (H1662 = 0))*(I1662 + (I1662 = 0))</f>
        <v>0</v>
      </c>
      <c r="K1662" s="9"/>
      <c r="L1662" s="9"/>
      <c r="M1662" s="9"/>
    </row>
    <row r="1663" spans="1:13">
      <c r="A1663" s="9"/>
      <c r="B1663" s="9"/>
      <c r="C1663" s="10" t="s">
        <v>27</v>
      </c>
      <c r="D1663" s="30"/>
      <c r="E1663" s="10" t="s">
        <v>1110</v>
      </c>
      <c r="F1663" s="19">
        <v>1</v>
      </c>
      <c r="G1663" s="20">
        <v>6.5</v>
      </c>
      <c r="H1663" s="20">
        <v>6.25</v>
      </c>
      <c r="I1663" s="20">
        <v>0</v>
      </c>
      <c r="J1663" s="16">
        <f>OR(F1663&lt;&gt;0,G1663&lt;&gt;0,H1663&lt;&gt;0,I1663&lt;&gt;0)*(F1663 + (F1663 = 0))*(G1663 + (G1663 = 0))*(H1663 + (H1663 = 0))*(I1663 + (I1663 = 0))</f>
        <v>40.625</v>
      </c>
      <c r="K1663" s="9"/>
      <c r="L1663" s="9"/>
      <c r="M1663" s="9"/>
    </row>
    <row r="1664" spans="1:13">
      <c r="A1664" s="9"/>
      <c r="B1664" s="9"/>
      <c r="C1664" s="10" t="s">
        <v>27</v>
      </c>
      <c r="D1664" s="30"/>
      <c r="E1664" s="10" t="s">
        <v>17</v>
      </c>
      <c r="F1664" s="19">
        <v>1</v>
      </c>
      <c r="G1664" s="20">
        <v>6.5</v>
      </c>
      <c r="H1664" s="20">
        <v>6.25</v>
      </c>
      <c r="I1664" s="20">
        <v>0</v>
      </c>
      <c r="J1664" s="16">
        <f>OR(F1664&lt;&gt;0,G1664&lt;&gt;0,H1664&lt;&gt;0,I1664&lt;&gt;0)*(F1664 + (F1664 = 0))*(G1664 + (G1664 = 0))*(H1664 + (H1664 = 0))*(I1664 + (I1664 = 0))</f>
        <v>40.625</v>
      </c>
      <c r="K1664" s="9"/>
      <c r="L1664" s="9"/>
      <c r="M1664" s="9"/>
    </row>
    <row r="1665" spans="1:13">
      <c r="A1665" s="9"/>
      <c r="B1665" s="9"/>
      <c r="C1665" s="10" t="s">
        <v>27</v>
      </c>
      <c r="D1665" s="30"/>
      <c r="E1665" s="10" t="s">
        <v>17</v>
      </c>
      <c r="F1665" s="19">
        <v>1</v>
      </c>
      <c r="G1665" s="20">
        <v>5.6</v>
      </c>
      <c r="H1665" s="20">
        <v>4.1500000000000004</v>
      </c>
      <c r="I1665" s="20">
        <v>0</v>
      </c>
      <c r="J1665" s="16">
        <f>OR(F1665&lt;&gt;0,G1665&lt;&gt;0,H1665&lt;&gt;0,I1665&lt;&gt;0)*(F1665 + (F1665 = 0))*(G1665 + (G1665 = 0))*(H1665 + (H1665 = 0))*(I1665 + (I1665 = 0))</f>
        <v>23.24</v>
      </c>
      <c r="K1665" s="9"/>
      <c r="L1665" s="9"/>
      <c r="M1665" s="9"/>
    </row>
    <row r="1666" spans="1:13">
      <c r="A1666" s="9"/>
      <c r="B1666" s="9"/>
      <c r="C1666" s="10" t="s">
        <v>27</v>
      </c>
      <c r="D1666" s="30"/>
      <c r="E1666" s="10" t="s">
        <v>1335</v>
      </c>
      <c r="F1666" s="19">
        <v>-1</v>
      </c>
      <c r="G1666" s="20">
        <v>1.75</v>
      </c>
      <c r="H1666" s="20">
        <v>2.4500000000000002</v>
      </c>
      <c r="I1666" s="20">
        <v>0</v>
      </c>
      <c r="J1666" s="16">
        <f>OR(F1666&lt;&gt;0,G1666&lt;&gt;0,H1666&lt;&gt;0,I1666&lt;&gt;0)*(F1666 + (F1666 = 0))*(G1666 + (G1666 = 0))*(H1666 + (H1666 = 0))*(I1666 + (I1666 = 0))</f>
        <v>-4.2880000000000003</v>
      </c>
      <c r="K1666" s="9"/>
      <c r="L1666" s="9"/>
      <c r="M1666" s="9"/>
    </row>
    <row r="1667" spans="1:13">
      <c r="A1667" s="9"/>
      <c r="B1667" s="9"/>
      <c r="C1667" s="10" t="s">
        <v>27</v>
      </c>
      <c r="D1667" s="30"/>
      <c r="E1667" s="10" t="s">
        <v>1335</v>
      </c>
      <c r="F1667" s="19">
        <v>-1</v>
      </c>
      <c r="G1667" s="20">
        <v>2.5499999999999998</v>
      </c>
      <c r="H1667" s="20">
        <v>2.4500000000000002</v>
      </c>
      <c r="I1667" s="20">
        <v>0</v>
      </c>
      <c r="J1667" s="16">
        <f>OR(F1667&lt;&gt;0,G1667&lt;&gt;0,H1667&lt;&gt;0,I1667&lt;&gt;0)*(F1667 + (F1667 = 0))*(G1667 + (G1667 = 0))*(H1667 + (H1667 = 0))*(I1667 + (I1667 = 0))</f>
        <v>-6.2480000000000002</v>
      </c>
      <c r="K1667" s="9"/>
      <c r="L1667" s="9"/>
      <c r="M1667" s="9"/>
    </row>
    <row r="1668" spans="1:13">
      <c r="A1668" s="9"/>
      <c r="B1668" s="9"/>
      <c r="C1668" s="9"/>
      <c r="D1668" s="30"/>
      <c r="E1668" s="9"/>
      <c r="F1668" s="9"/>
      <c r="G1668" s="9"/>
      <c r="H1668" s="9"/>
      <c r="I1668" s="9"/>
      <c r="J1668" s="21" t="s">
        <v>1336</v>
      </c>
      <c r="K1668" s="22">
        <f>SUM(J1662:J1667)</f>
        <v>93.953999999999994</v>
      </c>
      <c r="L1668" s="23">
        <v>0</v>
      </c>
      <c r="M1668" s="24">
        <f>ROUND(K1668*L1668,2)</f>
        <v>0</v>
      </c>
    </row>
    <row r="1669" spans="1:13" ht="0.95" customHeight="1">
      <c r="A1669" s="25"/>
      <c r="B1669" s="25"/>
      <c r="C1669" s="25"/>
      <c r="D1669" s="31"/>
      <c r="E1669" s="25"/>
      <c r="F1669" s="25"/>
      <c r="G1669" s="25"/>
      <c r="H1669" s="25"/>
      <c r="I1669" s="25"/>
      <c r="J1669" s="25"/>
      <c r="K1669" s="25"/>
      <c r="L1669" s="25"/>
      <c r="M1669" s="25"/>
    </row>
    <row r="1670" spans="1:13" ht="33.75">
      <c r="A1670" s="15" t="s">
        <v>1337</v>
      </c>
      <c r="B1670" s="10" t="s">
        <v>23</v>
      </c>
      <c r="C1670" s="10" t="s">
        <v>66</v>
      </c>
      <c r="D1670" s="18" t="s">
        <v>1338</v>
      </c>
      <c r="E1670" s="9"/>
      <c r="F1670" s="9"/>
      <c r="G1670" s="9"/>
      <c r="H1670" s="9"/>
      <c r="I1670" s="9"/>
      <c r="J1670" s="9"/>
      <c r="K1670" s="16">
        <f>K1676</f>
        <v>25.78</v>
      </c>
      <c r="L1670" s="17">
        <f>L1676</f>
        <v>0</v>
      </c>
      <c r="M1670" s="17">
        <f>M1676</f>
        <v>0</v>
      </c>
    </row>
    <row r="1671" spans="1:13">
      <c r="A1671" s="9"/>
      <c r="B1671" s="9"/>
      <c r="C1671" s="9"/>
      <c r="D1671" s="18" t="s">
        <v>1339</v>
      </c>
      <c r="E1671" s="9"/>
      <c r="F1671" s="9"/>
      <c r="G1671" s="9"/>
      <c r="H1671" s="9"/>
      <c r="I1671" s="9"/>
      <c r="J1671" s="9"/>
      <c r="K1671" s="9"/>
      <c r="L1671" s="9"/>
      <c r="M1671" s="9"/>
    </row>
    <row r="1672" spans="1:13">
      <c r="A1672" s="9"/>
      <c r="B1672" s="9"/>
      <c r="C1672" s="10" t="s">
        <v>27</v>
      </c>
      <c r="D1672" s="30"/>
      <c r="E1672" s="10" t="s">
        <v>17</v>
      </c>
      <c r="F1672" s="19">
        <v>1</v>
      </c>
      <c r="G1672" s="20">
        <v>5.95</v>
      </c>
      <c r="H1672" s="20">
        <v>0</v>
      </c>
      <c r="I1672" s="20">
        <v>0</v>
      </c>
      <c r="J1672" s="16">
        <f>OR(F1672&lt;&gt;0,G1672&lt;&gt;0,H1672&lt;&gt;0,I1672&lt;&gt;0)*(F1672 + (F1672 = 0))*(G1672 + (G1672 = 0))*(H1672 + (H1672 = 0))*(I1672 + (I1672 = 0))</f>
        <v>5.95</v>
      </c>
      <c r="K1672" s="9"/>
      <c r="L1672" s="9"/>
      <c r="M1672" s="9"/>
    </row>
    <row r="1673" spans="1:13">
      <c r="A1673" s="9"/>
      <c r="B1673" s="9"/>
      <c r="C1673" s="10" t="s">
        <v>27</v>
      </c>
      <c r="D1673" s="30"/>
      <c r="E1673" s="10" t="s">
        <v>17</v>
      </c>
      <c r="F1673" s="19">
        <v>1</v>
      </c>
      <c r="G1673" s="20">
        <v>3.55</v>
      </c>
      <c r="H1673" s="20">
        <v>0</v>
      </c>
      <c r="I1673" s="20">
        <v>0</v>
      </c>
      <c r="J1673" s="16">
        <f>OR(F1673&lt;&gt;0,G1673&lt;&gt;0,H1673&lt;&gt;0,I1673&lt;&gt;0)*(F1673 + (F1673 = 0))*(G1673 + (G1673 = 0))*(H1673 + (H1673 = 0))*(I1673 + (I1673 = 0))</f>
        <v>3.55</v>
      </c>
      <c r="K1673" s="9"/>
      <c r="L1673" s="9"/>
      <c r="M1673" s="9"/>
    </row>
    <row r="1674" spans="1:13">
      <c r="A1674" s="9"/>
      <c r="B1674" s="9"/>
      <c r="C1674" s="10" t="s">
        <v>27</v>
      </c>
      <c r="D1674" s="30"/>
      <c r="E1674" s="10" t="s">
        <v>17</v>
      </c>
      <c r="F1674" s="19">
        <v>1</v>
      </c>
      <c r="G1674" s="20">
        <v>12.4</v>
      </c>
      <c r="H1674" s="20">
        <v>0</v>
      </c>
      <c r="I1674" s="20">
        <v>0</v>
      </c>
      <c r="J1674" s="16">
        <f>OR(F1674&lt;&gt;0,G1674&lt;&gt;0,H1674&lt;&gt;0,I1674&lt;&gt;0)*(F1674 + (F1674 = 0))*(G1674 + (G1674 = 0))*(H1674 + (H1674 = 0))*(I1674 + (I1674 = 0))</f>
        <v>12.4</v>
      </c>
      <c r="K1674" s="9"/>
      <c r="L1674" s="9"/>
      <c r="M1674" s="9"/>
    </row>
    <row r="1675" spans="1:13">
      <c r="A1675" s="9"/>
      <c r="B1675" s="9"/>
      <c r="C1675" s="10" t="s">
        <v>27</v>
      </c>
      <c r="D1675" s="30"/>
      <c r="E1675" s="10" t="s">
        <v>17</v>
      </c>
      <c r="F1675" s="19">
        <v>1</v>
      </c>
      <c r="G1675" s="20">
        <v>3.88</v>
      </c>
      <c r="H1675" s="20">
        <v>0</v>
      </c>
      <c r="I1675" s="20">
        <v>0</v>
      </c>
      <c r="J1675" s="16">
        <f>OR(F1675&lt;&gt;0,G1675&lt;&gt;0,H1675&lt;&gt;0,I1675&lt;&gt;0)*(F1675 + (F1675 = 0))*(G1675 + (G1675 = 0))*(H1675 + (H1675 = 0))*(I1675 + (I1675 = 0))</f>
        <v>3.88</v>
      </c>
      <c r="K1675" s="9"/>
      <c r="L1675" s="9"/>
      <c r="M1675" s="9"/>
    </row>
    <row r="1676" spans="1:13">
      <c r="A1676" s="9"/>
      <c r="B1676" s="9"/>
      <c r="C1676" s="9"/>
      <c r="D1676" s="30"/>
      <c r="E1676" s="9"/>
      <c r="F1676" s="9"/>
      <c r="G1676" s="9"/>
      <c r="H1676" s="9"/>
      <c r="I1676" s="9"/>
      <c r="J1676" s="21" t="s">
        <v>1340</v>
      </c>
      <c r="K1676" s="22">
        <f>SUM(J1672:J1675)</f>
        <v>25.78</v>
      </c>
      <c r="L1676" s="23">
        <v>0</v>
      </c>
      <c r="M1676" s="24">
        <f>ROUND(K1676*L1676,2)</f>
        <v>0</v>
      </c>
    </row>
    <row r="1677" spans="1:13" ht="0.95" customHeight="1">
      <c r="A1677" s="25"/>
      <c r="B1677" s="25"/>
      <c r="C1677" s="25"/>
      <c r="D1677" s="31"/>
      <c r="E1677" s="25"/>
      <c r="F1677" s="25"/>
      <c r="G1677" s="25"/>
      <c r="H1677" s="25"/>
      <c r="I1677" s="25"/>
      <c r="J1677" s="25"/>
      <c r="K1677" s="25"/>
      <c r="L1677" s="25"/>
      <c r="M1677" s="25"/>
    </row>
    <row r="1678" spans="1:13" ht="22.5">
      <c r="A1678" s="15" t="s">
        <v>1341</v>
      </c>
      <c r="B1678" s="10" t="s">
        <v>23</v>
      </c>
      <c r="C1678" s="10" t="s">
        <v>204</v>
      </c>
      <c r="D1678" s="18" t="s">
        <v>1342</v>
      </c>
      <c r="E1678" s="9"/>
      <c r="F1678" s="9"/>
      <c r="G1678" s="9"/>
      <c r="H1678" s="9"/>
      <c r="I1678" s="9"/>
      <c r="J1678" s="9"/>
      <c r="K1678" s="16">
        <f>K1681</f>
        <v>31.43</v>
      </c>
      <c r="L1678" s="17">
        <f>L1681</f>
        <v>0</v>
      </c>
      <c r="M1678" s="17">
        <f>M1681</f>
        <v>0</v>
      </c>
    </row>
    <row r="1679" spans="1:13">
      <c r="A1679" s="9"/>
      <c r="B1679" s="9"/>
      <c r="C1679" s="9"/>
      <c r="D1679" s="18" t="s">
        <v>1343</v>
      </c>
      <c r="E1679" s="9"/>
      <c r="F1679" s="9"/>
      <c r="G1679" s="9"/>
      <c r="H1679" s="9"/>
      <c r="I1679" s="9"/>
      <c r="J1679" s="9"/>
      <c r="K1679" s="9"/>
      <c r="L1679" s="9"/>
      <c r="M1679" s="9"/>
    </row>
    <row r="1680" spans="1:13">
      <c r="A1680" s="9"/>
      <c r="B1680" s="9"/>
      <c r="C1680" s="10" t="s">
        <v>27</v>
      </c>
      <c r="D1680" s="30"/>
      <c r="E1680" s="10" t="s">
        <v>1344</v>
      </c>
      <c r="F1680" s="19">
        <v>1</v>
      </c>
      <c r="G1680" s="23">
        <v>6.35</v>
      </c>
      <c r="H1680" s="23">
        <v>4.95</v>
      </c>
      <c r="I1680" s="23">
        <v>0</v>
      </c>
      <c r="J1680" s="17">
        <f>OR(F1680&lt;&gt;0,G1680&lt;&gt;0,H1680&lt;&gt;0,I1680&lt;&gt;0)*(F1680 + (F1680 = 0))*(G1680 + (G1680 = 0))*(H1680 + (H1680 = 0))*(I1680 + (I1680 = 0))</f>
        <v>31.43</v>
      </c>
      <c r="K1680" s="9"/>
      <c r="L1680" s="9"/>
      <c r="M1680" s="9"/>
    </row>
    <row r="1681" spans="1:13">
      <c r="A1681" s="9"/>
      <c r="B1681" s="9"/>
      <c r="C1681" s="9"/>
      <c r="D1681" s="30"/>
      <c r="E1681" s="9"/>
      <c r="F1681" s="9"/>
      <c r="G1681" s="9"/>
      <c r="H1681" s="9"/>
      <c r="I1681" s="9"/>
      <c r="J1681" s="21" t="s">
        <v>1345</v>
      </c>
      <c r="K1681" s="22">
        <f>J1680</f>
        <v>31.43</v>
      </c>
      <c r="L1681" s="23">
        <v>0</v>
      </c>
      <c r="M1681" s="24">
        <f>ROUND(K1681*L1681,2)</f>
        <v>0</v>
      </c>
    </row>
    <row r="1682" spans="1:13" ht="0.95" customHeight="1">
      <c r="A1682" s="25"/>
      <c r="B1682" s="25"/>
      <c r="C1682" s="25"/>
      <c r="D1682" s="31"/>
      <c r="E1682" s="25"/>
      <c r="F1682" s="25"/>
      <c r="G1682" s="25"/>
      <c r="H1682" s="25"/>
      <c r="I1682" s="25"/>
      <c r="J1682" s="25"/>
      <c r="K1682" s="25"/>
      <c r="L1682" s="25"/>
      <c r="M1682" s="25"/>
    </row>
    <row r="1683" spans="1:13">
      <c r="A1683" s="9"/>
      <c r="B1683" s="9"/>
      <c r="C1683" s="9"/>
      <c r="D1683" s="30"/>
      <c r="E1683" s="9"/>
      <c r="F1683" s="9"/>
      <c r="G1683" s="9"/>
      <c r="H1683" s="9"/>
      <c r="I1683" s="9"/>
      <c r="J1683" s="21" t="s">
        <v>1346</v>
      </c>
      <c r="K1683" s="20">
        <v>1</v>
      </c>
      <c r="L1683" s="24">
        <f>M1638+M1643+M1653+M1660+M1670+M1678</f>
        <v>0</v>
      </c>
      <c r="M1683" s="24">
        <f>ROUND(K1683*L1683,2)</f>
        <v>0</v>
      </c>
    </row>
    <row r="1684" spans="1:13" ht="0.95" customHeight="1">
      <c r="A1684" s="25"/>
      <c r="B1684" s="25"/>
      <c r="C1684" s="25"/>
      <c r="D1684" s="31"/>
      <c r="E1684" s="25"/>
      <c r="F1684" s="25"/>
      <c r="G1684" s="25"/>
      <c r="H1684" s="25"/>
      <c r="I1684" s="25"/>
      <c r="J1684" s="25"/>
      <c r="K1684" s="25"/>
      <c r="L1684" s="25"/>
      <c r="M1684" s="25"/>
    </row>
    <row r="1685" spans="1:13">
      <c r="A1685" s="9"/>
      <c r="B1685" s="9"/>
      <c r="C1685" s="9"/>
      <c r="D1685" s="30"/>
      <c r="E1685" s="9"/>
      <c r="F1685" s="9"/>
      <c r="G1685" s="9"/>
      <c r="H1685" s="9"/>
      <c r="I1685" s="9"/>
      <c r="J1685" s="21" t="s">
        <v>1347</v>
      </c>
      <c r="K1685" s="26">
        <v>1</v>
      </c>
      <c r="L1685" s="24">
        <f>M1470+M1484+M1497+M1554+M1571+M1605+M1637</f>
        <v>0</v>
      </c>
      <c r="M1685" s="24">
        <f>ROUND(K1685*L1685,2)</f>
        <v>0</v>
      </c>
    </row>
    <row r="1686" spans="1:13" ht="0.95" customHeight="1">
      <c r="A1686" s="25"/>
      <c r="B1686" s="25"/>
      <c r="C1686" s="25"/>
      <c r="D1686" s="31"/>
      <c r="E1686" s="25"/>
      <c r="F1686" s="25"/>
      <c r="G1686" s="25"/>
      <c r="H1686" s="25"/>
      <c r="I1686" s="25"/>
      <c r="J1686" s="25"/>
      <c r="K1686" s="25"/>
      <c r="L1686" s="25"/>
      <c r="M1686" s="25"/>
    </row>
    <row r="1687" spans="1:13">
      <c r="A1687" s="5" t="s">
        <v>1348</v>
      </c>
      <c r="B1687" s="5" t="s">
        <v>16</v>
      </c>
      <c r="C1687" s="5" t="s">
        <v>17</v>
      </c>
      <c r="D1687" s="28" t="s">
        <v>1349</v>
      </c>
      <c r="E1687" s="6"/>
      <c r="F1687" s="6"/>
      <c r="G1687" s="6"/>
      <c r="H1687" s="6"/>
      <c r="I1687" s="6"/>
      <c r="J1687" s="6"/>
      <c r="K1687" s="7">
        <f>K1736</f>
        <v>1</v>
      </c>
      <c r="L1687" s="8">
        <f>L1736</f>
        <v>0</v>
      </c>
      <c r="M1687" s="8">
        <f>M1736</f>
        <v>0</v>
      </c>
    </row>
    <row r="1688" spans="1:13">
      <c r="A1688" s="11" t="s">
        <v>1350</v>
      </c>
      <c r="B1688" s="11" t="s">
        <v>16</v>
      </c>
      <c r="C1688" s="11" t="s">
        <v>17</v>
      </c>
      <c r="D1688" s="29" t="s">
        <v>1351</v>
      </c>
      <c r="E1688" s="12"/>
      <c r="F1688" s="12"/>
      <c r="G1688" s="12"/>
      <c r="H1688" s="12"/>
      <c r="I1688" s="12"/>
      <c r="J1688" s="12"/>
      <c r="K1688" s="13">
        <f>K1704</f>
        <v>1</v>
      </c>
      <c r="L1688" s="14">
        <f>L1704</f>
        <v>0</v>
      </c>
      <c r="M1688" s="14">
        <f>M1704</f>
        <v>0</v>
      </c>
    </row>
    <row r="1689" spans="1:13" ht="22.5">
      <c r="A1689" s="15" t="s">
        <v>1352</v>
      </c>
      <c r="B1689" s="10" t="s">
        <v>23</v>
      </c>
      <c r="C1689" s="10" t="s">
        <v>4</v>
      </c>
      <c r="D1689" s="18" t="s">
        <v>1353</v>
      </c>
      <c r="E1689" s="9"/>
      <c r="F1689" s="9"/>
      <c r="G1689" s="9"/>
      <c r="H1689" s="9"/>
      <c r="I1689" s="9"/>
      <c r="J1689" s="9"/>
      <c r="K1689" s="16">
        <f>K1692</f>
        <v>1</v>
      </c>
      <c r="L1689" s="17">
        <f>L1692</f>
        <v>0</v>
      </c>
      <c r="M1689" s="17">
        <f>M1692</f>
        <v>0</v>
      </c>
    </row>
    <row r="1690" spans="1:13">
      <c r="A1690" s="9"/>
      <c r="B1690" s="9"/>
      <c r="C1690" s="9"/>
      <c r="D1690" s="18" t="s">
        <v>1354</v>
      </c>
      <c r="E1690" s="9"/>
      <c r="F1690" s="9"/>
      <c r="G1690" s="9"/>
      <c r="H1690" s="9"/>
      <c r="I1690" s="9"/>
      <c r="J1690" s="9"/>
      <c r="K1690" s="9"/>
      <c r="L1690" s="9"/>
      <c r="M1690" s="9"/>
    </row>
    <row r="1691" spans="1:13">
      <c r="A1691" s="9"/>
      <c r="B1691" s="9"/>
      <c r="C1691" s="10" t="s">
        <v>27</v>
      </c>
      <c r="D1691" s="30"/>
      <c r="E1691" s="10" t="s">
        <v>1355</v>
      </c>
      <c r="F1691" s="19">
        <v>1</v>
      </c>
      <c r="G1691" s="20">
        <v>0</v>
      </c>
      <c r="H1691" s="20">
        <v>0</v>
      </c>
      <c r="I1691" s="20">
        <v>0</v>
      </c>
      <c r="J1691" s="16">
        <f>OR(F1691&lt;&gt;0,G1691&lt;&gt;0,H1691&lt;&gt;0,I1691&lt;&gt;0)*(F1691 + (F1691 = 0))*(G1691 + (G1691 = 0))*(H1691 + (H1691 = 0))*(I1691 + (I1691 = 0))</f>
        <v>1</v>
      </c>
      <c r="K1691" s="9"/>
      <c r="L1691" s="9"/>
      <c r="M1691" s="9"/>
    </row>
    <row r="1692" spans="1:13">
      <c r="A1692" s="9"/>
      <c r="B1692" s="9"/>
      <c r="C1692" s="9"/>
      <c r="D1692" s="30"/>
      <c r="E1692" s="9"/>
      <c r="F1692" s="9"/>
      <c r="G1692" s="9"/>
      <c r="H1692" s="9"/>
      <c r="I1692" s="9"/>
      <c r="J1692" s="21" t="s">
        <v>1356</v>
      </c>
      <c r="K1692" s="22">
        <f>J1691</f>
        <v>1</v>
      </c>
      <c r="L1692" s="23">
        <v>0</v>
      </c>
      <c r="M1692" s="24">
        <f>ROUND(K1692*L1692,2)</f>
        <v>0</v>
      </c>
    </row>
    <row r="1693" spans="1:13" ht="0.95" customHeight="1">
      <c r="A1693" s="25"/>
      <c r="B1693" s="25"/>
      <c r="C1693" s="25"/>
      <c r="D1693" s="31"/>
      <c r="E1693" s="25"/>
      <c r="F1693" s="25"/>
      <c r="G1693" s="25"/>
      <c r="H1693" s="25"/>
      <c r="I1693" s="25"/>
      <c r="J1693" s="25"/>
      <c r="K1693" s="25"/>
      <c r="L1693" s="25"/>
      <c r="M1693" s="25"/>
    </row>
    <row r="1694" spans="1:13" ht="22.5">
      <c r="A1694" s="15" t="s">
        <v>1357</v>
      </c>
      <c r="B1694" s="10" t="s">
        <v>23</v>
      </c>
      <c r="C1694" s="10" t="s">
        <v>4</v>
      </c>
      <c r="D1694" s="18" t="s">
        <v>1358</v>
      </c>
      <c r="E1694" s="9"/>
      <c r="F1694" s="9"/>
      <c r="G1694" s="9"/>
      <c r="H1694" s="9"/>
      <c r="I1694" s="9"/>
      <c r="J1694" s="9"/>
      <c r="K1694" s="16">
        <f>K1697</f>
        <v>1</v>
      </c>
      <c r="L1694" s="17">
        <f>L1697</f>
        <v>0</v>
      </c>
      <c r="M1694" s="17">
        <f>M1697</f>
        <v>0</v>
      </c>
    </row>
    <row r="1695" spans="1:13">
      <c r="A1695" s="9"/>
      <c r="B1695" s="9"/>
      <c r="C1695" s="9"/>
      <c r="D1695" s="18" t="s">
        <v>1359</v>
      </c>
      <c r="E1695" s="9"/>
      <c r="F1695" s="9"/>
      <c r="G1695" s="9"/>
      <c r="H1695" s="9"/>
      <c r="I1695" s="9"/>
      <c r="J1695" s="9"/>
      <c r="K1695" s="9"/>
      <c r="L1695" s="9"/>
      <c r="M1695" s="9"/>
    </row>
    <row r="1696" spans="1:13">
      <c r="A1696" s="9"/>
      <c r="B1696" s="9"/>
      <c r="C1696" s="10" t="s">
        <v>27</v>
      </c>
      <c r="D1696" s="30"/>
      <c r="E1696" s="10" t="s">
        <v>1244</v>
      </c>
      <c r="F1696" s="19">
        <v>1</v>
      </c>
      <c r="G1696" s="20">
        <v>0</v>
      </c>
      <c r="H1696" s="20">
        <v>0</v>
      </c>
      <c r="I1696" s="20">
        <v>0</v>
      </c>
      <c r="J1696" s="16">
        <f>OR(F1696&lt;&gt;0,G1696&lt;&gt;0,H1696&lt;&gt;0,I1696&lt;&gt;0)*(F1696 + (F1696 = 0))*(G1696 + (G1696 = 0))*(H1696 + (H1696 = 0))*(I1696 + (I1696 = 0))</f>
        <v>1</v>
      </c>
      <c r="K1696" s="9"/>
      <c r="L1696" s="9"/>
      <c r="M1696" s="9"/>
    </row>
    <row r="1697" spans="1:13">
      <c r="A1697" s="9"/>
      <c r="B1697" s="9"/>
      <c r="C1697" s="9"/>
      <c r="D1697" s="30"/>
      <c r="E1697" s="9"/>
      <c r="F1697" s="9"/>
      <c r="G1697" s="9"/>
      <c r="H1697" s="9"/>
      <c r="I1697" s="9"/>
      <c r="J1697" s="21" t="s">
        <v>1360</v>
      </c>
      <c r="K1697" s="22">
        <f>J1696</f>
        <v>1</v>
      </c>
      <c r="L1697" s="23">
        <v>0</v>
      </c>
      <c r="M1697" s="24">
        <f>ROUND(K1697*L1697,2)</f>
        <v>0</v>
      </c>
    </row>
    <row r="1698" spans="1:13" ht="0.95" customHeight="1">
      <c r="A1698" s="25"/>
      <c r="B1698" s="25"/>
      <c r="C1698" s="25"/>
      <c r="D1698" s="31"/>
      <c r="E1698" s="25"/>
      <c r="F1698" s="25"/>
      <c r="G1698" s="25"/>
      <c r="H1698" s="25"/>
      <c r="I1698" s="25"/>
      <c r="J1698" s="25"/>
      <c r="K1698" s="25"/>
      <c r="L1698" s="25"/>
      <c r="M1698" s="25"/>
    </row>
    <row r="1699" spans="1:13" ht="22.5">
      <c r="A1699" s="15" t="s">
        <v>1361</v>
      </c>
      <c r="B1699" s="10" t="s">
        <v>23</v>
      </c>
      <c r="C1699" s="10" t="s">
        <v>4</v>
      </c>
      <c r="D1699" s="18" t="s">
        <v>1362</v>
      </c>
      <c r="E1699" s="9"/>
      <c r="F1699" s="9"/>
      <c r="G1699" s="9"/>
      <c r="H1699" s="9"/>
      <c r="I1699" s="9"/>
      <c r="J1699" s="9"/>
      <c r="K1699" s="16">
        <f>K1702</f>
        <v>1</v>
      </c>
      <c r="L1699" s="17">
        <f>L1702</f>
        <v>0</v>
      </c>
      <c r="M1699" s="17">
        <f>M1702</f>
        <v>0</v>
      </c>
    </row>
    <row r="1700" spans="1:13">
      <c r="A1700" s="9"/>
      <c r="B1700" s="9"/>
      <c r="C1700" s="9"/>
      <c r="D1700" s="18" t="s">
        <v>1363</v>
      </c>
      <c r="E1700" s="9"/>
      <c r="F1700" s="9"/>
      <c r="G1700" s="9"/>
      <c r="H1700" s="9"/>
      <c r="I1700" s="9"/>
      <c r="J1700" s="9"/>
      <c r="K1700" s="9"/>
      <c r="L1700" s="9"/>
      <c r="M1700" s="9"/>
    </row>
    <row r="1701" spans="1:13">
      <c r="A1701" s="9"/>
      <c r="B1701" s="9"/>
      <c r="C1701" s="10" t="s">
        <v>27</v>
      </c>
      <c r="D1701" s="30"/>
      <c r="E1701" s="10" t="s">
        <v>1364</v>
      </c>
      <c r="F1701" s="19">
        <v>1</v>
      </c>
      <c r="G1701" s="20">
        <v>0</v>
      </c>
      <c r="H1701" s="20">
        <v>0</v>
      </c>
      <c r="I1701" s="20">
        <v>0</v>
      </c>
      <c r="J1701" s="16">
        <f>OR(F1701&lt;&gt;0,G1701&lt;&gt;0,H1701&lt;&gt;0,I1701&lt;&gt;0)*(F1701 + (F1701 = 0))*(G1701 + (G1701 = 0))*(H1701 + (H1701 = 0))*(I1701 + (I1701 = 0))</f>
        <v>1</v>
      </c>
      <c r="K1701" s="9"/>
      <c r="L1701" s="9"/>
      <c r="M1701" s="9"/>
    </row>
    <row r="1702" spans="1:13">
      <c r="A1702" s="9"/>
      <c r="B1702" s="9"/>
      <c r="C1702" s="9"/>
      <c r="D1702" s="30"/>
      <c r="E1702" s="9"/>
      <c r="F1702" s="9"/>
      <c r="G1702" s="9"/>
      <c r="H1702" s="9"/>
      <c r="I1702" s="9"/>
      <c r="J1702" s="21" t="s">
        <v>1365</v>
      </c>
      <c r="K1702" s="22">
        <f>J1701</f>
        <v>1</v>
      </c>
      <c r="L1702" s="23">
        <v>0</v>
      </c>
      <c r="M1702" s="24">
        <f>ROUND(K1702*L1702,2)</f>
        <v>0</v>
      </c>
    </row>
    <row r="1703" spans="1:13" ht="0.95" customHeight="1">
      <c r="A1703" s="25"/>
      <c r="B1703" s="25"/>
      <c r="C1703" s="25"/>
      <c r="D1703" s="31"/>
      <c r="E1703" s="25"/>
      <c r="F1703" s="25"/>
      <c r="G1703" s="25"/>
      <c r="H1703" s="25"/>
      <c r="I1703" s="25"/>
      <c r="J1703" s="25"/>
      <c r="K1703" s="25"/>
      <c r="L1703" s="25"/>
      <c r="M1703" s="25"/>
    </row>
    <row r="1704" spans="1:13">
      <c r="A1704" s="9"/>
      <c r="B1704" s="9"/>
      <c r="C1704" s="9"/>
      <c r="D1704" s="30"/>
      <c r="E1704" s="9"/>
      <c r="F1704" s="9"/>
      <c r="G1704" s="9"/>
      <c r="H1704" s="9"/>
      <c r="I1704" s="9"/>
      <c r="J1704" s="21" t="s">
        <v>1366</v>
      </c>
      <c r="K1704" s="20">
        <v>1</v>
      </c>
      <c r="L1704" s="24">
        <f>M1689+M1694+M1699</f>
        <v>0</v>
      </c>
      <c r="M1704" s="24">
        <f>ROUND(K1704*L1704,2)</f>
        <v>0</v>
      </c>
    </row>
    <row r="1705" spans="1:13" ht="0.95" customHeight="1">
      <c r="A1705" s="25"/>
      <c r="B1705" s="25"/>
      <c r="C1705" s="25"/>
      <c r="D1705" s="31"/>
      <c r="E1705" s="25"/>
      <c r="F1705" s="25"/>
      <c r="G1705" s="25"/>
      <c r="H1705" s="25"/>
      <c r="I1705" s="25"/>
      <c r="J1705" s="25"/>
      <c r="K1705" s="25"/>
      <c r="L1705" s="25"/>
      <c r="M1705" s="25"/>
    </row>
    <row r="1706" spans="1:13">
      <c r="A1706" s="11" t="s">
        <v>1367</v>
      </c>
      <c r="B1706" s="11" t="s">
        <v>16</v>
      </c>
      <c r="C1706" s="11" t="s">
        <v>17</v>
      </c>
      <c r="D1706" s="29" t="s">
        <v>1368</v>
      </c>
      <c r="E1706" s="12"/>
      <c r="F1706" s="12"/>
      <c r="G1706" s="12"/>
      <c r="H1706" s="12"/>
      <c r="I1706" s="12"/>
      <c r="J1706" s="12"/>
      <c r="K1706" s="13">
        <f>K1726</f>
        <v>1</v>
      </c>
      <c r="L1706" s="14">
        <f>L1726</f>
        <v>0</v>
      </c>
      <c r="M1706" s="14">
        <f>M1726</f>
        <v>0</v>
      </c>
    </row>
    <row r="1707" spans="1:13" ht="22.5">
      <c r="A1707" s="15" t="s">
        <v>1369</v>
      </c>
      <c r="B1707" s="10" t="s">
        <v>23</v>
      </c>
      <c r="C1707" s="10" t="s">
        <v>4</v>
      </c>
      <c r="D1707" s="18" t="s">
        <v>1370</v>
      </c>
      <c r="E1707" s="9"/>
      <c r="F1707" s="9"/>
      <c r="G1707" s="9"/>
      <c r="H1707" s="9"/>
      <c r="I1707" s="9"/>
      <c r="J1707" s="9"/>
      <c r="K1707" s="20">
        <v>1</v>
      </c>
      <c r="L1707" s="23">
        <v>0</v>
      </c>
      <c r="M1707" s="17">
        <f>ROUND(K1707*L1707,2)</f>
        <v>0</v>
      </c>
    </row>
    <row r="1708" spans="1:13">
      <c r="A1708" s="9"/>
      <c r="B1708" s="9"/>
      <c r="C1708" s="9"/>
      <c r="D1708" s="18" t="s">
        <v>1371</v>
      </c>
      <c r="E1708" s="9"/>
      <c r="F1708" s="9"/>
      <c r="G1708" s="9"/>
      <c r="H1708" s="9"/>
      <c r="I1708" s="9"/>
      <c r="J1708" s="9"/>
      <c r="K1708" s="9"/>
      <c r="L1708" s="9"/>
      <c r="M1708" s="9"/>
    </row>
    <row r="1709" spans="1:13">
      <c r="A1709" s="15" t="s">
        <v>1372</v>
      </c>
      <c r="B1709" s="10" t="s">
        <v>23</v>
      </c>
      <c r="C1709" s="10" t="s">
        <v>4</v>
      </c>
      <c r="D1709" s="18" t="s">
        <v>1373</v>
      </c>
      <c r="E1709" s="9"/>
      <c r="F1709" s="9"/>
      <c r="G1709" s="9"/>
      <c r="H1709" s="9"/>
      <c r="I1709" s="9"/>
      <c r="J1709" s="9"/>
      <c r="K1709" s="20">
        <v>1</v>
      </c>
      <c r="L1709" s="23">
        <v>0</v>
      </c>
      <c r="M1709" s="17">
        <f>ROUND(K1709*L1709,2)</f>
        <v>0</v>
      </c>
    </row>
    <row r="1710" spans="1:13">
      <c r="A1710" s="9"/>
      <c r="B1710" s="9"/>
      <c r="C1710" s="9"/>
      <c r="D1710" s="18" t="s">
        <v>1374</v>
      </c>
      <c r="E1710" s="9"/>
      <c r="F1710" s="9"/>
      <c r="G1710" s="9"/>
      <c r="H1710" s="9"/>
      <c r="I1710" s="9"/>
      <c r="J1710" s="9"/>
      <c r="K1710" s="9"/>
      <c r="L1710" s="9"/>
      <c r="M1710" s="9"/>
    </row>
    <row r="1711" spans="1:13">
      <c r="A1711" s="15" t="s">
        <v>1375</v>
      </c>
      <c r="B1711" s="10" t="s">
        <v>23</v>
      </c>
      <c r="C1711" s="10" t="s">
        <v>4</v>
      </c>
      <c r="D1711" s="18" t="s">
        <v>1376</v>
      </c>
      <c r="E1711" s="9"/>
      <c r="F1711" s="9"/>
      <c r="G1711" s="9"/>
      <c r="H1711" s="9"/>
      <c r="I1711" s="9"/>
      <c r="J1711" s="9"/>
      <c r="K1711" s="20">
        <v>1</v>
      </c>
      <c r="L1711" s="23">
        <v>0</v>
      </c>
      <c r="M1711" s="17">
        <f>ROUND(K1711*L1711,2)</f>
        <v>0</v>
      </c>
    </row>
    <row r="1712" spans="1:13">
      <c r="A1712" s="9"/>
      <c r="B1712" s="9"/>
      <c r="C1712" s="9"/>
      <c r="D1712" s="18" t="s">
        <v>1377</v>
      </c>
      <c r="E1712" s="9"/>
      <c r="F1712" s="9"/>
      <c r="G1712" s="9"/>
      <c r="H1712" s="9"/>
      <c r="I1712" s="9"/>
      <c r="J1712" s="9"/>
      <c r="K1712" s="9"/>
      <c r="L1712" s="9"/>
      <c r="M1712" s="9"/>
    </row>
    <row r="1713" spans="1:13" ht="22.5">
      <c r="A1713" s="15" t="s">
        <v>1378</v>
      </c>
      <c r="B1713" s="10" t="s">
        <v>23</v>
      </c>
      <c r="C1713" s="10" t="s">
        <v>204</v>
      </c>
      <c r="D1713" s="18" t="s">
        <v>1379</v>
      </c>
      <c r="E1713" s="9"/>
      <c r="F1713" s="9"/>
      <c r="G1713" s="9"/>
      <c r="H1713" s="9"/>
      <c r="I1713" s="9"/>
      <c r="J1713" s="9"/>
      <c r="K1713" s="16">
        <f>K1719</f>
        <v>5.8849999999999998</v>
      </c>
      <c r="L1713" s="17">
        <f>L1719</f>
        <v>0</v>
      </c>
      <c r="M1713" s="17">
        <f>M1719</f>
        <v>0</v>
      </c>
    </row>
    <row r="1714" spans="1:13">
      <c r="A1714" s="9"/>
      <c r="B1714" s="9"/>
      <c r="C1714" s="9"/>
      <c r="D1714" s="18" t="s">
        <v>1380</v>
      </c>
      <c r="E1714" s="9"/>
      <c r="F1714" s="9"/>
      <c r="G1714" s="9"/>
      <c r="H1714" s="9"/>
      <c r="I1714" s="9"/>
      <c r="J1714" s="9"/>
      <c r="K1714" s="9"/>
      <c r="L1714" s="9"/>
      <c r="M1714" s="9"/>
    </row>
    <row r="1715" spans="1:13">
      <c r="A1715" s="9"/>
      <c r="B1715" s="9"/>
      <c r="C1715" s="10" t="s">
        <v>27</v>
      </c>
      <c r="D1715" s="30"/>
      <c r="E1715" s="10" t="s">
        <v>1381</v>
      </c>
      <c r="F1715" s="19">
        <v>1</v>
      </c>
      <c r="G1715" s="20">
        <v>3.4</v>
      </c>
      <c r="H1715" s="20">
        <v>0.6</v>
      </c>
      <c r="I1715" s="20">
        <v>0</v>
      </c>
      <c r="J1715" s="16">
        <f>OR(F1715&lt;&gt;0,G1715&lt;&gt;0,H1715&lt;&gt;0,I1715&lt;&gt;0)*(F1715 + (F1715 = 0))*(G1715 + (G1715 = 0))*(H1715 + (H1715 = 0))*(I1715 + (I1715 = 0))</f>
        <v>2.04</v>
      </c>
      <c r="K1715" s="9"/>
      <c r="L1715" s="9"/>
      <c r="M1715" s="9"/>
    </row>
    <row r="1716" spans="1:13">
      <c r="A1716" s="9"/>
      <c r="B1716" s="9"/>
      <c r="C1716" s="10" t="s">
        <v>27</v>
      </c>
      <c r="D1716" s="30"/>
      <c r="E1716" s="10" t="s">
        <v>1382</v>
      </c>
      <c r="F1716" s="19">
        <v>1</v>
      </c>
      <c r="G1716" s="20">
        <v>2.1</v>
      </c>
      <c r="H1716" s="20">
        <v>1.3</v>
      </c>
      <c r="I1716" s="20">
        <v>0</v>
      </c>
      <c r="J1716" s="16">
        <f>OR(F1716&lt;&gt;0,G1716&lt;&gt;0,H1716&lt;&gt;0,I1716&lt;&gt;0)*(F1716 + (F1716 = 0))*(G1716 + (G1716 = 0))*(H1716 + (H1716 = 0))*(I1716 + (I1716 = 0))</f>
        <v>2.73</v>
      </c>
      <c r="K1716" s="9"/>
      <c r="L1716" s="9"/>
      <c r="M1716" s="9"/>
    </row>
    <row r="1717" spans="1:13">
      <c r="A1717" s="9"/>
      <c r="B1717" s="9"/>
      <c r="C1717" s="10" t="s">
        <v>27</v>
      </c>
      <c r="D1717" s="30"/>
      <c r="E1717" s="10" t="s">
        <v>1383</v>
      </c>
      <c r="F1717" s="19">
        <v>1</v>
      </c>
      <c r="G1717" s="20">
        <v>1.35</v>
      </c>
      <c r="H1717" s="20">
        <v>0.5</v>
      </c>
      <c r="I1717" s="20">
        <v>0</v>
      </c>
      <c r="J1717" s="16">
        <f>OR(F1717&lt;&gt;0,G1717&lt;&gt;0,H1717&lt;&gt;0,I1717&lt;&gt;0)*(F1717 + (F1717 = 0))*(G1717 + (G1717 = 0))*(H1717 + (H1717 = 0))*(I1717 + (I1717 = 0))</f>
        <v>0.67500000000000004</v>
      </c>
      <c r="K1717" s="9"/>
      <c r="L1717" s="9"/>
      <c r="M1717" s="9"/>
    </row>
    <row r="1718" spans="1:13">
      <c r="A1718" s="9"/>
      <c r="B1718" s="9"/>
      <c r="C1718" s="10" t="s">
        <v>27</v>
      </c>
      <c r="D1718" s="30"/>
      <c r="E1718" s="10" t="s">
        <v>1384</v>
      </c>
      <c r="F1718" s="19">
        <v>1</v>
      </c>
      <c r="G1718" s="20">
        <v>0.8</v>
      </c>
      <c r="H1718" s="20">
        <v>0.55000000000000004</v>
      </c>
      <c r="I1718" s="20">
        <v>0</v>
      </c>
      <c r="J1718" s="16">
        <f>OR(F1718&lt;&gt;0,G1718&lt;&gt;0,H1718&lt;&gt;0,I1718&lt;&gt;0)*(F1718 + (F1718 = 0))*(G1718 + (G1718 = 0))*(H1718 + (H1718 = 0))*(I1718 + (I1718 = 0))</f>
        <v>0.44</v>
      </c>
      <c r="K1718" s="9"/>
      <c r="L1718" s="9"/>
      <c r="M1718" s="9"/>
    </row>
    <row r="1719" spans="1:13">
      <c r="A1719" s="9"/>
      <c r="B1719" s="9"/>
      <c r="C1719" s="9"/>
      <c r="D1719" s="30"/>
      <c r="E1719" s="9"/>
      <c r="F1719" s="9"/>
      <c r="G1719" s="9"/>
      <c r="H1719" s="9"/>
      <c r="I1719" s="9"/>
      <c r="J1719" s="21" t="s">
        <v>1385</v>
      </c>
      <c r="K1719" s="22">
        <f>SUM(J1715:J1718)</f>
        <v>5.8849999999999998</v>
      </c>
      <c r="L1719" s="23">
        <v>0</v>
      </c>
      <c r="M1719" s="24">
        <f>ROUND(K1719*L1719,2)</f>
        <v>0</v>
      </c>
    </row>
    <row r="1720" spans="1:13" ht="0.95" customHeight="1">
      <c r="A1720" s="25"/>
      <c r="B1720" s="25"/>
      <c r="C1720" s="25"/>
      <c r="D1720" s="31"/>
      <c r="E1720" s="25"/>
      <c r="F1720" s="25"/>
      <c r="G1720" s="25"/>
      <c r="H1720" s="25"/>
      <c r="I1720" s="25"/>
      <c r="J1720" s="25"/>
      <c r="K1720" s="25"/>
      <c r="L1720" s="25"/>
      <c r="M1720" s="25"/>
    </row>
    <row r="1721" spans="1:13">
      <c r="A1721" s="15" t="s">
        <v>1386</v>
      </c>
      <c r="B1721" s="10" t="s">
        <v>23</v>
      </c>
      <c r="C1721" s="10" t="s">
        <v>4</v>
      </c>
      <c r="D1721" s="18" t="s">
        <v>1387</v>
      </c>
      <c r="E1721" s="9"/>
      <c r="F1721" s="9"/>
      <c r="G1721" s="9"/>
      <c r="H1721" s="9"/>
      <c r="I1721" s="9"/>
      <c r="J1721" s="9"/>
      <c r="K1721" s="16">
        <f>K1724</f>
        <v>1</v>
      </c>
      <c r="L1721" s="17">
        <f>L1724</f>
        <v>0</v>
      </c>
      <c r="M1721" s="17">
        <f>M1724</f>
        <v>0</v>
      </c>
    </row>
    <row r="1722" spans="1:13">
      <c r="A1722" s="9"/>
      <c r="B1722" s="9"/>
      <c r="C1722" s="9"/>
      <c r="D1722" s="18" t="s">
        <v>1388</v>
      </c>
      <c r="E1722" s="9"/>
      <c r="F1722" s="9"/>
      <c r="G1722" s="9"/>
      <c r="H1722" s="9"/>
      <c r="I1722" s="9"/>
      <c r="J1722" s="9"/>
      <c r="K1722" s="9"/>
      <c r="L1722" s="9"/>
      <c r="M1722" s="9"/>
    </row>
    <row r="1723" spans="1:13">
      <c r="A1723" s="9"/>
      <c r="B1723" s="9"/>
      <c r="C1723" s="10" t="s">
        <v>27</v>
      </c>
      <c r="D1723" s="30"/>
      <c r="E1723" s="10" t="s">
        <v>17</v>
      </c>
      <c r="F1723" s="19">
        <v>1</v>
      </c>
      <c r="G1723" s="23">
        <v>0</v>
      </c>
      <c r="H1723" s="23">
        <v>0</v>
      </c>
      <c r="I1723" s="23">
        <v>0</v>
      </c>
      <c r="J1723" s="17">
        <f>OR(F1723&lt;&gt;0,G1723&lt;&gt;0,H1723&lt;&gt;0,I1723&lt;&gt;0)*(F1723 + (F1723 = 0))*(G1723 + (G1723 = 0))*(H1723 + (H1723 = 0))*(I1723 + (I1723 = 0))</f>
        <v>1</v>
      </c>
      <c r="K1723" s="9"/>
      <c r="L1723" s="9"/>
      <c r="M1723" s="9"/>
    </row>
    <row r="1724" spans="1:13">
      <c r="A1724" s="9"/>
      <c r="B1724" s="9"/>
      <c r="C1724" s="9"/>
      <c r="D1724" s="30"/>
      <c r="E1724" s="9"/>
      <c r="F1724" s="9"/>
      <c r="G1724" s="9"/>
      <c r="H1724" s="9"/>
      <c r="I1724" s="9"/>
      <c r="J1724" s="21" t="s">
        <v>1389</v>
      </c>
      <c r="K1724" s="22">
        <f>J1723</f>
        <v>1</v>
      </c>
      <c r="L1724" s="23">
        <v>0</v>
      </c>
      <c r="M1724" s="24">
        <f>ROUND(K1724*L1724,2)</f>
        <v>0</v>
      </c>
    </row>
    <row r="1725" spans="1:13" ht="0.95" customHeight="1">
      <c r="A1725" s="25"/>
      <c r="B1725" s="25"/>
      <c r="C1725" s="25"/>
      <c r="D1725" s="31"/>
      <c r="E1725" s="25"/>
      <c r="F1725" s="25"/>
      <c r="G1725" s="25"/>
      <c r="H1725" s="25"/>
      <c r="I1725" s="25"/>
      <c r="J1725" s="25"/>
      <c r="K1725" s="25"/>
      <c r="L1725" s="25"/>
      <c r="M1725" s="25"/>
    </row>
    <row r="1726" spans="1:13">
      <c r="A1726" s="9"/>
      <c r="B1726" s="9"/>
      <c r="C1726" s="9"/>
      <c r="D1726" s="30"/>
      <c r="E1726" s="9"/>
      <c r="F1726" s="9"/>
      <c r="G1726" s="9"/>
      <c r="H1726" s="9"/>
      <c r="I1726" s="9"/>
      <c r="J1726" s="21" t="s">
        <v>1390</v>
      </c>
      <c r="K1726" s="20">
        <v>1</v>
      </c>
      <c r="L1726" s="24">
        <f>M1707+M1709+M1711+M1713+M1721</f>
        <v>0</v>
      </c>
      <c r="M1726" s="24">
        <f>ROUND(K1726*L1726,2)</f>
        <v>0</v>
      </c>
    </row>
    <row r="1727" spans="1:13" ht="0.95" customHeight="1">
      <c r="A1727" s="25"/>
      <c r="B1727" s="25"/>
      <c r="C1727" s="25"/>
      <c r="D1727" s="31"/>
      <c r="E1727" s="25"/>
      <c r="F1727" s="25"/>
      <c r="G1727" s="25"/>
      <c r="H1727" s="25"/>
      <c r="I1727" s="25"/>
      <c r="J1727" s="25"/>
      <c r="K1727" s="25"/>
      <c r="L1727" s="25"/>
      <c r="M1727" s="25"/>
    </row>
    <row r="1728" spans="1:13">
      <c r="A1728" s="11" t="s">
        <v>1391</v>
      </c>
      <c r="B1728" s="11" t="s">
        <v>16</v>
      </c>
      <c r="C1728" s="11" t="s">
        <v>17</v>
      </c>
      <c r="D1728" s="29" t="s">
        <v>1392</v>
      </c>
      <c r="E1728" s="12"/>
      <c r="F1728" s="12"/>
      <c r="G1728" s="12"/>
      <c r="H1728" s="12"/>
      <c r="I1728" s="12"/>
      <c r="J1728" s="12"/>
      <c r="K1728" s="13">
        <f>K1734</f>
        <v>1</v>
      </c>
      <c r="L1728" s="14">
        <f>L1734</f>
        <v>0</v>
      </c>
      <c r="M1728" s="14">
        <f>M1734</f>
        <v>0</v>
      </c>
    </row>
    <row r="1729" spans="1:13">
      <c r="A1729" s="15" t="s">
        <v>1393</v>
      </c>
      <c r="B1729" s="10" t="s">
        <v>23</v>
      </c>
      <c r="C1729" s="10" t="s">
        <v>17</v>
      </c>
      <c r="D1729" s="18" t="s">
        <v>1394</v>
      </c>
      <c r="E1729" s="9"/>
      <c r="F1729" s="9"/>
      <c r="G1729" s="9"/>
      <c r="H1729" s="9"/>
      <c r="I1729" s="9"/>
      <c r="J1729" s="9"/>
      <c r="K1729" s="16">
        <f>K1732</f>
        <v>1</v>
      </c>
      <c r="L1729" s="17">
        <f>L1732</f>
        <v>0</v>
      </c>
      <c r="M1729" s="17">
        <f>M1732</f>
        <v>0</v>
      </c>
    </row>
    <row r="1730" spans="1:13">
      <c r="A1730" s="9"/>
      <c r="B1730" s="9"/>
      <c r="C1730" s="9"/>
      <c r="D1730" s="18" t="s">
        <v>1395</v>
      </c>
      <c r="E1730" s="9"/>
      <c r="F1730" s="9"/>
      <c r="G1730" s="9"/>
      <c r="H1730" s="9"/>
      <c r="I1730" s="9"/>
      <c r="J1730" s="9"/>
      <c r="K1730" s="9"/>
      <c r="L1730" s="9"/>
      <c r="M1730" s="9"/>
    </row>
    <row r="1731" spans="1:13">
      <c r="A1731" s="9"/>
      <c r="B1731" s="9"/>
      <c r="C1731" s="10" t="s">
        <v>27</v>
      </c>
      <c r="D1731" s="30"/>
      <c r="E1731" s="10" t="s">
        <v>17</v>
      </c>
      <c r="F1731" s="19">
        <v>1</v>
      </c>
      <c r="G1731" s="23">
        <v>0</v>
      </c>
      <c r="H1731" s="23">
        <v>0</v>
      </c>
      <c r="I1731" s="23">
        <v>0</v>
      </c>
      <c r="J1731" s="17">
        <f>OR(F1731&lt;&gt;0,G1731&lt;&gt;0,H1731&lt;&gt;0,I1731&lt;&gt;0)*(F1731 + (F1731 = 0))*(G1731 + (G1731 = 0))*(H1731 + (H1731 = 0))*(I1731 + (I1731 = 0))</f>
        <v>1</v>
      </c>
      <c r="K1731" s="9"/>
      <c r="L1731" s="9"/>
      <c r="M1731" s="9"/>
    </row>
    <row r="1732" spans="1:13">
      <c r="A1732" s="9"/>
      <c r="B1732" s="9"/>
      <c r="C1732" s="9"/>
      <c r="D1732" s="30"/>
      <c r="E1732" s="9"/>
      <c r="F1732" s="9"/>
      <c r="G1732" s="9"/>
      <c r="H1732" s="9"/>
      <c r="I1732" s="9"/>
      <c r="J1732" s="21" t="s">
        <v>1396</v>
      </c>
      <c r="K1732" s="22">
        <f>J1731</f>
        <v>1</v>
      </c>
      <c r="L1732" s="23">
        <v>0</v>
      </c>
      <c r="M1732" s="24">
        <f>ROUND(K1732*L1732,2)</f>
        <v>0</v>
      </c>
    </row>
    <row r="1733" spans="1:13" ht="0.95" customHeight="1">
      <c r="A1733" s="25"/>
      <c r="B1733" s="25"/>
      <c r="C1733" s="25"/>
      <c r="D1733" s="31"/>
      <c r="E1733" s="25"/>
      <c r="F1733" s="25"/>
      <c r="G1733" s="25"/>
      <c r="H1733" s="25"/>
      <c r="I1733" s="25"/>
      <c r="J1733" s="25"/>
      <c r="K1733" s="25"/>
      <c r="L1733" s="25"/>
      <c r="M1733" s="25"/>
    </row>
    <row r="1734" spans="1:13">
      <c r="A1734" s="9"/>
      <c r="B1734" s="9"/>
      <c r="C1734" s="9"/>
      <c r="D1734" s="30"/>
      <c r="E1734" s="9"/>
      <c r="F1734" s="9"/>
      <c r="G1734" s="9"/>
      <c r="H1734" s="9"/>
      <c r="I1734" s="9"/>
      <c r="J1734" s="21" t="s">
        <v>1397</v>
      </c>
      <c r="K1734" s="20">
        <v>1</v>
      </c>
      <c r="L1734" s="24">
        <f>M1729</f>
        <v>0</v>
      </c>
      <c r="M1734" s="24">
        <f>ROUND(K1734*L1734,2)</f>
        <v>0</v>
      </c>
    </row>
    <row r="1735" spans="1:13" ht="0.95" customHeight="1">
      <c r="A1735" s="25"/>
      <c r="B1735" s="25"/>
      <c r="C1735" s="25"/>
      <c r="D1735" s="31"/>
      <c r="E1735" s="25"/>
      <c r="F1735" s="25"/>
      <c r="G1735" s="25"/>
      <c r="H1735" s="25"/>
      <c r="I1735" s="25"/>
      <c r="J1735" s="25"/>
      <c r="K1735" s="25"/>
      <c r="L1735" s="25"/>
      <c r="M1735" s="25"/>
    </row>
    <row r="1736" spans="1:13">
      <c r="A1736" s="9"/>
      <c r="B1736" s="9"/>
      <c r="C1736" s="9"/>
      <c r="D1736" s="30"/>
      <c r="E1736" s="9"/>
      <c r="F1736" s="9"/>
      <c r="G1736" s="9"/>
      <c r="H1736" s="9"/>
      <c r="I1736" s="9"/>
      <c r="J1736" s="21" t="s">
        <v>1398</v>
      </c>
      <c r="K1736" s="26">
        <v>1</v>
      </c>
      <c r="L1736" s="24">
        <f>M1688+M1706+M1728</f>
        <v>0</v>
      </c>
      <c r="M1736" s="24">
        <f>ROUND(K1736*L1736,2)</f>
        <v>0</v>
      </c>
    </row>
    <row r="1737" spans="1:13" ht="0.95" customHeight="1">
      <c r="A1737" s="25"/>
      <c r="B1737" s="25"/>
      <c r="C1737" s="25"/>
      <c r="D1737" s="31"/>
      <c r="E1737" s="25"/>
      <c r="F1737" s="25"/>
      <c r="G1737" s="25"/>
      <c r="H1737" s="25"/>
      <c r="I1737" s="25"/>
      <c r="J1737" s="25"/>
      <c r="K1737" s="25"/>
      <c r="L1737" s="25"/>
      <c r="M1737" s="25"/>
    </row>
    <row r="1738" spans="1:13">
      <c r="A1738" s="5" t="s">
        <v>1399</v>
      </c>
      <c r="B1738" s="5" t="s">
        <v>16</v>
      </c>
      <c r="C1738" s="5" t="s">
        <v>17</v>
      </c>
      <c r="D1738" s="28" t="s">
        <v>1400</v>
      </c>
      <c r="E1738" s="6"/>
      <c r="F1738" s="6"/>
      <c r="G1738" s="6"/>
      <c r="H1738" s="6"/>
      <c r="I1738" s="6"/>
      <c r="J1738" s="6"/>
      <c r="K1738" s="7">
        <f>K1810</f>
        <v>1</v>
      </c>
      <c r="L1738" s="8">
        <f>L1810</f>
        <v>0</v>
      </c>
      <c r="M1738" s="8">
        <f>M1810</f>
        <v>0</v>
      </c>
    </row>
    <row r="1739" spans="1:13">
      <c r="A1739" s="11" t="s">
        <v>1401</v>
      </c>
      <c r="B1739" s="11" t="s">
        <v>16</v>
      </c>
      <c r="C1739" s="11" t="s">
        <v>17</v>
      </c>
      <c r="D1739" s="29" t="s">
        <v>1402</v>
      </c>
      <c r="E1739" s="12"/>
      <c r="F1739" s="12"/>
      <c r="G1739" s="12"/>
      <c r="H1739" s="12"/>
      <c r="I1739" s="12"/>
      <c r="J1739" s="12"/>
      <c r="K1739" s="13">
        <f>K1776</f>
        <v>1</v>
      </c>
      <c r="L1739" s="14">
        <f>L1776</f>
        <v>0</v>
      </c>
      <c r="M1739" s="14">
        <f>M1776</f>
        <v>0</v>
      </c>
    </row>
    <row r="1740" spans="1:13">
      <c r="A1740" s="9"/>
      <c r="B1740" s="9"/>
      <c r="C1740" s="9"/>
      <c r="D1740" s="18" t="s">
        <v>1402</v>
      </c>
      <c r="E1740" s="9"/>
      <c r="F1740" s="9"/>
      <c r="G1740" s="9"/>
      <c r="H1740" s="9"/>
      <c r="I1740" s="9"/>
      <c r="J1740" s="9"/>
      <c r="K1740" s="9"/>
      <c r="L1740" s="9"/>
      <c r="M1740" s="9"/>
    </row>
    <row r="1741" spans="1:13" ht="33.75">
      <c r="A1741" s="15" t="s">
        <v>1403</v>
      </c>
      <c r="B1741" s="10" t="s">
        <v>23</v>
      </c>
      <c r="C1741" s="10" t="s">
        <v>24</v>
      </c>
      <c r="D1741" s="18" t="s">
        <v>1404</v>
      </c>
      <c r="E1741" s="9"/>
      <c r="F1741" s="9"/>
      <c r="G1741" s="9"/>
      <c r="H1741" s="9"/>
      <c r="I1741" s="9"/>
      <c r="J1741" s="9"/>
      <c r="K1741" s="16">
        <f>K1747</f>
        <v>8.5150000000000006</v>
      </c>
      <c r="L1741" s="17">
        <f>L1747</f>
        <v>0</v>
      </c>
      <c r="M1741" s="17">
        <f>M1747</f>
        <v>0</v>
      </c>
    </row>
    <row r="1742" spans="1:13">
      <c r="A1742" s="9"/>
      <c r="B1742" s="9"/>
      <c r="C1742" s="9"/>
      <c r="D1742" s="18" t="s">
        <v>1405</v>
      </c>
      <c r="E1742" s="9"/>
      <c r="F1742" s="9"/>
      <c r="G1742" s="9"/>
      <c r="H1742" s="9"/>
      <c r="I1742" s="9"/>
      <c r="J1742" s="9"/>
      <c r="K1742" s="9"/>
      <c r="L1742" s="9"/>
      <c r="M1742" s="9"/>
    </row>
    <row r="1743" spans="1:13">
      <c r="A1743" s="9"/>
      <c r="B1743" s="9"/>
      <c r="C1743" s="10" t="s">
        <v>27</v>
      </c>
      <c r="D1743" s="30"/>
      <c r="E1743" s="10" t="s">
        <v>1406</v>
      </c>
      <c r="F1743" s="19">
        <v>1</v>
      </c>
      <c r="G1743" s="20">
        <v>5.0999999999999996</v>
      </c>
      <c r="H1743" s="20">
        <v>0.2</v>
      </c>
      <c r="I1743" s="20">
        <v>1.65</v>
      </c>
      <c r="J1743" s="16">
        <f>OR(F1743&lt;&gt;0,G1743&lt;&gt;0,H1743&lt;&gt;0,I1743&lt;&gt;0)*(F1743 + (F1743 = 0))*(G1743 + (G1743 = 0))*(H1743 + (H1743 = 0))*(I1743 + (I1743 = 0))</f>
        <v>1.6830000000000001</v>
      </c>
      <c r="K1743" s="9"/>
      <c r="L1743" s="9"/>
      <c r="M1743" s="9"/>
    </row>
    <row r="1744" spans="1:13">
      <c r="A1744" s="9"/>
      <c r="B1744" s="9"/>
      <c r="C1744" s="10" t="s">
        <v>27</v>
      </c>
      <c r="D1744" s="30"/>
      <c r="E1744" s="10" t="s">
        <v>17</v>
      </c>
      <c r="F1744" s="19">
        <v>1</v>
      </c>
      <c r="G1744" s="20">
        <v>5.65</v>
      </c>
      <c r="H1744" s="20">
        <v>0.2</v>
      </c>
      <c r="I1744" s="20">
        <v>1.55</v>
      </c>
      <c r="J1744" s="16">
        <f>OR(F1744&lt;&gt;0,G1744&lt;&gt;0,H1744&lt;&gt;0,I1744&lt;&gt;0)*(F1744 + (F1744 = 0))*(G1744 + (G1744 = 0))*(H1744 + (H1744 = 0))*(I1744 + (I1744 = 0))</f>
        <v>1.752</v>
      </c>
      <c r="K1744" s="9"/>
      <c r="L1744" s="9"/>
      <c r="M1744" s="9"/>
    </row>
    <row r="1745" spans="1:13">
      <c r="A1745" s="9"/>
      <c r="B1745" s="9"/>
      <c r="C1745" s="10" t="s">
        <v>27</v>
      </c>
      <c r="D1745" s="30"/>
      <c r="E1745" s="10" t="s">
        <v>17</v>
      </c>
      <c r="F1745" s="19">
        <v>1</v>
      </c>
      <c r="G1745" s="20">
        <v>1.5</v>
      </c>
      <c r="H1745" s="20">
        <v>0.2</v>
      </c>
      <c r="I1745" s="20">
        <v>0.6</v>
      </c>
      <c r="J1745" s="16">
        <f>OR(F1745&lt;&gt;0,G1745&lt;&gt;0,H1745&lt;&gt;0,I1745&lt;&gt;0)*(F1745 + (F1745 = 0))*(G1745 + (G1745 = 0))*(H1745 + (H1745 = 0))*(I1745 + (I1745 = 0))</f>
        <v>0.18</v>
      </c>
      <c r="K1745" s="9"/>
      <c r="L1745" s="9"/>
      <c r="M1745" s="9"/>
    </row>
    <row r="1746" spans="1:13">
      <c r="A1746" s="9"/>
      <c r="B1746" s="9"/>
      <c r="C1746" s="10" t="s">
        <v>27</v>
      </c>
      <c r="D1746" s="30"/>
      <c r="E1746" s="10" t="s">
        <v>1407</v>
      </c>
      <c r="F1746" s="19">
        <v>1</v>
      </c>
      <c r="G1746" s="20">
        <v>12.25</v>
      </c>
      <c r="H1746" s="20">
        <v>1</v>
      </c>
      <c r="I1746" s="20">
        <v>0.4</v>
      </c>
      <c r="J1746" s="16">
        <f>OR(F1746&lt;&gt;0,G1746&lt;&gt;0,H1746&lt;&gt;0,I1746&lt;&gt;0)*(F1746 + (F1746 = 0))*(G1746 + (G1746 = 0))*(H1746 + (H1746 = 0))*(I1746 + (I1746 = 0))</f>
        <v>4.9000000000000004</v>
      </c>
      <c r="K1746" s="9"/>
      <c r="L1746" s="9"/>
      <c r="M1746" s="9"/>
    </row>
    <row r="1747" spans="1:13">
      <c r="A1747" s="9"/>
      <c r="B1747" s="9"/>
      <c r="C1747" s="9"/>
      <c r="D1747" s="30"/>
      <c r="E1747" s="9"/>
      <c r="F1747" s="9"/>
      <c r="G1747" s="9"/>
      <c r="H1747" s="9"/>
      <c r="I1747" s="9"/>
      <c r="J1747" s="21" t="s">
        <v>1408</v>
      </c>
      <c r="K1747" s="22">
        <f>SUM(J1743:J1746)</f>
        <v>8.5150000000000006</v>
      </c>
      <c r="L1747" s="23">
        <v>0</v>
      </c>
      <c r="M1747" s="24">
        <f>ROUND(K1747*L1747,2)</f>
        <v>0</v>
      </c>
    </row>
    <row r="1748" spans="1:13" ht="0.95" customHeight="1">
      <c r="A1748" s="25"/>
      <c r="B1748" s="25"/>
      <c r="C1748" s="25"/>
      <c r="D1748" s="31"/>
      <c r="E1748" s="25"/>
      <c r="F1748" s="25"/>
      <c r="G1748" s="25"/>
      <c r="H1748" s="25"/>
      <c r="I1748" s="25"/>
      <c r="J1748" s="25"/>
      <c r="K1748" s="25"/>
      <c r="L1748" s="25"/>
      <c r="M1748" s="25"/>
    </row>
    <row r="1749" spans="1:13" ht="33.75">
      <c r="A1749" s="15" t="s">
        <v>1409</v>
      </c>
      <c r="B1749" s="10" t="s">
        <v>23</v>
      </c>
      <c r="C1749" s="10" t="s">
        <v>24</v>
      </c>
      <c r="D1749" s="18" t="s">
        <v>1410</v>
      </c>
      <c r="E1749" s="9"/>
      <c r="F1749" s="9"/>
      <c r="G1749" s="9"/>
      <c r="H1749" s="9"/>
      <c r="I1749" s="9"/>
      <c r="J1749" s="9"/>
      <c r="K1749" s="16">
        <f>K1755</f>
        <v>17.937999999999999</v>
      </c>
      <c r="L1749" s="17">
        <f>L1755</f>
        <v>0</v>
      </c>
      <c r="M1749" s="17">
        <f>M1755</f>
        <v>0</v>
      </c>
    </row>
    <row r="1750" spans="1:13">
      <c r="A1750" s="9"/>
      <c r="B1750" s="9"/>
      <c r="C1750" s="9"/>
      <c r="D1750" s="18" t="s">
        <v>1411</v>
      </c>
      <c r="E1750" s="9"/>
      <c r="F1750" s="9"/>
      <c r="G1750" s="9"/>
      <c r="H1750" s="9"/>
      <c r="I1750" s="9"/>
      <c r="J1750" s="9"/>
      <c r="K1750" s="9"/>
      <c r="L1750" s="9"/>
      <c r="M1750" s="9"/>
    </row>
    <row r="1751" spans="1:13">
      <c r="A1751" s="9"/>
      <c r="B1751" s="9"/>
      <c r="C1751" s="10" t="s">
        <v>27</v>
      </c>
      <c r="D1751" s="30"/>
      <c r="E1751" s="10" t="s">
        <v>1412</v>
      </c>
      <c r="F1751" s="19">
        <v>1</v>
      </c>
      <c r="G1751" s="20">
        <v>8.4</v>
      </c>
      <c r="H1751" s="20">
        <v>0.2</v>
      </c>
      <c r="I1751" s="20">
        <v>1.8</v>
      </c>
      <c r="J1751" s="16">
        <f>OR(F1751&lt;&gt;0,G1751&lt;&gt;0,H1751&lt;&gt;0,I1751&lt;&gt;0)*(F1751 + (F1751 = 0))*(G1751 + (G1751 = 0))*(H1751 + (H1751 = 0))*(I1751 + (I1751 = 0))</f>
        <v>3.024</v>
      </c>
      <c r="K1751" s="9"/>
      <c r="L1751" s="9"/>
      <c r="M1751" s="9"/>
    </row>
    <row r="1752" spans="1:13">
      <c r="A1752" s="9"/>
      <c r="B1752" s="9"/>
      <c r="C1752" s="10" t="s">
        <v>27</v>
      </c>
      <c r="D1752" s="30"/>
      <c r="E1752" s="10" t="s">
        <v>1413</v>
      </c>
      <c r="F1752" s="19">
        <v>1</v>
      </c>
      <c r="G1752" s="20">
        <v>6.2</v>
      </c>
      <c r="H1752" s="20">
        <v>0.2</v>
      </c>
      <c r="I1752" s="20">
        <v>2.15</v>
      </c>
      <c r="J1752" s="16">
        <f>OR(F1752&lt;&gt;0,G1752&lt;&gt;0,H1752&lt;&gt;0,I1752&lt;&gt;0)*(F1752 + (F1752 = 0))*(G1752 + (G1752 = 0))*(H1752 + (H1752 = 0))*(I1752 + (I1752 = 0))</f>
        <v>2.6659999999999999</v>
      </c>
      <c r="K1752" s="9"/>
      <c r="L1752" s="9"/>
      <c r="M1752" s="9"/>
    </row>
    <row r="1753" spans="1:13">
      <c r="A1753" s="9"/>
      <c r="B1753" s="9"/>
      <c r="C1753" s="10" t="s">
        <v>27</v>
      </c>
      <c r="D1753" s="30"/>
      <c r="E1753" s="10" t="s">
        <v>17</v>
      </c>
      <c r="F1753" s="19">
        <v>1</v>
      </c>
      <c r="G1753" s="20">
        <v>7.2</v>
      </c>
      <c r="H1753" s="20">
        <v>0.2</v>
      </c>
      <c r="I1753" s="20">
        <v>2.4500000000000002</v>
      </c>
      <c r="J1753" s="16">
        <f>OR(F1753&lt;&gt;0,G1753&lt;&gt;0,H1753&lt;&gt;0,I1753&lt;&gt;0)*(F1753 + (F1753 = 0))*(G1753 + (G1753 = 0))*(H1753 + (H1753 = 0))*(I1753 + (I1753 = 0))</f>
        <v>3.528</v>
      </c>
      <c r="K1753" s="9"/>
      <c r="L1753" s="9"/>
      <c r="M1753" s="9"/>
    </row>
    <row r="1754" spans="1:13">
      <c r="A1754" s="9"/>
      <c r="B1754" s="9"/>
      <c r="C1754" s="10" t="s">
        <v>27</v>
      </c>
      <c r="D1754" s="30"/>
      <c r="E1754" s="10" t="s">
        <v>1407</v>
      </c>
      <c r="F1754" s="19">
        <v>1</v>
      </c>
      <c r="G1754" s="20">
        <v>21.8</v>
      </c>
      <c r="H1754" s="20">
        <v>1</v>
      </c>
      <c r="I1754" s="20">
        <v>0.4</v>
      </c>
      <c r="J1754" s="16">
        <f>OR(F1754&lt;&gt;0,G1754&lt;&gt;0,H1754&lt;&gt;0,I1754&lt;&gt;0)*(F1754 + (F1754 = 0))*(G1754 + (G1754 = 0))*(H1754 + (H1754 = 0))*(I1754 + (I1754 = 0))</f>
        <v>8.7200000000000006</v>
      </c>
      <c r="K1754" s="9"/>
      <c r="L1754" s="9"/>
      <c r="M1754" s="9"/>
    </row>
    <row r="1755" spans="1:13">
      <c r="A1755" s="9"/>
      <c r="B1755" s="9"/>
      <c r="C1755" s="9"/>
      <c r="D1755" s="30"/>
      <c r="E1755" s="9"/>
      <c r="F1755" s="9"/>
      <c r="G1755" s="9"/>
      <c r="H1755" s="9"/>
      <c r="I1755" s="9"/>
      <c r="J1755" s="21" t="s">
        <v>1414</v>
      </c>
      <c r="K1755" s="22">
        <f>SUM(J1751:J1754)</f>
        <v>17.937999999999999</v>
      </c>
      <c r="L1755" s="23">
        <v>0</v>
      </c>
      <c r="M1755" s="24">
        <f>ROUND(K1755*L1755,2)</f>
        <v>0</v>
      </c>
    </row>
    <row r="1756" spans="1:13" ht="0.95" customHeight="1">
      <c r="A1756" s="25"/>
      <c r="B1756" s="25"/>
      <c r="C1756" s="25"/>
      <c r="D1756" s="31"/>
      <c r="E1756" s="25"/>
      <c r="F1756" s="25"/>
      <c r="G1756" s="25"/>
      <c r="H1756" s="25"/>
      <c r="I1756" s="25"/>
      <c r="J1756" s="25"/>
      <c r="K1756" s="25"/>
      <c r="L1756" s="25"/>
      <c r="M1756" s="25"/>
    </row>
    <row r="1757" spans="1:13">
      <c r="A1757" s="15" t="s">
        <v>1415</v>
      </c>
      <c r="B1757" s="10" t="s">
        <v>23</v>
      </c>
      <c r="C1757" s="10" t="s">
        <v>24</v>
      </c>
      <c r="D1757" s="18" t="s">
        <v>1416</v>
      </c>
      <c r="E1757" s="9"/>
      <c r="F1757" s="9"/>
      <c r="G1757" s="9"/>
      <c r="H1757" s="9"/>
      <c r="I1757" s="9"/>
      <c r="J1757" s="9"/>
      <c r="K1757" s="16">
        <f>K1767</f>
        <v>12.382999999999999</v>
      </c>
      <c r="L1757" s="17">
        <f>L1767</f>
        <v>0</v>
      </c>
      <c r="M1757" s="17">
        <f>M1767</f>
        <v>0</v>
      </c>
    </row>
    <row r="1758" spans="1:13">
      <c r="A1758" s="9"/>
      <c r="B1758" s="9"/>
      <c r="C1758" s="9"/>
      <c r="D1758" s="18" t="s">
        <v>1417</v>
      </c>
      <c r="E1758" s="9"/>
      <c r="F1758" s="9"/>
      <c r="G1758" s="9"/>
      <c r="H1758" s="9"/>
      <c r="I1758" s="9"/>
      <c r="J1758" s="9"/>
      <c r="K1758" s="9"/>
      <c r="L1758" s="9"/>
      <c r="M1758" s="9"/>
    </row>
    <row r="1759" spans="1:13">
      <c r="A1759" s="9"/>
      <c r="B1759" s="9"/>
      <c r="C1759" s="10" t="s">
        <v>27</v>
      </c>
      <c r="D1759" s="30"/>
      <c r="E1759" s="10" t="s">
        <v>1418</v>
      </c>
      <c r="F1759" s="19">
        <v>7</v>
      </c>
      <c r="G1759" s="20">
        <v>2.37</v>
      </c>
      <c r="H1759" s="20">
        <v>0.2</v>
      </c>
      <c r="I1759" s="20">
        <v>0.65</v>
      </c>
      <c r="J1759" s="16">
        <f>OR(F1759&lt;&gt;0,G1759&lt;&gt;0,H1759&lt;&gt;0,I1759&lt;&gt;0)*(F1759 + (F1759 = 0))*(G1759 + (G1759 = 0))*(H1759 + (H1759 = 0))*(I1759 + (I1759 = 0))</f>
        <v>2.157</v>
      </c>
      <c r="K1759" s="9"/>
      <c r="L1759" s="9"/>
      <c r="M1759" s="9"/>
    </row>
    <row r="1760" spans="1:13">
      <c r="A1760" s="9"/>
      <c r="B1760" s="9"/>
      <c r="C1760" s="10" t="s">
        <v>27</v>
      </c>
      <c r="D1760" s="30"/>
      <c r="E1760" s="10" t="s">
        <v>17</v>
      </c>
      <c r="F1760" s="19">
        <v>2</v>
      </c>
      <c r="G1760" s="20">
        <v>5.42</v>
      </c>
      <c r="H1760" s="20">
        <v>0.2</v>
      </c>
      <c r="I1760" s="20">
        <v>0.65</v>
      </c>
      <c r="J1760" s="16">
        <f>OR(F1760&lt;&gt;0,G1760&lt;&gt;0,H1760&lt;&gt;0,I1760&lt;&gt;0)*(F1760 + (F1760 = 0))*(G1760 + (G1760 = 0))*(H1760 + (H1760 = 0))*(I1760 + (I1760 = 0))</f>
        <v>1.409</v>
      </c>
      <c r="K1760" s="9"/>
      <c r="L1760" s="9"/>
      <c r="M1760" s="9"/>
    </row>
    <row r="1761" spans="1:13">
      <c r="A1761" s="9"/>
      <c r="B1761" s="9"/>
      <c r="C1761" s="10" t="s">
        <v>27</v>
      </c>
      <c r="D1761" s="30"/>
      <c r="E1761" s="10" t="s">
        <v>17</v>
      </c>
      <c r="F1761" s="19">
        <v>4</v>
      </c>
      <c r="G1761" s="20">
        <v>2.75</v>
      </c>
      <c r="H1761" s="20">
        <v>0.2</v>
      </c>
      <c r="I1761" s="20">
        <v>0.56000000000000005</v>
      </c>
      <c r="J1761" s="16">
        <f>OR(F1761&lt;&gt;0,G1761&lt;&gt;0,H1761&lt;&gt;0,I1761&lt;&gt;0)*(F1761 + (F1761 = 0))*(G1761 + (G1761 = 0))*(H1761 + (H1761 = 0))*(I1761 + (I1761 = 0))</f>
        <v>1.232</v>
      </c>
      <c r="K1761" s="9"/>
      <c r="L1761" s="9"/>
      <c r="M1761" s="9"/>
    </row>
    <row r="1762" spans="1:13">
      <c r="A1762" s="9"/>
      <c r="B1762" s="9"/>
      <c r="C1762" s="10" t="s">
        <v>27</v>
      </c>
      <c r="D1762" s="30"/>
      <c r="E1762" s="10" t="s">
        <v>17</v>
      </c>
      <c r="F1762" s="19">
        <v>1</v>
      </c>
      <c r="G1762" s="20">
        <v>6.5</v>
      </c>
      <c r="H1762" s="20">
        <v>0.2</v>
      </c>
      <c r="I1762" s="20">
        <v>0.65</v>
      </c>
      <c r="J1762" s="16">
        <f>OR(F1762&lt;&gt;0,G1762&lt;&gt;0,H1762&lt;&gt;0,I1762&lt;&gt;0)*(F1762 + (F1762 = 0))*(G1762 + (G1762 = 0))*(H1762 + (H1762 = 0))*(I1762 + (I1762 = 0))</f>
        <v>0.84499999999999997</v>
      </c>
      <c r="K1762" s="9"/>
      <c r="L1762" s="9"/>
      <c r="M1762" s="9"/>
    </row>
    <row r="1763" spans="1:13">
      <c r="A1763" s="9"/>
      <c r="B1763" s="9"/>
      <c r="C1763" s="10" t="s">
        <v>27</v>
      </c>
      <c r="D1763" s="30"/>
      <c r="E1763" s="10" t="s">
        <v>1407</v>
      </c>
      <c r="F1763" s="19">
        <v>7</v>
      </c>
      <c r="G1763" s="20">
        <v>2.37</v>
      </c>
      <c r="H1763" s="20">
        <v>0.5</v>
      </c>
      <c r="I1763" s="20">
        <v>0.3</v>
      </c>
      <c r="J1763" s="16">
        <f>OR(F1763&lt;&gt;0,G1763&lt;&gt;0,H1763&lt;&gt;0,I1763&lt;&gt;0)*(F1763 + (F1763 = 0))*(G1763 + (G1763 = 0))*(H1763 + (H1763 = 0))*(I1763 + (I1763 = 0))</f>
        <v>2.4889999999999999</v>
      </c>
      <c r="K1763" s="9"/>
      <c r="L1763" s="9"/>
      <c r="M1763" s="9"/>
    </row>
    <row r="1764" spans="1:13">
      <c r="A1764" s="9"/>
      <c r="B1764" s="9"/>
      <c r="C1764" s="10" t="s">
        <v>27</v>
      </c>
      <c r="D1764" s="30"/>
      <c r="E1764" s="10" t="s">
        <v>17</v>
      </c>
      <c r="F1764" s="19">
        <v>2</v>
      </c>
      <c r="G1764" s="20">
        <v>5.42</v>
      </c>
      <c r="H1764" s="20">
        <v>0.5</v>
      </c>
      <c r="I1764" s="20">
        <v>0.3</v>
      </c>
      <c r="J1764" s="16">
        <f>OR(F1764&lt;&gt;0,G1764&lt;&gt;0,H1764&lt;&gt;0,I1764&lt;&gt;0)*(F1764 + (F1764 = 0))*(G1764 + (G1764 = 0))*(H1764 + (H1764 = 0))*(I1764 + (I1764 = 0))</f>
        <v>1.6259999999999999</v>
      </c>
      <c r="K1764" s="9"/>
      <c r="L1764" s="9"/>
      <c r="M1764" s="9"/>
    </row>
    <row r="1765" spans="1:13">
      <c r="A1765" s="9"/>
      <c r="B1765" s="9"/>
      <c r="C1765" s="10" t="s">
        <v>27</v>
      </c>
      <c r="D1765" s="30"/>
      <c r="E1765" s="10" t="s">
        <v>17</v>
      </c>
      <c r="F1765" s="19">
        <v>4</v>
      </c>
      <c r="G1765" s="20">
        <v>2.75</v>
      </c>
      <c r="H1765" s="20">
        <v>0.5</v>
      </c>
      <c r="I1765" s="20">
        <v>0.3</v>
      </c>
      <c r="J1765" s="16">
        <f>OR(F1765&lt;&gt;0,G1765&lt;&gt;0,H1765&lt;&gt;0,I1765&lt;&gt;0)*(F1765 + (F1765 = 0))*(G1765 + (G1765 = 0))*(H1765 + (H1765 = 0))*(I1765 + (I1765 = 0))</f>
        <v>1.65</v>
      </c>
      <c r="K1765" s="9"/>
      <c r="L1765" s="9"/>
      <c r="M1765" s="9"/>
    </row>
    <row r="1766" spans="1:13">
      <c r="A1766" s="9"/>
      <c r="B1766" s="9"/>
      <c r="C1766" s="10" t="s">
        <v>27</v>
      </c>
      <c r="D1766" s="30"/>
      <c r="E1766" s="10" t="s">
        <v>17</v>
      </c>
      <c r="F1766" s="19">
        <v>1</v>
      </c>
      <c r="G1766" s="20">
        <v>6.5</v>
      </c>
      <c r="H1766" s="20">
        <v>0.5</v>
      </c>
      <c r="I1766" s="20">
        <v>0.3</v>
      </c>
      <c r="J1766" s="16">
        <f>OR(F1766&lt;&gt;0,G1766&lt;&gt;0,H1766&lt;&gt;0,I1766&lt;&gt;0)*(F1766 + (F1766 = 0))*(G1766 + (G1766 = 0))*(H1766 + (H1766 = 0))*(I1766 + (I1766 = 0))</f>
        <v>0.97499999999999998</v>
      </c>
      <c r="K1766" s="9"/>
      <c r="L1766" s="9"/>
      <c r="M1766" s="9"/>
    </row>
    <row r="1767" spans="1:13">
      <c r="A1767" s="9"/>
      <c r="B1767" s="9"/>
      <c r="C1767" s="9"/>
      <c r="D1767" s="30"/>
      <c r="E1767" s="9"/>
      <c r="F1767" s="9"/>
      <c r="G1767" s="9"/>
      <c r="H1767" s="9"/>
      <c r="I1767" s="9"/>
      <c r="J1767" s="21" t="s">
        <v>1419</v>
      </c>
      <c r="K1767" s="22">
        <f>SUM(J1759:J1766)</f>
        <v>12.382999999999999</v>
      </c>
      <c r="L1767" s="23">
        <v>0</v>
      </c>
      <c r="M1767" s="24">
        <f>ROUND(K1767*L1767,2)</f>
        <v>0</v>
      </c>
    </row>
    <row r="1768" spans="1:13" ht="0.95" customHeight="1">
      <c r="A1768" s="25"/>
      <c r="B1768" s="25"/>
      <c r="C1768" s="25"/>
      <c r="D1768" s="31"/>
      <c r="E1768" s="25"/>
      <c r="F1768" s="25"/>
      <c r="G1768" s="25"/>
      <c r="H1768" s="25"/>
      <c r="I1768" s="25"/>
      <c r="J1768" s="25"/>
      <c r="K1768" s="25"/>
      <c r="L1768" s="25"/>
      <c r="M1768" s="25"/>
    </row>
    <row r="1769" spans="1:13">
      <c r="A1769" s="15" t="s">
        <v>1420</v>
      </c>
      <c r="B1769" s="10" t="s">
        <v>23</v>
      </c>
      <c r="C1769" s="10" t="s">
        <v>24</v>
      </c>
      <c r="D1769" s="18" t="s">
        <v>1421</v>
      </c>
      <c r="E1769" s="9"/>
      <c r="F1769" s="9"/>
      <c r="G1769" s="9"/>
      <c r="H1769" s="9"/>
      <c r="I1769" s="9"/>
      <c r="J1769" s="9"/>
      <c r="K1769" s="16">
        <f>K1774</f>
        <v>7.8620000000000001</v>
      </c>
      <c r="L1769" s="17">
        <f>L1774</f>
        <v>0</v>
      </c>
      <c r="M1769" s="17">
        <f>M1774</f>
        <v>0</v>
      </c>
    </row>
    <row r="1770" spans="1:13">
      <c r="A1770" s="9"/>
      <c r="B1770" s="9"/>
      <c r="C1770" s="9"/>
      <c r="D1770" s="18" t="s">
        <v>1422</v>
      </c>
      <c r="E1770" s="9"/>
      <c r="F1770" s="9"/>
      <c r="G1770" s="9"/>
      <c r="H1770" s="9"/>
      <c r="I1770" s="9"/>
      <c r="J1770" s="9"/>
      <c r="K1770" s="9"/>
      <c r="L1770" s="9"/>
      <c r="M1770" s="9"/>
    </row>
    <row r="1771" spans="1:13">
      <c r="A1771" s="9"/>
      <c r="B1771" s="9"/>
      <c r="C1771" s="10" t="s">
        <v>27</v>
      </c>
      <c r="D1771" s="30"/>
      <c r="E1771" s="10" t="s">
        <v>1418</v>
      </c>
      <c r="F1771" s="19">
        <v>7</v>
      </c>
      <c r="G1771" s="20">
        <v>3.45</v>
      </c>
      <c r="H1771" s="20">
        <v>0.19</v>
      </c>
      <c r="I1771" s="20">
        <v>0</v>
      </c>
      <c r="J1771" s="16">
        <f>OR(F1771&lt;&gt;0,G1771&lt;&gt;0,H1771&lt;&gt;0,I1771&lt;&gt;0)*(F1771 + (F1771 = 0))*(G1771 + (G1771 = 0))*(H1771 + (H1771 = 0))*(I1771 + (I1771 = 0))</f>
        <v>4.5890000000000004</v>
      </c>
      <c r="K1771" s="9"/>
      <c r="L1771" s="9"/>
      <c r="M1771" s="9"/>
    </row>
    <row r="1772" spans="1:13">
      <c r="A1772" s="9"/>
      <c r="B1772" s="9"/>
      <c r="C1772" s="10" t="s">
        <v>27</v>
      </c>
      <c r="D1772" s="30"/>
      <c r="E1772" s="10" t="s">
        <v>17</v>
      </c>
      <c r="F1772" s="19">
        <v>2</v>
      </c>
      <c r="G1772" s="20">
        <v>5.42</v>
      </c>
      <c r="H1772" s="20">
        <v>0.17</v>
      </c>
      <c r="I1772" s="20">
        <v>0</v>
      </c>
      <c r="J1772" s="16">
        <f>OR(F1772&lt;&gt;0,G1772&lt;&gt;0,H1772&lt;&gt;0,I1772&lt;&gt;0)*(F1772 + (F1772 = 0))*(G1772 + (G1772 = 0))*(H1772 + (H1772 = 0))*(I1772 + (I1772 = 0))</f>
        <v>1.843</v>
      </c>
      <c r="K1772" s="9"/>
      <c r="L1772" s="9"/>
      <c r="M1772" s="9"/>
    </row>
    <row r="1773" spans="1:13">
      <c r="A1773" s="9"/>
      <c r="B1773" s="9"/>
      <c r="C1773" s="10" t="s">
        <v>27</v>
      </c>
      <c r="D1773" s="30"/>
      <c r="E1773" s="10" t="s">
        <v>17</v>
      </c>
      <c r="F1773" s="19">
        <v>4</v>
      </c>
      <c r="G1773" s="20">
        <v>2.75</v>
      </c>
      <c r="H1773" s="20">
        <v>0.13</v>
      </c>
      <c r="I1773" s="20">
        <v>0</v>
      </c>
      <c r="J1773" s="16">
        <f>OR(F1773&lt;&gt;0,G1773&lt;&gt;0,H1773&lt;&gt;0,I1773&lt;&gt;0)*(F1773 + (F1773 = 0))*(G1773 + (G1773 = 0))*(H1773 + (H1773 = 0))*(I1773 + (I1773 = 0))</f>
        <v>1.43</v>
      </c>
      <c r="K1773" s="9"/>
      <c r="L1773" s="9"/>
      <c r="M1773" s="9"/>
    </row>
    <row r="1774" spans="1:13">
      <c r="A1774" s="9"/>
      <c r="B1774" s="9"/>
      <c r="C1774" s="9"/>
      <c r="D1774" s="30"/>
      <c r="E1774" s="9"/>
      <c r="F1774" s="9"/>
      <c r="G1774" s="9"/>
      <c r="H1774" s="9"/>
      <c r="I1774" s="9"/>
      <c r="J1774" s="21" t="s">
        <v>1423</v>
      </c>
      <c r="K1774" s="22">
        <f>SUM(J1771:J1773)</f>
        <v>7.8620000000000001</v>
      </c>
      <c r="L1774" s="23">
        <v>0</v>
      </c>
      <c r="M1774" s="24">
        <f>ROUND(K1774*L1774,2)</f>
        <v>0</v>
      </c>
    </row>
    <row r="1775" spans="1:13" ht="0.95" customHeight="1">
      <c r="A1775" s="25"/>
      <c r="B1775" s="25"/>
      <c r="C1775" s="25"/>
      <c r="D1775" s="31"/>
      <c r="E1775" s="25"/>
      <c r="F1775" s="25"/>
      <c r="G1775" s="25"/>
      <c r="H1775" s="25"/>
      <c r="I1775" s="25"/>
      <c r="J1775" s="25"/>
      <c r="K1775" s="25"/>
      <c r="L1775" s="25"/>
      <c r="M1775" s="25"/>
    </row>
    <row r="1776" spans="1:13">
      <c r="A1776" s="9"/>
      <c r="B1776" s="9"/>
      <c r="C1776" s="9"/>
      <c r="D1776" s="30"/>
      <c r="E1776" s="9"/>
      <c r="F1776" s="9"/>
      <c r="G1776" s="9"/>
      <c r="H1776" s="9"/>
      <c r="I1776" s="9"/>
      <c r="J1776" s="21" t="s">
        <v>1424</v>
      </c>
      <c r="K1776" s="20">
        <v>1</v>
      </c>
      <c r="L1776" s="24">
        <f>M1741+M1749+M1757+M1769</f>
        <v>0</v>
      </c>
      <c r="M1776" s="24">
        <f>ROUND(K1776*L1776,2)</f>
        <v>0</v>
      </c>
    </row>
    <row r="1777" spans="1:13" ht="0.95" customHeight="1">
      <c r="A1777" s="25"/>
      <c r="B1777" s="25"/>
      <c r="C1777" s="25"/>
      <c r="D1777" s="31"/>
      <c r="E1777" s="25"/>
      <c r="F1777" s="25"/>
      <c r="G1777" s="25"/>
      <c r="H1777" s="25"/>
      <c r="I1777" s="25"/>
      <c r="J1777" s="25"/>
      <c r="K1777" s="25"/>
      <c r="L1777" s="25"/>
      <c r="M1777" s="25"/>
    </row>
    <row r="1778" spans="1:13">
      <c r="A1778" s="11" t="s">
        <v>1425</v>
      </c>
      <c r="B1778" s="11" t="s">
        <v>16</v>
      </c>
      <c r="C1778" s="11" t="s">
        <v>17</v>
      </c>
      <c r="D1778" s="29" t="s">
        <v>1426</v>
      </c>
      <c r="E1778" s="12"/>
      <c r="F1778" s="12"/>
      <c r="G1778" s="12"/>
      <c r="H1778" s="12"/>
      <c r="I1778" s="12"/>
      <c r="J1778" s="12"/>
      <c r="K1778" s="13">
        <f>K1788</f>
        <v>1</v>
      </c>
      <c r="L1778" s="14">
        <f>L1788</f>
        <v>0</v>
      </c>
      <c r="M1778" s="14">
        <f>M1788</f>
        <v>0</v>
      </c>
    </row>
    <row r="1779" spans="1:13">
      <c r="A1779" s="9"/>
      <c r="B1779" s="9"/>
      <c r="C1779" s="9"/>
      <c r="D1779" s="18" t="s">
        <v>1426</v>
      </c>
      <c r="E1779" s="9"/>
      <c r="F1779" s="9"/>
      <c r="G1779" s="9"/>
      <c r="H1779" s="9"/>
      <c r="I1779" s="9"/>
      <c r="J1779" s="9"/>
      <c r="K1779" s="9"/>
      <c r="L1779" s="9"/>
      <c r="M1779" s="9"/>
    </row>
    <row r="1780" spans="1:13" ht="33.75">
      <c r="A1780" s="15" t="s">
        <v>1427</v>
      </c>
      <c r="B1780" s="10" t="s">
        <v>23</v>
      </c>
      <c r="C1780" s="10" t="s">
        <v>66</v>
      </c>
      <c r="D1780" s="18" t="s">
        <v>1428</v>
      </c>
      <c r="E1780" s="9"/>
      <c r="F1780" s="9"/>
      <c r="G1780" s="9"/>
      <c r="H1780" s="9"/>
      <c r="I1780" s="9"/>
      <c r="J1780" s="9"/>
      <c r="K1780" s="16">
        <f>K1786</f>
        <v>20</v>
      </c>
      <c r="L1780" s="17">
        <f>L1786</f>
        <v>0</v>
      </c>
      <c r="M1780" s="17">
        <f>M1786</f>
        <v>0</v>
      </c>
    </row>
    <row r="1781" spans="1:13" ht="67.5">
      <c r="A1781" s="9"/>
      <c r="B1781" s="9"/>
      <c r="C1781" s="9"/>
      <c r="D1781" s="18" t="s">
        <v>1429</v>
      </c>
      <c r="E1781" s="9"/>
      <c r="F1781" s="9"/>
      <c r="G1781" s="9"/>
      <c r="H1781" s="9"/>
      <c r="I1781" s="9"/>
      <c r="J1781" s="9"/>
      <c r="K1781" s="9"/>
      <c r="L1781" s="9"/>
      <c r="M1781" s="9"/>
    </row>
    <row r="1782" spans="1:13">
      <c r="A1782" s="9"/>
      <c r="B1782" s="9"/>
      <c r="C1782" s="10" t="s">
        <v>27</v>
      </c>
      <c r="D1782" s="30"/>
      <c r="E1782" s="10" t="s">
        <v>184</v>
      </c>
      <c r="F1782" s="19">
        <v>7</v>
      </c>
      <c r="G1782" s="20">
        <v>1</v>
      </c>
      <c r="H1782" s="20">
        <v>0</v>
      </c>
      <c r="I1782" s="20">
        <v>0</v>
      </c>
      <c r="J1782" s="16">
        <f>OR(F1782&lt;&gt;0,G1782&lt;&gt;0,H1782&lt;&gt;0,I1782&lt;&gt;0)*(F1782 + (F1782 = 0))*(G1782 + (G1782 = 0))*(H1782 + (H1782 = 0))*(I1782 + (I1782 = 0))</f>
        <v>7</v>
      </c>
      <c r="K1782" s="9"/>
      <c r="L1782" s="9"/>
      <c r="M1782" s="9"/>
    </row>
    <row r="1783" spans="1:13">
      <c r="A1783" s="9"/>
      <c r="B1783" s="9"/>
      <c r="C1783" s="10" t="s">
        <v>27</v>
      </c>
      <c r="D1783" s="30"/>
      <c r="E1783" s="10" t="s">
        <v>17</v>
      </c>
      <c r="F1783" s="19">
        <v>3</v>
      </c>
      <c r="G1783" s="20">
        <v>1</v>
      </c>
      <c r="H1783" s="20">
        <v>0</v>
      </c>
      <c r="I1783" s="20">
        <v>0</v>
      </c>
      <c r="J1783" s="16">
        <f>OR(F1783&lt;&gt;0,G1783&lt;&gt;0,H1783&lt;&gt;0,I1783&lt;&gt;0)*(F1783 + (F1783 = 0))*(G1783 + (G1783 = 0))*(H1783 + (H1783 = 0))*(I1783 + (I1783 = 0))</f>
        <v>3</v>
      </c>
      <c r="K1783" s="9"/>
      <c r="L1783" s="9"/>
      <c r="M1783" s="9"/>
    </row>
    <row r="1784" spans="1:13">
      <c r="A1784" s="9"/>
      <c r="B1784" s="9"/>
      <c r="C1784" s="10" t="s">
        <v>27</v>
      </c>
      <c r="D1784" s="30"/>
      <c r="E1784" s="10" t="s">
        <v>17</v>
      </c>
      <c r="F1784" s="19">
        <v>4</v>
      </c>
      <c r="G1784" s="20">
        <v>1</v>
      </c>
      <c r="H1784" s="20">
        <v>0</v>
      </c>
      <c r="I1784" s="20">
        <v>0</v>
      </c>
      <c r="J1784" s="16">
        <f>OR(F1784&lt;&gt;0,G1784&lt;&gt;0,H1784&lt;&gt;0,I1784&lt;&gt;0)*(F1784 + (F1784 = 0))*(G1784 + (G1784 = 0))*(H1784 + (H1784 = 0))*(I1784 + (I1784 = 0))</f>
        <v>4</v>
      </c>
      <c r="K1784" s="9"/>
      <c r="L1784" s="9"/>
      <c r="M1784" s="9"/>
    </row>
    <row r="1785" spans="1:13">
      <c r="A1785" s="9"/>
      <c r="B1785" s="9"/>
      <c r="C1785" s="10" t="s">
        <v>27</v>
      </c>
      <c r="D1785" s="30"/>
      <c r="E1785" s="10" t="s">
        <v>17</v>
      </c>
      <c r="F1785" s="19">
        <v>6</v>
      </c>
      <c r="G1785" s="20">
        <v>1</v>
      </c>
      <c r="H1785" s="20">
        <v>0</v>
      </c>
      <c r="I1785" s="20">
        <v>0</v>
      </c>
      <c r="J1785" s="16">
        <f>OR(F1785&lt;&gt;0,G1785&lt;&gt;0,H1785&lt;&gt;0,I1785&lt;&gt;0)*(F1785 + (F1785 = 0))*(G1785 + (G1785 = 0))*(H1785 + (H1785 = 0))*(I1785 + (I1785 = 0))</f>
        <v>6</v>
      </c>
      <c r="K1785" s="9"/>
      <c r="L1785" s="9"/>
      <c r="M1785" s="9"/>
    </row>
    <row r="1786" spans="1:13">
      <c r="A1786" s="9"/>
      <c r="B1786" s="9"/>
      <c r="C1786" s="9"/>
      <c r="D1786" s="30"/>
      <c r="E1786" s="9"/>
      <c r="F1786" s="9"/>
      <c r="G1786" s="9"/>
      <c r="H1786" s="9"/>
      <c r="I1786" s="9"/>
      <c r="J1786" s="21" t="s">
        <v>1430</v>
      </c>
      <c r="K1786" s="22">
        <f>SUM(J1782:J1785)</f>
        <v>20</v>
      </c>
      <c r="L1786" s="23">
        <v>0</v>
      </c>
      <c r="M1786" s="24">
        <f>ROUND(K1786*L1786,2)</f>
        <v>0</v>
      </c>
    </row>
    <row r="1787" spans="1:13" ht="0.95" customHeight="1">
      <c r="A1787" s="25"/>
      <c r="B1787" s="25"/>
      <c r="C1787" s="25"/>
      <c r="D1787" s="31"/>
      <c r="E1787" s="25"/>
      <c r="F1787" s="25"/>
      <c r="G1787" s="25"/>
      <c r="H1787" s="25"/>
      <c r="I1787" s="25"/>
      <c r="J1787" s="25"/>
      <c r="K1787" s="25"/>
      <c r="L1787" s="25"/>
      <c r="M1787" s="25"/>
    </row>
    <row r="1788" spans="1:13">
      <c r="A1788" s="9"/>
      <c r="B1788" s="9"/>
      <c r="C1788" s="9"/>
      <c r="D1788" s="30"/>
      <c r="E1788" s="9"/>
      <c r="F1788" s="9"/>
      <c r="G1788" s="9"/>
      <c r="H1788" s="9"/>
      <c r="I1788" s="9"/>
      <c r="J1788" s="21" t="s">
        <v>1431</v>
      </c>
      <c r="K1788" s="20">
        <v>1</v>
      </c>
      <c r="L1788" s="24">
        <f>M1780</f>
        <v>0</v>
      </c>
      <c r="M1788" s="24">
        <f>ROUND(K1788*L1788,2)</f>
        <v>0</v>
      </c>
    </row>
    <row r="1789" spans="1:13" ht="0.95" customHeight="1">
      <c r="A1789" s="25"/>
      <c r="B1789" s="25"/>
      <c r="C1789" s="25"/>
      <c r="D1789" s="31"/>
      <c r="E1789" s="25"/>
      <c r="F1789" s="25"/>
      <c r="G1789" s="25"/>
      <c r="H1789" s="25"/>
      <c r="I1789" s="25"/>
      <c r="J1789" s="25"/>
      <c r="K1789" s="25"/>
      <c r="L1789" s="25"/>
      <c r="M1789" s="25"/>
    </row>
    <row r="1790" spans="1:13">
      <c r="A1790" s="11" t="s">
        <v>1432</v>
      </c>
      <c r="B1790" s="11" t="s">
        <v>16</v>
      </c>
      <c r="C1790" s="11" t="s">
        <v>17</v>
      </c>
      <c r="D1790" s="29" t="s">
        <v>1433</v>
      </c>
      <c r="E1790" s="12"/>
      <c r="F1790" s="12"/>
      <c r="G1790" s="12"/>
      <c r="H1790" s="12"/>
      <c r="I1790" s="12"/>
      <c r="J1790" s="12"/>
      <c r="K1790" s="13">
        <f>K1808</f>
        <v>1</v>
      </c>
      <c r="L1790" s="14">
        <f>L1808</f>
        <v>0</v>
      </c>
      <c r="M1790" s="14">
        <f>M1808</f>
        <v>0</v>
      </c>
    </row>
    <row r="1791" spans="1:13" ht="22.5">
      <c r="A1791" s="15" t="s">
        <v>1434</v>
      </c>
      <c r="B1791" s="10" t="s">
        <v>23</v>
      </c>
      <c r="C1791" s="10" t="s">
        <v>66</v>
      </c>
      <c r="D1791" s="18" t="s">
        <v>268</v>
      </c>
      <c r="E1791" s="9"/>
      <c r="F1791" s="9"/>
      <c r="G1791" s="9"/>
      <c r="H1791" s="9"/>
      <c r="I1791" s="9"/>
      <c r="J1791" s="9"/>
      <c r="K1791" s="16">
        <f>K1796</f>
        <v>19.600000000000001</v>
      </c>
      <c r="L1791" s="17">
        <f>L1796</f>
        <v>0</v>
      </c>
      <c r="M1791" s="17">
        <f>M1796</f>
        <v>0</v>
      </c>
    </row>
    <row r="1792" spans="1:13">
      <c r="A1792" s="9"/>
      <c r="B1792" s="9"/>
      <c r="C1792" s="9"/>
      <c r="D1792" s="18" t="s">
        <v>1435</v>
      </c>
      <c r="E1792" s="9"/>
      <c r="F1792" s="9"/>
      <c r="G1792" s="9"/>
      <c r="H1792" s="9"/>
      <c r="I1792" s="9"/>
      <c r="J1792" s="9"/>
      <c r="K1792" s="9"/>
      <c r="L1792" s="9"/>
      <c r="M1792" s="9"/>
    </row>
    <row r="1793" spans="1:13">
      <c r="A1793" s="9"/>
      <c r="B1793" s="9"/>
      <c r="C1793" s="10" t="s">
        <v>27</v>
      </c>
      <c r="D1793" s="30"/>
      <c r="E1793" s="10" t="s">
        <v>1436</v>
      </c>
      <c r="F1793" s="19">
        <v>1</v>
      </c>
      <c r="G1793" s="20">
        <v>8.85</v>
      </c>
      <c r="H1793" s="20">
        <v>0</v>
      </c>
      <c r="I1793" s="20">
        <v>0</v>
      </c>
      <c r="J1793" s="16">
        <f>OR(F1793&lt;&gt;0,G1793&lt;&gt;0,H1793&lt;&gt;0,I1793&lt;&gt;0)*(F1793 + (F1793 = 0))*(G1793 + (G1793 = 0))*(H1793 + (H1793 = 0))*(I1793 + (I1793 = 0))</f>
        <v>8.85</v>
      </c>
      <c r="K1793" s="9"/>
      <c r="L1793" s="9"/>
      <c r="M1793" s="9"/>
    </row>
    <row r="1794" spans="1:13">
      <c r="A1794" s="9"/>
      <c r="B1794" s="9"/>
      <c r="C1794" s="10" t="s">
        <v>27</v>
      </c>
      <c r="D1794" s="30"/>
      <c r="E1794" s="10" t="s">
        <v>17</v>
      </c>
      <c r="F1794" s="19">
        <v>1</v>
      </c>
      <c r="G1794" s="20">
        <v>5.3</v>
      </c>
      <c r="H1794" s="20">
        <v>0</v>
      </c>
      <c r="I1794" s="20">
        <v>0</v>
      </c>
      <c r="J1794" s="16">
        <f>OR(F1794&lt;&gt;0,G1794&lt;&gt;0,H1794&lt;&gt;0,I1794&lt;&gt;0)*(F1794 + (F1794 = 0))*(G1794 + (G1794 = 0))*(H1794 + (H1794 = 0))*(I1794 + (I1794 = 0))</f>
        <v>5.3</v>
      </c>
      <c r="K1794" s="9"/>
      <c r="L1794" s="9"/>
      <c r="M1794" s="9"/>
    </row>
    <row r="1795" spans="1:13">
      <c r="A1795" s="9"/>
      <c r="B1795" s="9"/>
      <c r="C1795" s="10" t="s">
        <v>27</v>
      </c>
      <c r="D1795" s="30"/>
      <c r="E1795" s="10" t="s">
        <v>17</v>
      </c>
      <c r="F1795" s="19">
        <v>1</v>
      </c>
      <c r="G1795" s="20">
        <v>5.45</v>
      </c>
      <c r="H1795" s="20">
        <v>0</v>
      </c>
      <c r="I1795" s="20">
        <v>0</v>
      </c>
      <c r="J1795" s="16">
        <f>OR(F1795&lt;&gt;0,G1795&lt;&gt;0,H1795&lt;&gt;0,I1795&lt;&gt;0)*(F1795 + (F1795 = 0))*(G1795 + (G1795 = 0))*(H1795 + (H1795 = 0))*(I1795 + (I1795 = 0))</f>
        <v>5.45</v>
      </c>
      <c r="K1795" s="9"/>
      <c r="L1795" s="9"/>
      <c r="M1795" s="9"/>
    </row>
    <row r="1796" spans="1:13">
      <c r="A1796" s="9"/>
      <c r="B1796" s="9"/>
      <c r="C1796" s="9"/>
      <c r="D1796" s="30"/>
      <c r="E1796" s="9"/>
      <c r="F1796" s="9"/>
      <c r="G1796" s="9"/>
      <c r="H1796" s="9"/>
      <c r="I1796" s="9"/>
      <c r="J1796" s="21" t="s">
        <v>1437</v>
      </c>
      <c r="K1796" s="22">
        <f>SUM(J1793:J1795)</f>
        <v>19.600000000000001</v>
      </c>
      <c r="L1796" s="23">
        <v>0</v>
      </c>
      <c r="M1796" s="24">
        <f>ROUND(K1796*L1796,2)</f>
        <v>0</v>
      </c>
    </row>
    <row r="1797" spans="1:13" ht="0.95" customHeight="1">
      <c r="A1797" s="25"/>
      <c r="B1797" s="25"/>
      <c r="C1797" s="25"/>
      <c r="D1797" s="31"/>
      <c r="E1797" s="25"/>
      <c r="F1797" s="25"/>
      <c r="G1797" s="25"/>
      <c r="H1797" s="25"/>
      <c r="I1797" s="25"/>
      <c r="J1797" s="25"/>
      <c r="K1797" s="25"/>
      <c r="L1797" s="25"/>
      <c r="M1797" s="25"/>
    </row>
    <row r="1798" spans="1:13">
      <c r="A1798" s="15" t="s">
        <v>1438</v>
      </c>
      <c r="B1798" s="10" t="s">
        <v>23</v>
      </c>
      <c r="C1798" s="10" t="s">
        <v>4</v>
      </c>
      <c r="D1798" s="18" t="s">
        <v>1439</v>
      </c>
      <c r="E1798" s="9"/>
      <c r="F1798" s="9"/>
      <c r="G1798" s="9"/>
      <c r="H1798" s="9"/>
      <c r="I1798" s="9"/>
      <c r="J1798" s="9"/>
      <c r="K1798" s="16">
        <f>K1801</f>
        <v>1</v>
      </c>
      <c r="L1798" s="17">
        <f>L1801</f>
        <v>0</v>
      </c>
      <c r="M1798" s="17">
        <f>M1801</f>
        <v>0</v>
      </c>
    </row>
    <row r="1799" spans="1:13">
      <c r="A1799" s="9"/>
      <c r="B1799" s="9"/>
      <c r="C1799" s="9"/>
      <c r="D1799" s="18" t="s">
        <v>1440</v>
      </c>
      <c r="E1799" s="9"/>
      <c r="F1799" s="9"/>
      <c r="G1799" s="9"/>
      <c r="H1799" s="9"/>
      <c r="I1799" s="9"/>
      <c r="J1799" s="9"/>
      <c r="K1799" s="9"/>
      <c r="L1799" s="9"/>
      <c r="M1799" s="9"/>
    </row>
    <row r="1800" spans="1:13">
      <c r="A1800" s="9"/>
      <c r="B1800" s="9"/>
      <c r="C1800" s="10" t="s">
        <v>27</v>
      </c>
      <c r="D1800" s="30"/>
      <c r="E1800" s="10" t="s">
        <v>1441</v>
      </c>
      <c r="F1800" s="19">
        <v>1</v>
      </c>
      <c r="G1800" s="20">
        <v>0</v>
      </c>
      <c r="H1800" s="20">
        <v>0</v>
      </c>
      <c r="I1800" s="20">
        <v>0</v>
      </c>
      <c r="J1800" s="16">
        <f>OR(F1800&lt;&gt;0,G1800&lt;&gt;0,H1800&lt;&gt;0,I1800&lt;&gt;0)*(F1800 + (F1800 = 0))*(G1800 + (G1800 = 0))*(H1800 + (H1800 = 0))*(I1800 + (I1800 = 0))</f>
        <v>1</v>
      </c>
      <c r="K1800" s="9"/>
      <c r="L1800" s="9"/>
      <c r="M1800" s="9"/>
    </row>
    <row r="1801" spans="1:13">
      <c r="A1801" s="9"/>
      <c r="B1801" s="9"/>
      <c r="C1801" s="9"/>
      <c r="D1801" s="30"/>
      <c r="E1801" s="9"/>
      <c r="F1801" s="9"/>
      <c r="G1801" s="9"/>
      <c r="H1801" s="9"/>
      <c r="I1801" s="9"/>
      <c r="J1801" s="21" t="s">
        <v>1442</v>
      </c>
      <c r="K1801" s="22">
        <f>J1800</f>
        <v>1</v>
      </c>
      <c r="L1801" s="23">
        <v>0</v>
      </c>
      <c r="M1801" s="24">
        <f>ROUND(K1801*L1801,2)</f>
        <v>0</v>
      </c>
    </row>
    <row r="1802" spans="1:13" ht="0.95" customHeight="1">
      <c r="A1802" s="25"/>
      <c r="B1802" s="25"/>
      <c r="C1802" s="25"/>
      <c r="D1802" s="31"/>
      <c r="E1802" s="25"/>
      <c r="F1802" s="25"/>
      <c r="G1802" s="25"/>
      <c r="H1802" s="25"/>
      <c r="I1802" s="25"/>
      <c r="J1802" s="25"/>
      <c r="K1802" s="25"/>
      <c r="L1802" s="25"/>
      <c r="M1802" s="25"/>
    </row>
    <row r="1803" spans="1:13">
      <c r="A1803" s="15" t="s">
        <v>1443</v>
      </c>
      <c r="B1803" s="10" t="s">
        <v>23</v>
      </c>
      <c r="C1803" s="10" t="s">
        <v>4</v>
      </c>
      <c r="D1803" s="18" t="s">
        <v>1444</v>
      </c>
      <c r="E1803" s="9"/>
      <c r="F1803" s="9"/>
      <c r="G1803" s="9"/>
      <c r="H1803" s="9"/>
      <c r="I1803" s="9"/>
      <c r="J1803" s="9"/>
      <c r="K1803" s="16">
        <f>K1806</f>
        <v>1</v>
      </c>
      <c r="L1803" s="17">
        <f>L1806</f>
        <v>0</v>
      </c>
      <c r="M1803" s="17">
        <f>M1806</f>
        <v>0</v>
      </c>
    </row>
    <row r="1804" spans="1:13">
      <c r="A1804" s="9"/>
      <c r="B1804" s="9"/>
      <c r="C1804" s="9"/>
      <c r="D1804" s="18" t="s">
        <v>1445</v>
      </c>
      <c r="E1804" s="9"/>
      <c r="F1804" s="9"/>
      <c r="G1804" s="9"/>
      <c r="H1804" s="9"/>
      <c r="I1804" s="9"/>
      <c r="J1804" s="9"/>
      <c r="K1804" s="9"/>
      <c r="L1804" s="9"/>
      <c r="M1804" s="9"/>
    </row>
    <row r="1805" spans="1:13">
      <c r="A1805" s="9"/>
      <c r="B1805" s="9"/>
      <c r="C1805" s="10" t="s">
        <v>27</v>
      </c>
      <c r="D1805" s="30"/>
      <c r="E1805" s="10" t="s">
        <v>1446</v>
      </c>
      <c r="F1805" s="19">
        <v>1</v>
      </c>
      <c r="G1805" s="20">
        <v>0</v>
      </c>
      <c r="H1805" s="20">
        <v>0</v>
      </c>
      <c r="I1805" s="20">
        <v>0</v>
      </c>
      <c r="J1805" s="16">
        <f>OR(F1805&lt;&gt;0,G1805&lt;&gt;0,H1805&lt;&gt;0,I1805&lt;&gt;0)*(F1805 + (F1805 = 0))*(G1805 + (G1805 = 0))*(H1805 + (H1805 = 0))*(I1805 + (I1805 = 0))</f>
        <v>1</v>
      </c>
      <c r="K1805" s="9"/>
      <c r="L1805" s="9"/>
      <c r="M1805" s="9"/>
    </row>
    <row r="1806" spans="1:13">
      <c r="A1806" s="9"/>
      <c r="B1806" s="9"/>
      <c r="C1806" s="9"/>
      <c r="D1806" s="30"/>
      <c r="E1806" s="9"/>
      <c r="F1806" s="9"/>
      <c r="G1806" s="9"/>
      <c r="H1806" s="9"/>
      <c r="I1806" s="9"/>
      <c r="J1806" s="21" t="s">
        <v>1447</v>
      </c>
      <c r="K1806" s="22">
        <f>J1805</f>
        <v>1</v>
      </c>
      <c r="L1806" s="23">
        <v>0</v>
      </c>
      <c r="M1806" s="24">
        <f>ROUND(K1806*L1806,2)</f>
        <v>0</v>
      </c>
    </row>
    <row r="1807" spans="1:13" ht="0.95" customHeight="1">
      <c r="A1807" s="25"/>
      <c r="B1807" s="25"/>
      <c r="C1807" s="25"/>
      <c r="D1807" s="31"/>
      <c r="E1807" s="25"/>
      <c r="F1807" s="25"/>
      <c r="G1807" s="25"/>
      <c r="H1807" s="25"/>
      <c r="I1807" s="25"/>
      <c r="J1807" s="25"/>
      <c r="K1807" s="25"/>
      <c r="L1807" s="25"/>
      <c r="M1807" s="25"/>
    </row>
    <row r="1808" spans="1:13">
      <c r="A1808" s="9"/>
      <c r="B1808" s="9"/>
      <c r="C1808" s="9"/>
      <c r="D1808" s="30"/>
      <c r="E1808" s="9"/>
      <c r="F1808" s="9"/>
      <c r="G1808" s="9"/>
      <c r="H1808" s="9"/>
      <c r="I1808" s="9"/>
      <c r="J1808" s="21" t="s">
        <v>1448</v>
      </c>
      <c r="K1808" s="20">
        <v>1</v>
      </c>
      <c r="L1808" s="24">
        <f>M1791+M1798+M1803</f>
        <v>0</v>
      </c>
      <c r="M1808" s="24">
        <f>ROUND(K1808*L1808,2)</f>
        <v>0</v>
      </c>
    </row>
    <row r="1809" spans="1:13" ht="0.95" customHeight="1">
      <c r="A1809" s="25"/>
      <c r="B1809" s="25"/>
      <c r="C1809" s="25"/>
      <c r="D1809" s="31"/>
      <c r="E1809" s="25"/>
      <c r="F1809" s="25"/>
      <c r="G1809" s="25"/>
      <c r="H1809" s="25"/>
      <c r="I1809" s="25"/>
      <c r="J1809" s="25"/>
      <c r="K1809" s="25"/>
      <c r="L1809" s="25"/>
      <c r="M1809" s="25"/>
    </row>
    <row r="1810" spans="1:13">
      <c r="A1810" s="9"/>
      <c r="B1810" s="9"/>
      <c r="C1810" s="9"/>
      <c r="D1810" s="30"/>
      <c r="E1810" s="9"/>
      <c r="F1810" s="9"/>
      <c r="G1810" s="9"/>
      <c r="H1810" s="9"/>
      <c r="I1810" s="9"/>
      <c r="J1810" s="21" t="s">
        <v>1449</v>
      </c>
      <c r="K1810" s="26">
        <v>1</v>
      </c>
      <c r="L1810" s="24">
        <f>M1739+M1778+M1790</f>
        <v>0</v>
      </c>
      <c r="M1810" s="24">
        <f>ROUND(K1810*L1810,2)</f>
        <v>0</v>
      </c>
    </row>
    <row r="1811" spans="1:13" ht="0.95" customHeight="1">
      <c r="A1811" s="25"/>
      <c r="B1811" s="25"/>
      <c r="C1811" s="25"/>
      <c r="D1811" s="31"/>
      <c r="E1811" s="25"/>
      <c r="F1811" s="25"/>
      <c r="G1811" s="25"/>
      <c r="H1811" s="25"/>
      <c r="I1811" s="25"/>
      <c r="J1811" s="25"/>
      <c r="K1811" s="25"/>
      <c r="L1811" s="25"/>
      <c r="M1811" s="25"/>
    </row>
    <row r="1812" spans="1:13">
      <c r="A1812" s="5" t="s">
        <v>1450</v>
      </c>
      <c r="B1812" s="5" t="s">
        <v>16</v>
      </c>
      <c r="C1812" s="5" t="s">
        <v>17</v>
      </c>
      <c r="D1812" s="28" t="s">
        <v>1451</v>
      </c>
      <c r="E1812" s="6"/>
      <c r="F1812" s="6"/>
      <c r="G1812" s="6"/>
      <c r="H1812" s="6"/>
      <c r="I1812" s="6"/>
      <c r="J1812" s="6"/>
      <c r="K1812" s="7">
        <f>K1848</f>
        <v>1</v>
      </c>
      <c r="L1812" s="8">
        <f>L1848</f>
        <v>0</v>
      </c>
      <c r="M1812" s="8">
        <f>M1848</f>
        <v>0</v>
      </c>
    </row>
    <row r="1813" spans="1:13">
      <c r="A1813" s="11" t="s">
        <v>1452</v>
      </c>
      <c r="B1813" s="11" t="s">
        <v>16</v>
      </c>
      <c r="C1813" s="11" t="s">
        <v>17</v>
      </c>
      <c r="D1813" s="29" t="s">
        <v>1453</v>
      </c>
      <c r="E1813" s="12"/>
      <c r="F1813" s="12"/>
      <c r="G1813" s="12"/>
      <c r="H1813" s="12"/>
      <c r="I1813" s="12"/>
      <c r="J1813" s="12"/>
      <c r="K1813" s="13">
        <f>K1846</f>
        <v>1</v>
      </c>
      <c r="L1813" s="14">
        <f>L1846</f>
        <v>0</v>
      </c>
      <c r="M1813" s="14">
        <f>M1846</f>
        <v>0</v>
      </c>
    </row>
    <row r="1814" spans="1:13" ht="45">
      <c r="A1814" s="15" t="s">
        <v>1454</v>
      </c>
      <c r="B1814" s="10" t="s">
        <v>23</v>
      </c>
      <c r="C1814" s="10" t="s">
        <v>4</v>
      </c>
      <c r="D1814" s="18" t="s">
        <v>1455</v>
      </c>
      <c r="E1814" s="9"/>
      <c r="F1814" s="9"/>
      <c r="G1814" s="9"/>
      <c r="H1814" s="9"/>
      <c r="I1814" s="9"/>
      <c r="J1814" s="9"/>
      <c r="K1814" s="20">
        <v>1</v>
      </c>
      <c r="L1814" s="23">
        <v>0</v>
      </c>
      <c r="M1814" s="17">
        <f>ROUND(K1814*L1814,2)</f>
        <v>0</v>
      </c>
    </row>
    <row r="1815" spans="1:13">
      <c r="A1815" s="9"/>
      <c r="B1815" s="9"/>
      <c r="C1815" s="9"/>
      <c r="D1815" s="18" t="s">
        <v>1456</v>
      </c>
      <c r="E1815" s="9"/>
      <c r="F1815" s="9"/>
      <c r="G1815" s="9"/>
      <c r="H1815" s="9"/>
      <c r="I1815" s="9"/>
      <c r="J1815" s="9"/>
      <c r="K1815" s="9"/>
      <c r="L1815" s="9"/>
      <c r="M1815" s="9"/>
    </row>
    <row r="1816" spans="1:13" ht="33.75">
      <c r="A1816" s="15" t="s">
        <v>1457</v>
      </c>
      <c r="B1816" s="10" t="s">
        <v>23</v>
      </c>
      <c r="C1816" s="10" t="s">
        <v>4</v>
      </c>
      <c r="D1816" s="18" t="s">
        <v>1458</v>
      </c>
      <c r="E1816" s="9"/>
      <c r="F1816" s="9"/>
      <c r="G1816" s="9"/>
      <c r="H1816" s="9"/>
      <c r="I1816" s="9"/>
      <c r="J1816" s="9"/>
      <c r="K1816" s="20">
        <v>2</v>
      </c>
      <c r="L1816" s="23">
        <v>0</v>
      </c>
      <c r="M1816" s="17">
        <f>ROUND(K1816*L1816,2)</f>
        <v>0</v>
      </c>
    </row>
    <row r="1817" spans="1:13">
      <c r="A1817" s="9"/>
      <c r="B1817" s="9"/>
      <c r="C1817" s="9"/>
      <c r="D1817" s="18" t="s">
        <v>1459</v>
      </c>
      <c r="E1817" s="9"/>
      <c r="F1817" s="9"/>
      <c r="G1817" s="9"/>
      <c r="H1817" s="9"/>
      <c r="I1817" s="9"/>
      <c r="J1817" s="9"/>
      <c r="K1817" s="9"/>
      <c r="L1817" s="9"/>
      <c r="M1817" s="9"/>
    </row>
    <row r="1818" spans="1:13" ht="45">
      <c r="A1818" s="15" t="s">
        <v>1460</v>
      </c>
      <c r="B1818" s="10" t="s">
        <v>23</v>
      </c>
      <c r="C1818" s="10" t="s">
        <v>4</v>
      </c>
      <c r="D1818" s="18" t="s">
        <v>1461</v>
      </c>
      <c r="E1818" s="9"/>
      <c r="F1818" s="9"/>
      <c r="G1818" s="9"/>
      <c r="H1818" s="9"/>
      <c r="I1818" s="9"/>
      <c r="J1818" s="9"/>
      <c r="K1818" s="20">
        <v>1</v>
      </c>
      <c r="L1818" s="23">
        <v>0</v>
      </c>
      <c r="M1818" s="17">
        <f>ROUND(K1818*L1818,2)</f>
        <v>0</v>
      </c>
    </row>
    <row r="1819" spans="1:13">
      <c r="A1819" s="9"/>
      <c r="B1819" s="9"/>
      <c r="C1819" s="9"/>
      <c r="D1819" s="18" t="s">
        <v>1462</v>
      </c>
      <c r="E1819" s="9"/>
      <c r="F1819" s="9"/>
      <c r="G1819" s="9"/>
      <c r="H1819" s="9"/>
      <c r="I1819" s="9"/>
      <c r="J1819" s="9"/>
      <c r="K1819" s="9"/>
      <c r="L1819" s="9"/>
      <c r="M1819" s="9"/>
    </row>
    <row r="1820" spans="1:13" ht="45">
      <c r="A1820" s="15" t="s">
        <v>1463</v>
      </c>
      <c r="B1820" s="10" t="s">
        <v>23</v>
      </c>
      <c r="C1820" s="10" t="s">
        <v>4</v>
      </c>
      <c r="D1820" s="18" t="s">
        <v>1464</v>
      </c>
      <c r="E1820" s="9"/>
      <c r="F1820" s="9"/>
      <c r="G1820" s="9"/>
      <c r="H1820" s="9"/>
      <c r="I1820" s="9"/>
      <c r="J1820" s="9"/>
      <c r="K1820" s="20">
        <v>1</v>
      </c>
      <c r="L1820" s="23">
        <v>0</v>
      </c>
      <c r="M1820" s="17">
        <f>ROUND(K1820*L1820,2)</f>
        <v>0</v>
      </c>
    </row>
    <row r="1821" spans="1:13">
      <c r="A1821" s="9"/>
      <c r="B1821" s="9"/>
      <c r="C1821" s="9"/>
      <c r="D1821" s="18" t="s">
        <v>1465</v>
      </c>
      <c r="E1821" s="9"/>
      <c r="F1821" s="9"/>
      <c r="G1821" s="9"/>
      <c r="H1821" s="9"/>
      <c r="I1821" s="9"/>
      <c r="J1821" s="9"/>
      <c r="K1821" s="9"/>
      <c r="L1821" s="9"/>
      <c r="M1821" s="9"/>
    </row>
    <row r="1822" spans="1:13" ht="45">
      <c r="A1822" s="15" t="s">
        <v>1466</v>
      </c>
      <c r="B1822" s="10" t="s">
        <v>23</v>
      </c>
      <c r="C1822" s="10" t="s">
        <v>4</v>
      </c>
      <c r="D1822" s="18" t="s">
        <v>1467</v>
      </c>
      <c r="E1822" s="9"/>
      <c r="F1822" s="9"/>
      <c r="G1822" s="9"/>
      <c r="H1822" s="9"/>
      <c r="I1822" s="9"/>
      <c r="J1822" s="9"/>
      <c r="K1822" s="20">
        <v>1</v>
      </c>
      <c r="L1822" s="23">
        <v>0</v>
      </c>
      <c r="M1822" s="17">
        <f>ROUND(K1822*L1822,2)</f>
        <v>0</v>
      </c>
    </row>
    <row r="1823" spans="1:13">
      <c r="A1823" s="9"/>
      <c r="B1823" s="9"/>
      <c r="C1823" s="9"/>
      <c r="D1823" s="18" t="s">
        <v>1468</v>
      </c>
      <c r="E1823" s="9"/>
      <c r="F1823" s="9"/>
      <c r="G1823" s="9"/>
      <c r="H1823" s="9"/>
      <c r="I1823" s="9"/>
      <c r="J1823" s="9"/>
      <c r="K1823" s="9"/>
      <c r="L1823" s="9"/>
      <c r="M1823" s="9"/>
    </row>
    <row r="1824" spans="1:13" ht="33.75">
      <c r="A1824" s="15" t="s">
        <v>1469</v>
      </c>
      <c r="B1824" s="10" t="s">
        <v>23</v>
      </c>
      <c r="C1824" s="10" t="s">
        <v>4</v>
      </c>
      <c r="D1824" s="18" t="s">
        <v>1470</v>
      </c>
      <c r="E1824" s="9"/>
      <c r="F1824" s="9"/>
      <c r="G1824" s="9"/>
      <c r="H1824" s="9"/>
      <c r="I1824" s="9"/>
      <c r="J1824" s="9"/>
      <c r="K1824" s="20">
        <v>1</v>
      </c>
      <c r="L1824" s="23">
        <v>0</v>
      </c>
      <c r="M1824" s="17">
        <f>ROUND(K1824*L1824,2)</f>
        <v>0</v>
      </c>
    </row>
    <row r="1825" spans="1:13">
      <c r="A1825" s="9"/>
      <c r="B1825" s="9"/>
      <c r="C1825" s="9"/>
      <c r="D1825" s="18" t="s">
        <v>1471</v>
      </c>
      <c r="E1825" s="9"/>
      <c r="F1825" s="9"/>
      <c r="G1825" s="9"/>
      <c r="H1825" s="9"/>
      <c r="I1825" s="9"/>
      <c r="J1825" s="9"/>
      <c r="K1825" s="9"/>
      <c r="L1825" s="9"/>
      <c r="M1825" s="9"/>
    </row>
    <row r="1826" spans="1:13" ht="45">
      <c r="A1826" s="15" t="s">
        <v>1472</v>
      </c>
      <c r="B1826" s="10" t="s">
        <v>23</v>
      </c>
      <c r="C1826" s="10" t="s">
        <v>4</v>
      </c>
      <c r="D1826" s="18" t="s">
        <v>1473</v>
      </c>
      <c r="E1826" s="9"/>
      <c r="F1826" s="9"/>
      <c r="G1826" s="9"/>
      <c r="H1826" s="9"/>
      <c r="I1826" s="9"/>
      <c r="J1826" s="9"/>
      <c r="K1826" s="20">
        <v>1</v>
      </c>
      <c r="L1826" s="23">
        <v>0</v>
      </c>
      <c r="M1826" s="17">
        <f>ROUND(K1826*L1826,2)</f>
        <v>0</v>
      </c>
    </row>
    <row r="1827" spans="1:13">
      <c r="A1827" s="9"/>
      <c r="B1827" s="9"/>
      <c r="C1827" s="9"/>
      <c r="D1827" s="18" t="s">
        <v>1474</v>
      </c>
      <c r="E1827" s="9"/>
      <c r="F1827" s="9"/>
      <c r="G1827" s="9"/>
      <c r="H1827" s="9"/>
      <c r="I1827" s="9"/>
      <c r="J1827" s="9"/>
      <c r="K1827" s="9"/>
      <c r="L1827" s="9"/>
      <c r="M1827" s="9"/>
    </row>
    <row r="1828" spans="1:13" ht="33.75">
      <c r="A1828" s="15" t="s">
        <v>1475</v>
      </c>
      <c r="B1828" s="10" t="s">
        <v>23</v>
      </c>
      <c r="C1828" s="10" t="s">
        <v>4</v>
      </c>
      <c r="D1828" s="18" t="s">
        <v>1476</v>
      </c>
      <c r="E1828" s="9"/>
      <c r="F1828" s="9"/>
      <c r="G1828" s="9"/>
      <c r="H1828" s="9"/>
      <c r="I1828" s="9"/>
      <c r="J1828" s="9"/>
      <c r="K1828" s="20">
        <v>3</v>
      </c>
      <c r="L1828" s="23">
        <v>0</v>
      </c>
      <c r="M1828" s="17">
        <f>ROUND(K1828*L1828,2)</f>
        <v>0</v>
      </c>
    </row>
    <row r="1829" spans="1:13">
      <c r="A1829" s="9"/>
      <c r="B1829" s="9"/>
      <c r="C1829" s="9"/>
      <c r="D1829" s="18" t="s">
        <v>1477</v>
      </c>
      <c r="E1829" s="9"/>
      <c r="F1829" s="9"/>
      <c r="G1829" s="9"/>
      <c r="H1829" s="9"/>
      <c r="I1829" s="9"/>
      <c r="J1829" s="9"/>
      <c r="K1829" s="9"/>
      <c r="L1829" s="9"/>
      <c r="M1829" s="9"/>
    </row>
    <row r="1830" spans="1:13" ht="33.75">
      <c r="A1830" s="15" t="s">
        <v>1478</v>
      </c>
      <c r="B1830" s="10" t="s">
        <v>23</v>
      </c>
      <c r="C1830" s="10" t="s">
        <v>4</v>
      </c>
      <c r="D1830" s="18" t="s">
        <v>1479</v>
      </c>
      <c r="E1830" s="9"/>
      <c r="F1830" s="9"/>
      <c r="G1830" s="9"/>
      <c r="H1830" s="9"/>
      <c r="I1830" s="9"/>
      <c r="J1830" s="9"/>
      <c r="K1830" s="20">
        <v>1</v>
      </c>
      <c r="L1830" s="23">
        <v>0</v>
      </c>
      <c r="M1830" s="17">
        <f>ROUND(K1830*L1830,2)</f>
        <v>0</v>
      </c>
    </row>
    <row r="1831" spans="1:13">
      <c r="A1831" s="9"/>
      <c r="B1831" s="9"/>
      <c r="C1831" s="9"/>
      <c r="D1831" s="18" t="s">
        <v>1480</v>
      </c>
      <c r="E1831" s="9"/>
      <c r="F1831" s="9"/>
      <c r="G1831" s="9"/>
      <c r="H1831" s="9"/>
      <c r="I1831" s="9"/>
      <c r="J1831" s="9"/>
      <c r="K1831" s="9"/>
      <c r="L1831" s="9"/>
      <c r="M1831" s="9"/>
    </row>
    <row r="1832" spans="1:13" ht="33.75">
      <c r="A1832" s="15" t="s">
        <v>1481</v>
      </c>
      <c r="B1832" s="10" t="s">
        <v>23</v>
      </c>
      <c r="C1832" s="10" t="s">
        <v>4</v>
      </c>
      <c r="D1832" s="18" t="s">
        <v>1482</v>
      </c>
      <c r="E1832" s="9"/>
      <c r="F1832" s="9"/>
      <c r="G1832" s="9"/>
      <c r="H1832" s="9"/>
      <c r="I1832" s="9"/>
      <c r="J1832" s="9"/>
      <c r="K1832" s="20">
        <v>2</v>
      </c>
      <c r="L1832" s="23">
        <v>0</v>
      </c>
      <c r="M1832" s="17">
        <f>ROUND(K1832*L1832,2)</f>
        <v>0</v>
      </c>
    </row>
    <row r="1833" spans="1:13">
      <c r="A1833" s="9"/>
      <c r="B1833" s="9"/>
      <c r="C1833" s="9"/>
      <c r="D1833" s="18" t="s">
        <v>1483</v>
      </c>
      <c r="E1833" s="9"/>
      <c r="F1833" s="9"/>
      <c r="G1833" s="9"/>
      <c r="H1833" s="9"/>
      <c r="I1833" s="9"/>
      <c r="J1833" s="9"/>
      <c r="K1833" s="9"/>
      <c r="L1833" s="9"/>
      <c r="M1833" s="9"/>
    </row>
    <row r="1834" spans="1:13" ht="45">
      <c r="A1834" s="15" t="s">
        <v>1484</v>
      </c>
      <c r="B1834" s="10" t="s">
        <v>23</v>
      </c>
      <c r="C1834" s="10" t="s">
        <v>4</v>
      </c>
      <c r="D1834" s="18" t="s">
        <v>1485</v>
      </c>
      <c r="E1834" s="9"/>
      <c r="F1834" s="9"/>
      <c r="G1834" s="9"/>
      <c r="H1834" s="9"/>
      <c r="I1834" s="9"/>
      <c r="J1834" s="9"/>
      <c r="K1834" s="20">
        <v>1</v>
      </c>
      <c r="L1834" s="23">
        <v>0</v>
      </c>
      <c r="M1834" s="17">
        <f>ROUND(K1834*L1834,2)</f>
        <v>0</v>
      </c>
    </row>
    <row r="1835" spans="1:13">
      <c r="A1835" s="9"/>
      <c r="B1835" s="9"/>
      <c r="C1835" s="9"/>
      <c r="D1835" s="18" t="s">
        <v>1486</v>
      </c>
      <c r="E1835" s="9"/>
      <c r="F1835" s="9"/>
      <c r="G1835" s="9"/>
      <c r="H1835" s="9"/>
      <c r="I1835" s="9"/>
      <c r="J1835" s="9"/>
      <c r="K1835" s="9"/>
      <c r="L1835" s="9"/>
      <c r="M1835" s="9"/>
    </row>
    <row r="1836" spans="1:13" ht="45">
      <c r="A1836" s="15" t="s">
        <v>1487</v>
      </c>
      <c r="B1836" s="10" t="s">
        <v>23</v>
      </c>
      <c r="C1836" s="10" t="s">
        <v>4</v>
      </c>
      <c r="D1836" s="18" t="s">
        <v>1488</v>
      </c>
      <c r="E1836" s="9"/>
      <c r="F1836" s="9"/>
      <c r="G1836" s="9"/>
      <c r="H1836" s="9"/>
      <c r="I1836" s="9"/>
      <c r="J1836" s="9"/>
      <c r="K1836" s="20">
        <v>1</v>
      </c>
      <c r="L1836" s="23">
        <v>0</v>
      </c>
      <c r="M1836" s="17">
        <f>ROUND(K1836*L1836,2)</f>
        <v>0</v>
      </c>
    </row>
    <row r="1837" spans="1:13">
      <c r="A1837" s="9"/>
      <c r="B1837" s="9"/>
      <c r="C1837" s="9"/>
      <c r="D1837" s="18" t="s">
        <v>1489</v>
      </c>
      <c r="E1837" s="9"/>
      <c r="F1837" s="9"/>
      <c r="G1837" s="9"/>
      <c r="H1837" s="9"/>
      <c r="I1837" s="9"/>
      <c r="J1837" s="9"/>
      <c r="K1837" s="9"/>
      <c r="L1837" s="9"/>
      <c r="M1837" s="9"/>
    </row>
    <row r="1838" spans="1:13" ht="45">
      <c r="A1838" s="15" t="s">
        <v>1490</v>
      </c>
      <c r="B1838" s="10" t="s">
        <v>23</v>
      </c>
      <c r="C1838" s="10" t="s">
        <v>4</v>
      </c>
      <c r="D1838" s="18" t="s">
        <v>1491</v>
      </c>
      <c r="E1838" s="9"/>
      <c r="F1838" s="9"/>
      <c r="G1838" s="9"/>
      <c r="H1838" s="9"/>
      <c r="I1838" s="9"/>
      <c r="J1838" s="9"/>
      <c r="K1838" s="20">
        <v>1</v>
      </c>
      <c r="L1838" s="23">
        <v>0</v>
      </c>
      <c r="M1838" s="17">
        <f>ROUND(K1838*L1838,2)</f>
        <v>0</v>
      </c>
    </row>
    <row r="1839" spans="1:13">
      <c r="A1839" s="9"/>
      <c r="B1839" s="9"/>
      <c r="C1839" s="9"/>
      <c r="D1839" s="18" t="s">
        <v>1492</v>
      </c>
      <c r="E1839" s="9"/>
      <c r="F1839" s="9"/>
      <c r="G1839" s="9"/>
      <c r="H1839" s="9"/>
      <c r="I1839" s="9"/>
      <c r="J1839" s="9"/>
      <c r="K1839" s="9"/>
      <c r="L1839" s="9"/>
      <c r="M1839" s="9"/>
    </row>
    <row r="1840" spans="1:13" ht="33.75">
      <c r="A1840" s="15" t="s">
        <v>1493</v>
      </c>
      <c r="B1840" s="10" t="s">
        <v>23</v>
      </c>
      <c r="C1840" s="10" t="s">
        <v>4</v>
      </c>
      <c r="D1840" s="18" t="s">
        <v>1494</v>
      </c>
      <c r="E1840" s="9"/>
      <c r="F1840" s="9"/>
      <c r="G1840" s="9"/>
      <c r="H1840" s="9"/>
      <c r="I1840" s="9"/>
      <c r="J1840" s="9"/>
      <c r="K1840" s="20">
        <v>1</v>
      </c>
      <c r="L1840" s="23">
        <v>0</v>
      </c>
      <c r="M1840" s="17">
        <f>ROUND(K1840*L1840,2)</f>
        <v>0</v>
      </c>
    </row>
    <row r="1841" spans="1:13">
      <c r="A1841" s="9"/>
      <c r="B1841" s="9"/>
      <c r="C1841" s="9"/>
      <c r="D1841" s="18" t="s">
        <v>1495</v>
      </c>
      <c r="E1841" s="9"/>
      <c r="F1841" s="9"/>
      <c r="G1841" s="9"/>
      <c r="H1841" s="9"/>
      <c r="I1841" s="9"/>
      <c r="J1841" s="9"/>
      <c r="K1841" s="9"/>
      <c r="L1841" s="9"/>
      <c r="M1841" s="9"/>
    </row>
    <row r="1842" spans="1:13" ht="45">
      <c r="A1842" s="15" t="s">
        <v>1496</v>
      </c>
      <c r="B1842" s="10" t="s">
        <v>23</v>
      </c>
      <c r="C1842" s="10" t="s">
        <v>4</v>
      </c>
      <c r="D1842" s="18" t="s">
        <v>1497</v>
      </c>
      <c r="E1842" s="9"/>
      <c r="F1842" s="9"/>
      <c r="G1842" s="9"/>
      <c r="H1842" s="9"/>
      <c r="I1842" s="9"/>
      <c r="J1842" s="9"/>
      <c r="K1842" s="20">
        <v>1</v>
      </c>
      <c r="L1842" s="23">
        <v>0</v>
      </c>
      <c r="M1842" s="17">
        <f>ROUND(K1842*L1842,2)</f>
        <v>0</v>
      </c>
    </row>
    <row r="1843" spans="1:13">
      <c r="A1843" s="9"/>
      <c r="B1843" s="9"/>
      <c r="C1843" s="9"/>
      <c r="D1843" s="18" t="s">
        <v>1498</v>
      </c>
      <c r="E1843" s="9"/>
      <c r="F1843" s="9"/>
      <c r="G1843" s="9"/>
      <c r="H1843" s="9"/>
      <c r="I1843" s="9"/>
      <c r="J1843" s="9"/>
      <c r="K1843" s="9"/>
      <c r="L1843" s="9"/>
      <c r="M1843" s="9"/>
    </row>
    <row r="1844" spans="1:13" ht="33.75">
      <c r="A1844" s="15" t="s">
        <v>1499</v>
      </c>
      <c r="B1844" s="10" t="s">
        <v>23</v>
      </c>
      <c r="C1844" s="10" t="s">
        <v>4</v>
      </c>
      <c r="D1844" s="18" t="s">
        <v>1500</v>
      </c>
      <c r="E1844" s="9"/>
      <c r="F1844" s="9"/>
      <c r="G1844" s="9"/>
      <c r="H1844" s="9"/>
      <c r="I1844" s="9"/>
      <c r="J1844" s="9"/>
      <c r="K1844" s="20">
        <v>3</v>
      </c>
      <c r="L1844" s="23">
        <v>0</v>
      </c>
      <c r="M1844" s="17">
        <f>ROUND(K1844*L1844,2)</f>
        <v>0</v>
      </c>
    </row>
    <row r="1845" spans="1:13">
      <c r="A1845" s="9"/>
      <c r="B1845" s="9"/>
      <c r="C1845" s="9"/>
      <c r="D1845" s="18" t="s">
        <v>1501</v>
      </c>
      <c r="E1845" s="9"/>
      <c r="F1845" s="9"/>
      <c r="G1845" s="9"/>
      <c r="H1845" s="9"/>
      <c r="I1845" s="9"/>
      <c r="J1845" s="9"/>
      <c r="K1845" s="9"/>
      <c r="L1845" s="9"/>
      <c r="M1845" s="9"/>
    </row>
    <row r="1846" spans="1:13">
      <c r="A1846" s="9"/>
      <c r="B1846" s="9"/>
      <c r="C1846" s="9"/>
      <c r="D1846" s="30"/>
      <c r="E1846" s="9"/>
      <c r="F1846" s="9"/>
      <c r="G1846" s="9"/>
      <c r="H1846" s="9"/>
      <c r="I1846" s="9"/>
      <c r="J1846" s="21" t="s">
        <v>1502</v>
      </c>
      <c r="K1846" s="20">
        <v>1</v>
      </c>
      <c r="L1846" s="24">
        <f>M1814+M1816+M1818+M1820+M1822+M1824+M1826+M1828+M1830+M1832+M1834+M1836+M1838+M1840+M1842+M1844</f>
        <v>0</v>
      </c>
      <c r="M1846" s="24">
        <f>ROUND(K1846*L1846,2)</f>
        <v>0</v>
      </c>
    </row>
    <row r="1847" spans="1:13" ht="0.95" customHeight="1">
      <c r="A1847" s="25"/>
      <c r="B1847" s="25"/>
      <c r="C1847" s="25"/>
      <c r="D1847" s="31"/>
      <c r="E1847" s="25"/>
      <c r="F1847" s="25"/>
      <c r="G1847" s="25"/>
      <c r="H1847" s="25"/>
      <c r="I1847" s="25"/>
      <c r="J1847" s="25"/>
      <c r="K1847" s="25"/>
      <c r="L1847" s="25"/>
      <c r="M1847" s="25"/>
    </row>
    <row r="1848" spans="1:13">
      <c r="A1848" s="9"/>
      <c r="B1848" s="9"/>
      <c r="C1848" s="9"/>
      <c r="D1848" s="30"/>
      <c r="E1848" s="9"/>
      <c r="F1848" s="9"/>
      <c r="G1848" s="9"/>
      <c r="H1848" s="9"/>
      <c r="I1848" s="9"/>
      <c r="J1848" s="21" t="s">
        <v>1503</v>
      </c>
      <c r="K1848" s="26">
        <v>1</v>
      </c>
      <c r="L1848" s="24">
        <f>M1813</f>
        <v>0</v>
      </c>
      <c r="M1848" s="24">
        <f>ROUND(K1848*L1848,2)</f>
        <v>0</v>
      </c>
    </row>
    <row r="1849" spans="1:13" ht="0.95" customHeight="1">
      <c r="A1849" s="25"/>
      <c r="B1849" s="25"/>
      <c r="C1849" s="25"/>
      <c r="D1849" s="31"/>
      <c r="E1849" s="25"/>
      <c r="F1849" s="25"/>
      <c r="G1849" s="25"/>
      <c r="H1849" s="25"/>
      <c r="I1849" s="25"/>
      <c r="J1849" s="25"/>
      <c r="K1849" s="25"/>
      <c r="L1849" s="25"/>
      <c r="M1849" s="25"/>
    </row>
    <row r="1850" spans="1:13">
      <c r="A1850" s="5" t="s">
        <v>1504</v>
      </c>
      <c r="B1850" s="5" t="s">
        <v>16</v>
      </c>
      <c r="C1850" s="5" t="s">
        <v>17</v>
      </c>
      <c r="D1850" s="28" t="s">
        <v>1505</v>
      </c>
      <c r="E1850" s="6"/>
      <c r="F1850" s="6"/>
      <c r="G1850" s="6"/>
      <c r="H1850" s="6"/>
      <c r="I1850" s="6"/>
      <c r="J1850" s="6"/>
      <c r="K1850" s="7">
        <f>K1886</f>
        <v>1</v>
      </c>
      <c r="L1850" s="8">
        <f>L1886</f>
        <v>0</v>
      </c>
      <c r="M1850" s="8">
        <f>M1886</f>
        <v>0</v>
      </c>
    </row>
    <row r="1851" spans="1:13">
      <c r="A1851" s="11" t="s">
        <v>1506</v>
      </c>
      <c r="B1851" s="11" t="s">
        <v>16</v>
      </c>
      <c r="C1851" s="11" t="s">
        <v>17</v>
      </c>
      <c r="D1851" s="29" t="s">
        <v>1507</v>
      </c>
      <c r="E1851" s="12"/>
      <c r="F1851" s="12"/>
      <c r="G1851" s="12"/>
      <c r="H1851" s="12"/>
      <c r="I1851" s="12"/>
      <c r="J1851" s="12"/>
      <c r="K1851" s="13">
        <f>K1875</f>
        <v>1</v>
      </c>
      <c r="L1851" s="14">
        <f>L1875</f>
        <v>0</v>
      </c>
      <c r="M1851" s="14">
        <f>M1875</f>
        <v>0</v>
      </c>
    </row>
    <row r="1852" spans="1:13" ht="45">
      <c r="A1852" s="15" t="s">
        <v>1508</v>
      </c>
      <c r="B1852" s="10" t="s">
        <v>23</v>
      </c>
      <c r="C1852" s="10" t="s">
        <v>4</v>
      </c>
      <c r="D1852" s="18" t="s">
        <v>1509</v>
      </c>
      <c r="E1852" s="9"/>
      <c r="F1852" s="9"/>
      <c r="G1852" s="9"/>
      <c r="H1852" s="9"/>
      <c r="I1852" s="9"/>
      <c r="J1852" s="9"/>
      <c r="K1852" s="16">
        <f>K1857</f>
        <v>3</v>
      </c>
      <c r="L1852" s="17">
        <f>L1857</f>
        <v>0</v>
      </c>
      <c r="M1852" s="17">
        <f>M1857</f>
        <v>0</v>
      </c>
    </row>
    <row r="1853" spans="1:13">
      <c r="A1853" s="9"/>
      <c r="B1853" s="9"/>
      <c r="C1853" s="9"/>
      <c r="D1853" s="18" t="s">
        <v>1510</v>
      </c>
      <c r="E1853" s="9"/>
      <c r="F1853" s="9"/>
      <c r="G1853" s="9"/>
      <c r="H1853" s="9"/>
      <c r="I1853" s="9"/>
      <c r="J1853" s="9"/>
      <c r="K1853" s="9"/>
      <c r="L1853" s="9"/>
      <c r="M1853" s="9"/>
    </row>
    <row r="1854" spans="1:13">
      <c r="A1854" s="9"/>
      <c r="B1854" s="9"/>
      <c r="C1854" s="10" t="s">
        <v>27</v>
      </c>
      <c r="D1854" s="30"/>
      <c r="E1854" s="10" t="s">
        <v>1511</v>
      </c>
      <c r="F1854" s="19">
        <v>1</v>
      </c>
      <c r="G1854" s="20">
        <v>0</v>
      </c>
      <c r="H1854" s="20">
        <v>0</v>
      </c>
      <c r="I1854" s="20">
        <v>0</v>
      </c>
      <c r="J1854" s="16">
        <f>OR(F1854&lt;&gt;0,G1854&lt;&gt;0,H1854&lt;&gt;0,I1854&lt;&gt;0)*(F1854 + (F1854 = 0))*(G1854 + (G1854 = 0))*(H1854 + (H1854 = 0))*(I1854 + (I1854 = 0))</f>
        <v>1</v>
      </c>
      <c r="K1854" s="9"/>
      <c r="L1854" s="9"/>
      <c r="M1854" s="9"/>
    </row>
    <row r="1855" spans="1:13">
      <c r="A1855" s="9"/>
      <c r="B1855" s="9"/>
      <c r="C1855" s="10" t="s">
        <v>27</v>
      </c>
      <c r="D1855" s="30"/>
      <c r="E1855" s="10" t="s">
        <v>1512</v>
      </c>
      <c r="F1855" s="19">
        <v>1</v>
      </c>
      <c r="G1855" s="20">
        <v>0</v>
      </c>
      <c r="H1855" s="20">
        <v>0</v>
      </c>
      <c r="I1855" s="20">
        <v>0</v>
      </c>
      <c r="J1855" s="16">
        <f>OR(F1855&lt;&gt;0,G1855&lt;&gt;0,H1855&lt;&gt;0,I1855&lt;&gt;0)*(F1855 + (F1855 = 0))*(G1855 + (G1855 = 0))*(H1855 + (H1855 = 0))*(I1855 + (I1855 = 0))</f>
        <v>1</v>
      </c>
      <c r="K1855" s="9"/>
      <c r="L1855" s="9"/>
      <c r="M1855" s="9"/>
    </row>
    <row r="1856" spans="1:13">
      <c r="A1856" s="9"/>
      <c r="B1856" s="9"/>
      <c r="C1856" s="10" t="s">
        <v>27</v>
      </c>
      <c r="D1856" s="30"/>
      <c r="E1856" s="10" t="s">
        <v>1513</v>
      </c>
      <c r="F1856" s="19">
        <v>1</v>
      </c>
      <c r="G1856" s="20">
        <v>0</v>
      </c>
      <c r="H1856" s="20">
        <v>0</v>
      </c>
      <c r="I1856" s="20">
        <v>0</v>
      </c>
      <c r="J1856" s="16">
        <f>OR(F1856&lt;&gt;0,G1856&lt;&gt;0,H1856&lt;&gt;0,I1856&lt;&gt;0)*(F1856 + (F1856 = 0))*(G1856 + (G1856 = 0))*(H1856 + (H1856 = 0))*(I1856 + (I1856 = 0))</f>
        <v>1</v>
      </c>
      <c r="K1856" s="9"/>
      <c r="L1856" s="9"/>
      <c r="M1856" s="9"/>
    </row>
    <row r="1857" spans="1:13">
      <c r="A1857" s="9"/>
      <c r="B1857" s="9"/>
      <c r="C1857" s="9"/>
      <c r="D1857" s="30"/>
      <c r="E1857" s="9"/>
      <c r="F1857" s="9"/>
      <c r="G1857" s="9"/>
      <c r="H1857" s="9"/>
      <c r="I1857" s="9"/>
      <c r="J1857" s="21" t="s">
        <v>1514</v>
      </c>
      <c r="K1857" s="22">
        <f>SUM(J1854:J1856)</f>
        <v>3</v>
      </c>
      <c r="L1857" s="23">
        <v>0</v>
      </c>
      <c r="M1857" s="24">
        <f>ROUND(K1857*L1857,2)</f>
        <v>0</v>
      </c>
    </row>
    <row r="1858" spans="1:13" ht="0.95" customHeight="1">
      <c r="A1858" s="25"/>
      <c r="B1858" s="25"/>
      <c r="C1858" s="25"/>
      <c r="D1858" s="31"/>
      <c r="E1858" s="25"/>
      <c r="F1858" s="25"/>
      <c r="G1858" s="25"/>
      <c r="H1858" s="25"/>
      <c r="I1858" s="25"/>
      <c r="J1858" s="25"/>
      <c r="K1858" s="25"/>
      <c r="L1858" s="25"/>
      <c r="M1858" s="25"/>
    </row>
    <row r="1859" spans="1:13" ht="33.75">
      <c r="A1859" s="15" t="s">
        <v>1515</v>
      </c>
      <c r="B1859" s="10" t="s">
        <v>23</v>
      </c>
      <c r="C1859" s="10" t="s">
        <v>4</v>
      </c>
      <c r="D1859" s="18" t="s">
        <v>1516</v>
      </c>
      <c r="E1859" s="9"/>
      <c r="F1859" s="9"/>
      <c r="G1859" s="9"/>
      <c r="H1859" s="9"/>
      <c r="I1859" s="9"/>
      <c r="J1859" s="9"/>
      <c r="K1859" s="20">
        <v>7</v>
      </c>
      <c r="L1859" s="23">
        <v>0</v>
      </c>
      <c r="M1859" s="17">
        <f>ROUND(K1859*L1859,2)</f>
        <v>0</v>
      </c>
    </row>
    <row r="1860" spans="1:13">
      <c r="A1860" s="9"/>
      <c r="B1860" s="9"/>
      <c r="C1860" s="9"/>
      <c r="D1860" s="18" t="s">
        <v>1517</v>
      </c>
      <c r="E1860" s="9"/>
      <c r="F1860" s="9"/>
      <c r="G1860" s="9"/>
      <c r="H1860" s="9"/>
      <c r="I1860" s="9"/>
      <c r="J1860" s="9"/>
      <c r="K1860" s="9"/>
      <c r="L1860" s="9"/>
      <c r="M1860" s="9"/>
    </row>
    <row r="1861" spans="1:13" ht="45">
      <c r="A1861" s="15" t="s">
        <v>1518</v>
      </c>
      <c r="B1861" s="10" t="s">
        <v>23</v>
      </c>
      <c r="C1861" s="10" t="s">
        <v>4</v>
      </c>
      <c r="D1861" s="18" t="s">
        <v>1519</v>
      </c>
      <c r="E1861" s="9"/>
      <c r="F1861" s="9"/>
      <c r="G1861" s="9"/>
      <c r="H1861" s="9"/>
      <c r="I1861" s="9"/>
      <c r="J1861" s="9"/>
      <c r="K1861" s="16">
        <f>K1864</f>
        <v>1</v>
      </c>
      <c r="L1861" s="17">
        <f>L1864</f>
        <v>0</v>
      </c>
      <c r="M1861" s="17">
        <f>M1864</f>
        <v>0</v>
      </c>
    </row>
    <row r="1862" spans="1:13">
      <c r="A1862" s="9"/>
      <c r="B1862" s="9"/>
      <c r="C1862" s="9"/>
      <c r="D1862" s="18" t="s">
        <v>1520</v>
      </c>
      <c r="E1862" s="9"/>
      <c r="F1862" s="9"/>
      <c r="G1862" s="9"/>
      <c r="H1862" s="9"/>
      <c r="I1862" s="9"/>
      <c r="J1862" s="9"/>
      <c r="K1862" s="9"/>
      <c r="L1862" s="9"/>
      <c r="M1862" s="9"/>
    </row>
    <row r="1863" spans="1:13">
      <c r="A1863" s="9"/>
      <c r="B1863" s="9"/>
      <c r="C1863" s="10" t="s">
        <v>27</v>
      </c>
      <c r="D1863" s="30"/>
      <c r="E1863" s="10" t="s">
        <v>1521</v>
      </c>
      <c r="F1863" s="19">
        <v>1</v>
      </c>
      <c r="G1863" s="20">
        <v>0</v>
      </c>
      <c r="H1863" s="20">
        <v>0</v>
      </c>
      <c r="I1863" s="20">
        <v>0</v>
      </c>
      <c r="J1863" s="16">
        <f>OR(F1863&lt;&gt;0,G1863&lt;&gt;0,H1863&lt;&gt;0,I1863&lt;&gt;0)*(F1863 + (F1863 = 0))*(G1863 + (G1863 = 0))*(H1863 + (H1863 = 0))*(I1863 + (I1863 = 0))</f>
        <v>1</v>
      </c>
      <c r="K1863" s="9"/>
      <c r="L1863" s="9"/>
      <c r="M1863" s="9"/>
    </row>
    <row r="1864" spans="1:13">
      <c r="A1864" s="9"/>
      <c r="B1864" s="9"/>
      <c r="C1864" s="9"/>
      <c r="D1864" s="30"/>
      <c r="E1864" s="9"/>
      <c r="F1864" s="9"/>
      <c r="G1864" s="9"/>
      <c r="H1864" s="9"/>
      <c r="I1864" s="9"/>
      <c r="J1864" s="21" t="s">
        <v>1522</v>
      </c>
      <c r="K1864" s="22">
        <f>J1863</f>
        <v>1</v>
      </c>
      <c r="L1864" s="23">
        <v>0</v>
      </c>
      <c r="M1864" s="24">
        <f>ROUND(K1864*L1864,2)</f>
        <v>0</v>
      </c>
    </row>
    <row r="1865" spans="1:13" ht="0.95" customHeight="1">
      <c r="A1865" s="25"/>
      <c r="B1865" s="25"/>
      <c r="C1865" s="25"/>
      <c r="D1865" s="31"/>
      <c r="E1865" s="25"/>
      <c r="F1865" s="25"/>
      <c r="G1865" s="25"/>
      <c r="H1865" s="25"/>
      <c r="I1865" s="25"/>
      <c r="J1865" s="25"/>
      <c r="K1865" s="25"/>
      <c r="L1865" s="25"/>
      <c r="M1865" s="25"/>
    </row>
    <row r="1866" spans="1:13" ht="33.75">
      <c r="A1866" s="15" t="s">
        <v>1523</v>
      </c>
      <c r="B1866" s="10" t="s">
        <v>23</v>
      </c>
      <c r="C1866" s="10" t="s">
        <v>4</v>
      </c>
      <c r="D1866" s="18" t="s">
        <v>1524</v>
      </c>
      <c r="E1866" s="9"/>
      <c r="F1866" s="9"/>
      <c r="G1866" s="9"/>
      <c r="H1866" s="9"/>
      <c r="I1866" s="9"/>
      <c r="J1866" s="9"/>
      <c r="K1866" s="20">
        <v>1</v>
      </c>
      <c r="L1866" s="23">
        <v>0</v>
      </c>
      <c r="M1866" s="17">
        <f>ROUND(K1866*L1866,2)</f>
        <v>0</v>
      </c>
    </row>
    <row r="1867" spans="1:13">
      <c r="A1867" s="9"/>
      <c r="B1867" s="9"/>
      <c r="C1867" s="9"/>
      <c r="D1867" s="18" t="s">
        <v>1525</v>
      </c>
      <c r="E1867" s="9"/>
      <c r="F1867" s="9"/>
      <c r="G1867" s="9"/>
      <c r="H1867" s="9"/>
      <c r="I1867" s="9"/>
      <c r="J1867" s="9"/>
      <c r="K1867" s="9"/>
      <c r="L1867" s="9"/>
      <c r="M1867" s="9"/>
    </row>
    <row r="1868" spans="1:13" ht="33.75">
      <c r="A1868" s="15" t="s">
        <v>1526</v>
      </c>
      <c r="B1868" s="10" t="s">
        <v>23</v>
      </c>
      <c r="C1868" s="10" t="s">
        <v>4</v>
      </c>
      <c r="D1868" s="18" t="s">
        <v>1527</v>
      </c>
      <c r="E1868" s="9"/>
      <c r="F1868" s="9"/>
      <c r="G1868" s="9"/>
      <c r="H1868" s="9"/>
      <c r="I1868" s="9"/>
      <c r="J1868" s="9"/>
      <c r="K1868" s="16">
        <f>K1873</f>
        <v>5</v>
      </c>
      <c r="L1868" s="17">
        <f>L1873</f>
        <v>0</v>
      </c>
      <c r="M1868" s="17">
        <f>M1873</f>
        <v>0</v>
      </c>
    </row>
    <row r="1869" spans="1:13">
      <c r="A1869" s="9"/>
      <c r="B1869" s="9"/>
      <c r="C1869" s="9"/>
      <c r="D1869" s="18" t="s">
        <v>1528</v>
      </c>
      <c r="E1869" s="9"/>
      <c r="F1869" s="9"/>
      <c r="G1869" s="9"/>
      <c r="H1869" s="9"/>
      <c r="I1869" s="9"/>
      <c r="J1869" s="9"/>
      <c r="K1869" s="9"/>
      <c r="L1869" s="9"/>
      <c r="M1869" s="9"/>
    </row>
    <row r="1870" spans="1:13">
      <c r="A1870" s="9"/>
      <c r="B1870" s="9"/>
      <c r="C1870" s="10" t="s">
        <v>27</v>
      </c>
      <c r="D1870" s="30"/>
      <c r="E1870" s="10" t="s">
        <v>1529</v>
      </c>
      <c r="F1870" s="19">
        <v>2</v>
      </c>
      <c r="G1870" s="20">
        <v>0</v>
      </c>
      <c r="H1870" s="20">
        <v>0</v>
      </c>
      <c r="I1870" s="20">
        <v>0</v>
      </c>
      <c r="J1870" s="16">
        <f>OR(F1870&lt;&gt;0,G1870&lt;&gt;0,H1870&lt;&gt;0,I1870&lt;&gt;0)*(F1870 + (F1870 = 0))*(G1870 + (G1870 = 0))*(H1870 + (H1870 = 0))*(I1870 + (I1870 = 0))</f>
        <v>2</v>
      </c>
      <c r="K1870" s="9"/>
      <c r="L1870" s="9"/>
      <c r="M1870" s="9"/>
    </row>
    <row r="1871" spans="1:13">
      <c r="A1871" s="9"/>
      <c r="B1871" s="9"/>
      <c r="C1871" s="10" t="s">
        <v>27</v>
      </c>
      <c r="D1871" s="30"/>
      <c r="E1871" s="10" t="s">
        <v>1530</v>
      </c>
      <c r="F1871" s="19">
        <v>2</v>
      </c>
      <c r="G1871" s="20">
        <v>0</v>
      </c>
      <c r="H1871" s="20">
        <v>0</v>
      </c>
      <c r="I1871" s="20">
        <v>0</v>
      </c>
      <c r="J1871" s="16">
        <f>OR(F1871&lt;&gt;0,G1871&lt;&gt;0,H1871&lt;&gt;0,I1871&lt;&gt;0)*(F1871 + (F1871 = 0))*(G1871 + (G1871 = 0))*(H1871 + (H1871 = 0))*(I1871 + (I1871 = 0))</f>
        <v>2</v>
      </c>
      <c r="K1871" s="9"/>
      <c r="L1871" s="9"/>
      <c r="M1871" s="9"/>
    </row>
    <row r="1872" spans="1:13">
      <c r="A1872" s="9"/>
      <c r="B1872" s="9"/>
      <c r="C1872" s="10" t="s">
        <v>27</v>
      </c>
      <c r="D1872" s="30"/>
      <c r="E1872" s="10" t="s">
        <v>1531</v>
      </c>
      <c r="F1872" s="19">
        <v>1</v>
      </c>
      <c r="G1872" s="20">
        <v>0</v>
      </c>
      <c r="H1872" s="20">
        <v>0</v>
      </c>
      <c r="I1872" s="20">
        <v>0</v>
      </c>
      <c r="J1872" s="16">
        <f>OR(F1872&lt;&gt;0,G1872&lt;&gt;0,H1872&lt;&gt;0,I1872&lt;&gt;0)*(F1872 + (F1872 = 0))*(G1872 + (G1872 = 0))*(H1872 + (H1872 = 0))*(I1872 + (I1872 = 0))</f>
        <v>1</v>
      </c>
      <c r="K1872" s="9"/>
      <c r="L1872" s="9"/>
      <c r="M1872" s="9"/>
    </row>
    <row r="1873" spans="1:13">
      <c r="A1873" s="9"/>
      <c r="B1873" s="9"/>
      <c r="C1873" s="9"/>
      <c r="D1873" s="30"/>
      <c r="E1873" s="9"/>
      <c r="F1873" s="9"/>
      <c r="G1873" s="9"/>
      <c r="H1873" s="9"/>
      <c r="I1873" s="9"/>
      <c r="J1873" s="21" t="s">
        <v>1532</v>
      </c>
      <c r="K1873" s="22">
        <f>SUM(J1870:J1872)</f>
        <v>5</v>
      </c>
      <c r="L1873" s="23">
        <v>0</v>
      </c>
      <c r="M1873" s="24">
        <f>ROUND(K1873*L1873,2)</f>
        <v>0</v>
      </c>
    </row>
    <row r="1874" spans="1:13" ht="0.95" customHeight="1">
      <c r="A1874" s="25"/>
      <c r="B1874" s="25"/>
      <c r="C1874" s="25"/>
      <c r="D1874" s="31"/>
      <c r="E1874" s="25"/>
      <c r="F1874" s="25"/>
      <c r="G1874" s="25"/>
      <c r="H1874" s="25"/>
      <c r="I1874" s="25"/>
      <c r="J1874" s="25"/>
      <c r="K1874" s="25"/>
      <c r="L1874" s="25"/>
      <c r="M1874" s="25"/>
    </row>
    <row r="1875" spans="1:13">
      <c r="A1875" s="9"/>
      <c r="B1875" s="9"/>
      <c r="C1875" s="9"/>
      <c r="D1875" s="30"/>
      <c r="E1875" s="9"/>
      <c r="F1875" s="9"/>
      <c r="G1875" s="9"/>
      <c r="H1875" s="9"/>
      <c r="I1875" s="9"/>
      <c r="J1875" s="21" t="s">
        <v>1533</v>
      </c>
      <c r="K1875" s="20">
        <v>1</v>
      </c>
      <c r="L1875" s="24">
        <f>M1852+M1859+M1861+M1866+M1868</f>
        <v>0</v>
      </c>
      <c r="M1875" s="24">
        <f>ROUND(K1875*L1875,2)</f>
        <v>0</v>
      </c>
    </row>
    <row r="1876" spans="1:13" ht="0.95" customHeight="1">
      <c r="A1876" s="25"/>
      <c r="B1876" s="25"/>
      <c r="C1876" s="25"/>
      <c r="D1876" s="31"/>
      <c r="E1876" s="25"/>
      <c r="F1876" s="25"/>
      <c r="G1876" s="25"/>
      <c r="H1876" s="25"/>
      <c r="I1876" s="25"/>
      <c r="J1876" s="25"/>
      <c r="K1876" s="25"/>
      <c r="L1876" s="25"/>
      <c r="M1876" s="25"/>
    </row>
    <row r="1877" spans="1:13">
      <c r="A1877" s="11" t="s">
        <v>1534</v>
      </c>
      <c r="B1877" s="11" t="s">
        <v>16</v>
      </c>
      <c r="C1877" s="11" t="s">
        <v>17</v>
      </c>
      <c r="D1877" s="29" t="s">
        <v>1535</v>
      </c>
      <c r="E1877" s="12"/>
      <c r="F1877" s="12"/>
      <c r="G1877" s="12"/>
      <c r="H1877" s="12"/>
      <c r="I1877" s="12"/>
      <c r="J1877" s="12"/>
      <c r="K1877" s="13">
        <f>K1884</f>
        <v>1</v>
      </c>
      <c r="L1877" s="14">
        <f>L1884</f>
        <v>0</v>
      </c>
      <c r="M1877" s="14">
        <f>M1884</f>
        <v>0</v>
      </c>
    </row>
    <row r="1878" spans="1:13" ht="33.75">
      <c r="A1878" s="15" t="s">
        <v>1536</v>
      </c>
      <c r="B1878" s="10" t="s">
        <v>23</v>
      </c>
      <c r="C1878" s="10" t="s">
        <v>4</v>
      </c>
      <c r="D1878" s="18" t="s">
        <v>1537</v>
      </c>
      <c r="E1878" s="9"/>
      <c r="F1878" s="9"/>
      <c r="G1878" s="9"/>
      <c r="H1878" s="9"/>
      <c r="I1878" s="9"/>
      <c r="J1878" s="9"/>
      <c r="K1878" s="20">
        <v>1</v>
      </c>
      <c r="L1878" s="23">
        <v>0</v>
      </c>
      <c r="M1878" s="17">
        <f>ROUND(K1878*L1878,2)</f>
        <v>0</v>
      </c>
    </row>
    <row r="1879" spans="1:13" ht="78.75">
      <c r="A1879" s="9"/>
      <c r="B1879" s="9"/>
      <c r="C1879" s="9"/>
      <c r="D1879" s="18" t="s">
        <v>1538</v>
      </c>
      <c r="E1879" s="9"/>
      <c r="F1879" s="9"/>
      <c r="G1879" s="9"/>
      <c r="H1879" s="9"/>
      <c r="I1879" s="9"/>
      <c r="J1879" s="9"/>
      <c r="K1879" s="9"/>
      <c r="L1879" s="9"/>
      <c r="M1879" s="9"/>
    </row>
    <row r="1880" spans="1:13">
      <c r="A1880" s="15" t="s">
        <v>1539</v>
      </c>
      <c r="B1880" s="10" t="s">
        <v>23</v>
      </c>
      <c r="C1880" s="10" t="s">
        <v>4</v>
      </c>
      <c r="D1880" s="18" t="s">
        <v>1540</v>
      </c>
      <c r="E1880" s="9"/>
      <c r="F1880" s="9"/>
      <c r="G1880" s="9"/>
      <c r="H1880" s="9"/>
      <c r="I1880" s="9"/>
      <c r="J1880" s="9"/>
      <c r="K1880" s="20">
        <v>1</v>
      </c>
      <c r="L1880" s="23">
        <v>0</v>
      </c>
      <c r="M1880" s="17">
        <f>ROUND(K1880*L1880,2)</f>
        <v>0</v>
      </c>
    </row>
    <row r="1881" spans="1:13" ht="45">
      <c r="A1881" s="9"/>
      <c r="B1881" s="9"/>
      <c r="C1881" s="9"/>
      <c r="D1881" s="18" t="s">
        <v>1541</v>
      </c>
      <c r="E1881" s="9"/>
      <c r="F1881" s="9"/>
      <c r="G1881" s="9"/>
      <c r="H1881" s="9"/>
      <c r="I1881" s="9"/>
      <c r="J1881" s="9"/>
      <c r="K1881" s="9"/>
      <c r="L1881" s="9"/>
      <c r="M1881" s="9"/>
    </row>
    <row r="1882" spans="1:13" ht="22.5">
      <c r="A1882" s="15" t="s">
        <v>1542</v>
      </c>
      <c r="B1882" s="10" t="s">
        <v>23</v>
      </c>
      <c r="C1882" s="10" t="s">
        <v>4</v>
      </c>
      <c r="D1882" s="18" t="s">
        <v>1543</v>
      </c>
      <c r="E1882" s="9"/>
      <c r="F1882" s="9"/>
      <c r="G1882" s="9"/>
      <c r="H1882" s="9"/>
      <c r="I1882" s="9"/>
      <c r="J1882" s="9"/>
      <c r="K1882" s="20">
        <v>1</v>
      </c>
      <c r="L1882" s="23">
        <v>0</v>
      </c>
      <c r="M1882" s="17">
        <f>ROUND(K1882*L1882,2)</f>
        <v>0</v>
      </c>
    </row>
    <row r="1883" spans="1:13" ht="56.25">
      <c r="A1883" s="9"/>
      <c r="B1883" s="9"/>
      <c r="C1883" s="9"/>
      <c r="D1883" s="18" t="s">
        <v>1544</v>
      </c>
      <c r="E1883" s="9"/>
      <c r="F1883" s="9"/>
      <c r="G1883" s="9"/>
      <c r="H1883" s="9"/>
      <c r="I1883" s="9"/>
      <c r="J1883" s="9"/>
      <c r="K1883" s="9"/>
      <c r="L1883" s="9"/>
      <c r="M1883" s="9"/>
    </row>
    <row r="1884" spans="1:13">
      <c r="A1884" s="9"/>
      <c r="B1884" s="9"/>
      <c r="C1884" s="9"/>
      <c r="D1884" s="30"/>
      <c r="E1884" s="9"/>
      <c r="F1884" s="9"/>
      <c r="G1884" s="9"/>
      <c r="H1884" s="9"/>
      <c r="I1884" s="9"/>
      <c r="J1884" s="21" t="s">
        <v>1545</v>
      </c>
      <c r="K1884" s="20">
        <v>1</v>
      </c>
      <c r="L1884" s="24">
        <f>M1878+M1880+M1882</f>
        <v>0</v>
      </c>
      <c r="M1884" s="24">
        <f>ROUND(K1884*L1884,2)</f>
        <v>0</v>
      </c>
    </row>
    <row r="1885" spans="1:13" ht="0.95" customHeight="1">
      <c r="A1885" s="25"/>
      <c r="B1885" s="25"/>
      <c r="C1885" s="25"/>
      <c r="D1885" s="31"/>
      <c r="E1885" s="25"/>
      <c r="F1885" s="25"/>
      <c r="G1885" s="25"/>
      <c r="H1885" s="25"/>
      <c r="I1885" s="25"/>
      <c r="J1885" s="25"/>
      <c r="K1885" s="25"/>
      <c r="L1885" s="25"/>
      <c r="M1885" s="25"/>
    </row>
    <row r="1886" spans="1:13">
      <c r="A1886" s="9"/>
      <c r="B1886" s="9"/>
      <c r="C1886" s="9"/>
      <c r="D1886" s="30"/>
      <c r="E1886" s="9"/>
      <c r="F1886" s="9"/>
      <c r="G1886" s="9"/>
      <c r="H1886" s="9"/>
      <c r="I1886" s="9"/>
      <c r="J1886" s="21" t="s">
        <v>1546</v>
      </c>
      <c r="K1886" s="26">
        <v>1</v>
      </c>
      <c r="L1886" s="24">
        <f>M1851+M1877</f>
        <v>0</v>
      </c>
      <c r="M1886" s="24">
        <f>ROUND(K1886*L1886,2)</f>
        <v>0</v>
      </c>
    </row>
    <row r="1887" spans="1:13" ht="0.95" customHeight="1">
      <c r="A1887" s="25"/>
      <c r="B1887" s="25"/>
      <c r="C1887" s="25"/>
      <c r="D1887" s="31"/>
      <c r="E1887" s="25"/>
      <c r="F1887" s="25"/>
      <c r="G1887" s="25"/>
      <c r="H1887" s="25"/>
      <c r="I1887" s="25"/>
      <c r="J1887" s="25"/>
      <c r="K1887" s="25"/>
      <c r="L1887" s="25"/>
      <c r="M1887" s="25"/>
    </row>
    <row r="1888" spans="1:13">
      <c r="A1888" s="5" t="s">
        <v>1547</v>
      </c>
      <c r="B1888" s="5" t="s">
        <v>16</v>
      </c>
      <c r="C1888" s="5" t="s">
        <v>17</v>
      </c>
      <c r="D1888" s="28" t="s">
        <v>1548</v>
      </c>
      <c r="E1888" s="6"/>
      <c r="F1888" s="6"/>
      <c r="G1888" s="6"/>
      <c r="H1888" s="6"/>
      <c r="I1888" s="6"/>
      <c r="J1888" s="6"/>
      <c r="K1888" s="7">
        <f>K1893</f>
        <v>1</v>
      </c>
      <c r="L1888" s="8">
        <f>L1893</f>
        <v>0</v>
      </c>
      <c r="M1888" s="8">
        <f>M1893</f>
        <v>0</v>
      </c>
    </row>
    <row r="1889" spans="1:13">
      <c r="A1889" s="15" t="s">
        <v>1549</v>
      </c>
      <c r="B1889" s="10" t="s">
        <v>23</v>
      </c>
      <c r="C1889" s="10" t="s">
        <v>636</v>
      </c>
      <c r="D1889" s="18" t="s">
        <v>1548</v>
      </c>
      <c r="E1889" s="9"/>
      <c r="F1889" s="9"/>
      <c r="G1889" s="9"/>
      <c r="H1889" s="9"/>
      <c r="I1889" s="9"/>
      <c r="J1889" s="9"/>
      <c r="K1889" s="20">
        <v>1</v>
      </c>
      <c r="L1889" s="23">
        <v>0</v>
      </c>
      <c r="M1889" s="17">
        <f>ROUND(K1889*L1889,2)</f>
        <v>0</v>
      </c>
    </row>
    <row r="1890" spans="1:13" ht="67.5">
      <c r="A1890" s="9"/>
      <c r="B1890" s="9"/>
      <c r="C1890" s="9"/>
      <c r="D1890" s="18" t="s">
        <v>1550</v>
      </c>
      <c r="E1890" s="9"/>
      <c r="F1890" s="9"/>
      <c r="G1890" s="9"/>
      <c r="H1890" s="9"/>
      <c r="I1890" s="9"/>
      <c r="J1890" s="9"/>
      <c r="K1890" s="9"/>
      <c r="L1890" s="9"/>
      <c r="M1890" s="9"/>
    </row>
    <row r="1891" spans="1:13">
      <c r="A1891" s="15" t="s">
        <v>1551</v>
      </c>
      <c r="B1891" s="10" t="s">
        <v>23</v>
      </c>
      <c r="C1891" s="10" t="s">
        <v>636</v>
      </c>
      <c r="D1891" s="18" t="s">
        <v>1552</v>
      </c>
      <c r="E1891" s="9"/>
      <c r="F1891" s="9"/>
      <c r="G1891" s="9"/>
      <c r="H1891" s="9"/>
      <c r="I1891" s="9"/>
      <c r="J1891" s="9"/>
      <c r="K1891" s="20">
        <v>1</v>
      </c>
      <c r="L1891" s="23">
        <v>0</v>
      </c>
      <c r="M1891" s="17">
        <f>ROUND(K1891*L1891,2)</f>
        <v>0</v>
      </c>
    </row>
    <row r="1892" spans="1:13" ht="33.75">
      <c r="A1892" s="9"/>
      <c r="B1892" s="9"/>
      <c r="C1892" s="9"/>
      <c r="D1892" s="18" t="s">
        <v>1553</v>
      </c>
      <c r="E1892" s="9"/>
      <c r="F1892" s="9"/>
      <c r="G1892" s="9"/>
      <c r="H1892" s="9"/>
      <c r="I1892" s="9"/>
      <c r="J1892" s="9"/>
      <c r="K1892" s="9"/>
      <c r="L1892" s="9"/>
      <c r="M1892" s="9"/>
    </row>
    <row r="1893" spans="1:13">
      <c r="A1893" s="9"/>
      <c r="B1893" s="9"/>
      <c r="C1893" s="9"/>
      <c r="D1893" s="30"/>
      <c r="E1893" s="9"/>
      <c r="F1893" s="9"/>
      <c r="G1893" s="9"/>
      <c r="H1893" s="9"/>
      <c r="I1893" s="9"/>
      <c r="J1893" s="21" t="s">
        <v>1554</v>
      </c>
      <c r="K1893" s="26">
        <v>1</v>
      </c>
      <c r="L1893" s="24">
        <f>M1889+M1891</f>
        <v>0</v>
      </c>
      <c r="M1893" s="24">
        <f>ROUND(K1893*L1893,2)</f>
        <v>0</v>
      </c>
    </row>
    <row r="1894" spans="1:13" ht="0.95" customHeight="1">
      <c r="A1894" s="25"/>
      <c r="B1894" s="25"/>
      <c r="C1894" s="25"/>
      <c r="D1894" s="31"/>
      <c r="E1894" s="25"/>
      <c r="F1894" s="25"/>
      <c r="G1894" s="25"/>
      <c r="H1894" s="25"/>
      <c r="I1894" s="25"/>
      <c r="J1894" s="25"/>
      <c r="K1894" s="25"/>
      <c r="L1894" s="25"/>
      <c r="M1894" s="25"/>
    </row>
    <row r="1895" spans="1:13">
      <c r="A1895" s="9"/>
      <c r="B1895" s="9"/>
      <c r="C1895" s="9"/>
      <c r="D1895" s="30"/>
      <c r="E1895" s="9"/>
      <c r="F1895" s="9"/>
      <c r="G1895" s="9"/>
      <c r="H1895" s="9"/>
      <c r="I1895" s="9"/>
      <c r="J1895" s="21" t="s">
        <v>1555</v>
      </c>
      <c r="K1895" s="26">
        <v>1</v>
      </c>
      <c r="L1895" s="24">
        <f>M4+M121+M133+M234+M316+M693+M807+M1207+M1418+M1469+M1687+M1738+M1812+M1850+M1888</f>
        <v>0</v>
      </c>
      <c r="M1895" s="24">
        <f>ROUND(K1895*L1895,2)</f>
        <v>0</v>
      </c>
    </row>
    <row r="1896" spans="1:13" ht="0.95" customHeight="1">
      <c r="A1896" s="25"/>
      <c r="B1896" s="25"/>
      <c r="C1896" s="25"/>
      <c r="D1896" s="31"/>
      <c r="E1896" s="25"/>
      <c r="F1896" s="25"/>
      <c r="G1896" s="25"/>
      <c r="H1896" s="25"/>
      <c r="I1896" s="25"/>
      <c r="J1896" s="25"/>
      <c r="K1896" s="25"/>
      <c r="L1896" s="25"/>
      <c r="M1896" s="25"/>
    </row>
  </sheetData>
  <dataValidations count="1">
    <dataValidation type="list" allowBlank="1" showInputMessage="1" showErrorMessage="1" sqref="B4:B1896">
      <formula1>"Capítulo,Partida,Mano de obra,Maquinaria,Material,Otros,Tarea,"</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dimension ref="A1"/>
  <sheetViews>
    <sheetView workbookViewId="0"/>
  </sheetViews>
  <sheetFormatPr baseColWidth="10"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Hoja2</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EeG 2</dc:creator>
  <cp:lastModifiedBy>EeG 2</cp:lastModifiedBy>
  <dcterms:created xsi:type="dcterms:W3CDTF">2025-10-02T14:19:59Z</dcterms:created>
  <dcterms:modified xsi:type="dcterms:W3CDTF">2025-10-02T14:21:23Z</dcterms:modified>
</cp:coreProperties>
</file>