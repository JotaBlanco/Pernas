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Default Extension="rels" ContentType="application/vnd.openxmlformats-package.relationships+xml"/>
  <Default Extension="xml" ContentType="application/xml"/>
  <Override PartName="/xl/workbook.xml" ContentType="application/vnd.ms-excel.sheet.macroEnabled.main+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worksheets/sheet1.xml" ContentType="application/vnd.openxmlformats-officedocument.spreadsheetml.worksheet+xml"/>
  <Default Extension="vml" ContentType="application/vnd.openxmlformats-officedocument.vmlDrawing"/>
  <Override PartName="/xl/comments1.xml" ContentType="application/vnd.openxmlformats-officedocument.spreadsheetml.comments+xml"/>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7"/>
  <workbookPr defaultThemeVersion="124226"/>
  <bookViews>
    <workbookView xWindow="120" yWindow="90" windowWidth="28515" windowHeight="15150"/>
  </bookViews>
  <sheets>
    <sheet name="Hoja1" sheetId="1" r:id="rId1"/>
    <sheet name="Hoja2" sheetId="2" r:id="rId2"/>
    <sheet name="Hoja3" sheetId="3" r:id="rId3"/>
  </sheets>
  <calcPr calcId="125725" fullPrecision="0"/>
</workbook>
</file>

<file path=xl/calcChain.xml><?xml version="1.0" encoding="utf-8"?>
<calcChain xmlns="http://schemas.openxmlformats.org/spreadsheetml/2006/main">
  <c r="K1876" i="1"/>
  <c r="M1879"/>
  <c r="M1877"/>
  <c r="L1881" s="1"/>
  <c r="K1838"/>
  <c r="K1865"/>
  <c r="M1870"/>
  <c r="M1868"/>
  <c r="M1866"/>
  <c r="L1872" s="1"/>
  <c r="K1839"/>
  <c r="L1856"/>
  <c r="J1860"/>
  <c r="J1859"/>
  <c r="K1861" s="1"/>
  <c r="J1858"/>
  <c r="M1854"/>
  <c r="L1849"/>
  <c r="K1852"/>
  <c r="J1851"/>
  <c r="M1847"/>
  <c r="L1840"/>
  <c r="J1844"/>
  <c r="J1843"/>
  <c r="K1845" s="1"/>
  <c r="J1842"/>
  <c r="K1800"/>
  <c r="K1801"/>
  <c r="M1832"/>
  <c r="M1830"/>
  <c r="M1828"/>
  <c r="M1826"/>
  <c r="M1824"/>
  <c r="M1822"/>
  <c r="M1820"/>
  <c r="M1818"/>
  <c r="M1816"/>
  <c r="M1814"/>
  <c r="M1812"/>
  <c r="M1810"/>
  <c r="M1808"/>
  <c r="M1806"/>
  <c r="M1804"/>
  <c r="M1802"/>
  <c r="L1834" s="1"/>
  <c r="K1726"/>
  <c r="K1778"/>
  <c r="L1791"/>
  <c r="J1793"/>
  <c r="K1794" s="1"/>
  <c r="L1786"/>
  <c r="J1788"/>
  <c r="K1789" s="1"/>
  <c r="K1786" s="1"/>
  <c r="L1779"/>
  <c r="J1783"/>
  <c r="J1782"/>
  <c r="J1781"/>
  <c r="K1784" s="1"/>
  <c r="K1766"/>
  <c r="L1768"/>
  <c r="J1773"/>
  <c r="J1772"/>
  <c r="J1771"/>
  <c r="J1770"/>
  <c r="K1774" s="1"/>
  <c r="K1727"/>
  <c r="L1757"/>
  <c r="J1761"/>
  <c r="J1760"/>
  <c r="J1759"/>
  <c r="K1762" s="1"/>
  <c r="M1762" s="1"/>
  <c r="M1757" s="1"/>
  <c r="L1745"/>
  <c r="J1754"/>
  <c r="J1753"/>
  <c r="J1752"/>
  <c r="J1751"/>
  <c r="J1750"/>
  <c r="J1749"/>
  <c r="J1748"/>
  <c r="J1747"/>
  <c r="L1737"/>
  <c r="J1742"/>
  <c r="J1741"/>
  <c r="J1740"/>
  <c r="J1739"/>
  <c r="L1729"/>
  <c r="J1734"/>
  <c r="J1733"/>
  <c r="J1732"/>
  <c r="J1731"/>
  <c r="K1735" s="1"/>
  <c r="K1675"/>
  <c r="K1716"/>
  <c r="L1717"/>
  <c r="J1719"/>
  <c r="K1720" s="1"/>
  <c r="K1694"/>
  <c r="L1709"/>
  <c r="J1711"/>
  <c r="K1712" s="1"/>
  <c r="M1712" s="1"/>
  <c r="M1709" s="1"/>
  <c r="L1701"/>
  <c r="J1706"/>
  <c r="J1705"/>
  <c r="J1704"/>
  <c r="J1703"/>
  <c r="K1707" s="1"/>
  <c r="M1699"/>
  <c r="M1697"/>
  <c r="M1695"/>
  <c r="K1676"/>
  <c r="L1687"/>
  <c r="J1689"/>
  <c r="K1690" s="1"/>
  <c r="K1687" s="1"/>
  <c r="L1682"/>
  <c r="J1684"/>
  <c r="K1685" s="1"/>
  <c r="L1677"/>
  <c r="M1680"/>
  <c r="M1677" s="1"/>
  <c r="J1679"/>
  <c r="K1680" s="1"/>
  <c r="K1677" s="1"/>
  <c r="K1461"/>
  <c r="K1625"/>
  <c r="L1666"/>
  <c r="M1669"/>
  <c r="M1666" s="1"/>
  <c r="J1668"/>
  <c r="K1669" s="1"/>
  <c r="K1666" s="1"/>
  <c r="L1658"/>
  <c r="J1663"/>
  <c r="J1662"/>
  <c r="J1661"/>
  <c r="J1660"/>
  <c r="K1664" s="1"/>
  <c r="L1648"/>
  <c r="J1655"/>
  <c r="J1654"/>
  <c r="J1653"/>
  <c r="J1652"/>
  <c r="K1656" s="1"/>
  <c r="J1651"/>
  <c r="J1650"/>
  <c r="L1641"/>
  <c r="J1645"/>
  <c r="J1644"/>
  <c r="J1643"/>
  <c r="K1646" s="1"/>
  <c r="L1631"/>
  <c r="J1638"/>
  <c r="J1637"/>
  <c r="J1636"/>
  <c r="J1635"/>
  <c r="J1634"/>
  <c r="J1633"/>
  <c r="K1639" s="1"/>
  <c r="L1626"/>
  <c r="K1626"/>
  <c r="K1629"/>
  <c r="M1629" s="1"/>
  <c r="M1626" s="1"/>
  <c r="J1628"/>
  <c r="K1593"/>
  <c r="L1616"/>
  <c r="J1620"/>
  <c r="J1619"/>
  <c r="J1618"/>
  <c r="K1621" s="1"/>
  <c r="K1616" s="1"/>
  <c r="L1595"/>
  <c r="J1613"/>
  <c r="J1612"/>
  <c r="J1611"/>
  <c r="J1610"/>
  <c r="J1609"/>
  <c r="J1608"/>
  <c r="J1607"/>
  <c r="J1606"/>
  <c r="J1605"/>
  <c r="J1604"/>
  <c r="J1603"/>
  <c r="J1602"/>
  <c r="J1601"/>
  <c r="J1600"/>
  <c r="J1599"/>
  <c r="J1598"/>
  <c r="J1597"/>
  <c r="K1563"/>
  <c r="L1586"/>
  <c r="K1589"/>
  <c r="L1580"/>
  <c r="M1584"/>
  <c r="M1580" s="1"/>
  <c r="J1583"/>
  <c r="J1582"/>
  <c r="K1584" s="1"/>
  <c r="K1580" s="1"/>
  <c r="L1571"/>
  <c r="J1577"/>
  <c r="J1576"/>
  <c r="J1575"/>
  <c r="J1574"/>
  <c r="K1578" s="1"/>
  <c r="J1573"/>
  <c r="L1564"/>
  <c r="K1564"/>
  <c r="J1568"/>
  <c r="J1567"/>
  <c r="K1569" s="1"/>
  <c r="M1569" s="1"/>
  <c r="M1564" s="1"/>
  <c r="J1566"/>
  <c r="K1546"/>
  <c r="L1548"/>
  <c r="J1558"/>
  <c r="J1557"/>
  <c r="J1556"/>
  <c r="J1555"/>
  <c r="J1554"/>
  <c r="J1553"/>
  <c r="J1552"/>
  <c r="J1551"/>
  <c r="J1550"/>
  <c r="K1559" s="1"/>
  <c r="K1489"/>
  <c r="L1525"/>
  <c r="J1541"/>
  <c r="J1540"/>
  <c r="J1539"/>
  <c r="J1538"/>
  <c r="J1537"/>
  <c r="J1536"/>
  <c r="J1535"/>
  <c r="J1534"/>
  <c r="J1533"/>
  <c r="J1532"/>
  <c r="J1531"/>
  <c r="J1530"/>
  <c r="J1529"/>
  <c r="J1528"/>
  <c r="J1527"/>
  <c r="L1504"/>
  <c r="J1522"/>
  <c r="J1521"/>
  <c r="J1520"/>
  <c r="J1519"/>
  <c r="J1518"/>
  <c r="J1517"/>
  <c r="J1516"/>
  <c r="J1515"/>
  <c r="J1514"/>
  <c r="J1513"/>
  <c r="J1512"/>
  <c r="J1511"/>
  <c r="J1510"/>
  <c r="J1509"/>
  <c r="J1508"/>
  <c r="J1507"/>
  <c r="J1506"/>
  <c r="K1523" s="1"/>
  <c r="M1523" s="1"/>
  <c r="M1504" s="1"/>
  <c r="L1490"/>
  <c r="J1501"/>
  <c r="J1500"/>
  <c r="J1499"/>
  <c r="J1498"/>
  <c r="J1497"/>
  <c r="J1496"/>
  <c r="J1495"/>
  <c r="J1494"/>
  <c r="K1502" s="1"/>
  <c r="J1493"/>
  <c r="J1492"/>
  <c r="K1476"/>
  <c r="L1482"/>
  <c r="K1485"/>
  <c r="J1484"/>
  <c r="L1477"/>
  <c r="J1479"/>
  <c r="K1480" s="1"/>
  <c r="M1480" s="1"/>
  <c r="M1477" s="1"/>
  <c r="K1462"/>
  <c r="L1463"/>
  <c r="J1471"/>
  <c r="J1470"/>
  <c r="J1469"/>
  <c r="J1468"/>
  <c r="J1467"/>
  <c r="J1466"/>
  <c r="J1465"/>
  <c r="K1472" s="1"/>
  <c r="K1463" s="1"/>
  <c r="K1410"/>
  <c r="K1448"/>
  <c r="M1455"/>
  <c r="M1453"/>
  <c r="M1451"/>
  <c r="M1449"/>
  <c r="K1421"/>
  <c r="L1434"/>
  <c r="J1443"/>
  <c r="J1442"/>
  <c r="J1441"/>
  <c r="J1440"/>
  <c r="J1439"/>
  <c r="J1438"/>
  <c r="J1437"/>
  <c r="J1436"/>
  <c r="K1444" s="1"/>
  <c r="L1422"/>
  <c r="J1431"/>
  <c r="J1430"/>
  <c r="J1429"/>
  <c r="J1428"/>
  <c r="J1427"/>
  <c r="J1426"/>
  <c r="J1425"/>
  <c r="J1424"/>
  <c r="K1432" s="1"/>
  <c r="K1422" s="1"/>
  <c r="K1411"/>
  <c r="L1413"/>
  <c r="J1416"/>
  <c r="J1415"/>
  <c r="K1417" s="1"/>
  <c r="K1199"/>
  <c r="K1400"/>
  <c r="L1401"/>
  <c r="K1404"/>
  <c r="J1403"/>
  <c r="K1389"/>
  <c r="L1390"/>
  <c r="J1395"/>
  <c r="J1394"/>
  <c r="J1393"/>
  <c r="J1392"/>
  <c r="K1350"/>
  <c r="L1374"/>
  <c r="M1385"/>
  <c r="M1374" s="1"/>
  <c r="J1384"/>
  <c r="J1383"/>
  <c r="J1382"/>
  <c r="J1381"/>
  <c r="J1380"/>
  <c r="J1379"/>
  <c r="J1378"/>
  <c r="J1377"/>
  <c r="J1376"/>
  <c r="K1385" s="1"/>
  <c r="K1374" s="1"/>
  <c r="L1352"/>
  <c r="J1371"/>
  <c r="J1370"/>
  <c r="J1369"/>
  <c r="J1368"/>
  <c r="J1367"/>
  <c r="J1366"/>
  <c r="J1365"/>
  <c r="J1364"/>
  <c r="J1363"/>
  <c r="J1362"/>
  <c r="J1361"/>
  <c r="J1360"/>
  <c r="J1359"/>
  <c r="J1358"/>
  <c r="J1357"/>
  <c r="J1356"/>
  <c r="J1355"/>
  <c r="J1354"/>
  <c r="K1372" s="1"/>
  <c r="K1310"/>
  <c r="L1343"/>
  <c r="J1345"/>
  <c r="K1346" s="1"/>
  <c r="L1337"/>
  <c r="J1340"/>
  <c r="J1339"/>
  <c r="K1341" s="1"/>
  <c r="K1337" s="1"/>
  <c r="L1329"/>
  <c r="J1334"/>
  <c r="J1333"/>
  <c r="J1332"/>
  <c r="J1331"/>
  <c r="K1335" s="1"/>
  <c r="L1318"/>
  <c r="M1327"/>
  <c r="M1318" s="1"/>
  <c r="J1326"/>
  <c r="J1325"/>
  <c r="J1324"/>
  <c r="J1323"/>
  <c r="J1322"/>
  <c r="J1321"/>
  <c r="J1320"/>
  <c r="K1327" s="1"/>
  <c r="K1318" s="1"/>
  <c r="L1311"/>
  <c r="J1315"/>
  <c r="J1314"/>
  <c r="J1313"/>
  <c r="K1316" s="1"/>
  <c r="K1311" s="1"/>
  <c r="K1200"/>
  <c r="L1303"/>
  <c r="K1303"/>
  <c r="J1305"/>
  <c r="K1306" s="1"/>
  <c r="M1306" s="1"/>
  <c r="M1303" s="1"/>
  <c r="L1298"/>
  <c r="K1301"/>
  <c r="J1300"/>
  <c r="L1292"/>
  <c r="K1292"/>
  <c r="J1295"/>
  <c r="J1294"/>
  <c r="K1296" s="1"/>
  <c r="M1296" s="1"/>
  <c r="M1292" s="1"/>
  <c r="L1287"/>
  <c r="J1289"/>
  <c r="K1290" s="1"/>
  <c r="K1287" s="1"/>
  <c r="L1282"/>
  <c r="J1284"/>
  <c r="K1285" s="1"/>
  <c r="L1277"/>
  <c r="M1280"/>
  <c r="M1277" s="1"/>
  <c r="J1279"/>
  <c r="K1280" s="1"/>
  <c r="K1277" s="1"/>
  <c r="L1251"/>
  <c r="J1274"/>
  <c r="J1273"/>
  <c r="J1272"/>
  <c r="J1271"/>
  <c r="J1270"/>
  <c r="J1269"/>
  <c r="J1268"/>
  <c r="J1267"/>
  <c r="J1266"/>
  <c r="J1265"/>
  <c r="J1264"/>
  <c r="J1263"/>
  <c r="J1262"/>
  <c r="J1261"/>
  <c r="J1260"/>
  <c r="J1259"/>
  <c r="J1258"/>
  <c r="J1257"/>
  <c r="J1256"/>
  <c r="J1255"/>
  <c r="J1254"/>
  <c r="J1253"/>
  <c r="K1275" s="1"/>
  <c r="L1228"/>
  <c r="J1248"/>
  <c r="J1247"/>
  <c r="J1246"/>
  <c r="J1245"/>
  <c r="J1244"/>
  <c r="J1243"/>
  <c r="J1242"/>
  <c r="J1241"/>
  <c r="J1240"/>
  <c r="J1239"/>
  <c r="J1238"/>
  <c r="J1237"/>
  <c r="J1236"/>
  <c r="J1235"/>
  <c r="J1234"/>
  <c r="J1233"/>
  <c r="J1232"/>
  <c r="J1231"/>
  <c r="J1230"/>
  <c r="L1218"/>
  <c r="K1218"/>
  <c r="J1225"/>
  <c r="J1224"/>
  <c r="J1223"/>
  <c r="J1222"/>
  <c r="J1221"/>
  <c r="J1220"/>
  <c r="K1226" s="1"/>
  <c r="M1226" s="1"/>
  <c r="M1218" s="1"/>
  <c r="L1201"/>
  <c r="J1215"/>
  <c r="J1214"/>
  <c r="J1213"/>
  <c r="J1212"/>
  <c r="J1211"/>
  <c r="J1210"/>
  <c r="J1209"/>
  <c r="J1208"/>
  <c r="J1207"/>
  <c r="J1206"/>
  <c r="J1205"/>
  <c r="J1204"/>
  <c r="J1203"/>
  <c r="K799"/>
  <c r="K1177"/>
  <c r="L1190"/>
  <c r="J1192"/>
  <c r="K1193" s="1"/>
  <c r="K1190" s="1"/>
  <c r="L1183"/>
  <c r="J1187"/>
  <c r="J1186"/>
  <c r="J1185"/>
  <c r="L1178"/>
  <c r="J1180"/>
  <c r="K1181" s="1"/>
  <c r="K1109"/>
  <c r="M1173"/>
  <c r="M1171"/>
  <c r="L1166"/>
  <c r="K1169"/>
  <c r="J1168"/>
  <c r="L1161"/>
  <c r="K1161"/>
  <c r="J1163"/>
  <c r="K1164" s="1"/>
  <c r="M1164" s="1"/>
  <c r="M1161" s="1"/>
  <c r="L1156"/>
  <c r="K1159"/>
  <c r="J1158"/>
  <c r="L1151"/>
  <c r="J1153"/>
  <c r="K1154" s="1"/>
  <c r="M1154" s="1"/>
  <c r="M1151" s="1"/>
  <c r="L1146"/>
  <c r="K1149"/>
  <c r="J1148"/>
  <c r="L1141"/>
  <c r="K1141"/>
  <c r="J1143"/>
  <c r="K1144" s="1"/>
  <c r="M1144" s="1"/>
  <c r="M1141" s="1"/>
  <c r="L1136"/>
  <c r="K1139"/>
  <c r="J1138"/>
  <c r="L1131"/>
  <c r="J1133"/>
  <c r="K1134" s="1"/>
  <c r="M1134" s="1"/>
  <c r="M1131" s="1"/>
  <c r="L1126"/>
  <c r="K1129"/>
  <c r="J1128"/>
  <c r="L1118"/>
  <c r="J1123"/>
  <c r="J1122"/>
  <c r="J1121"/>
  <c r="J1120"/>
  <c r="L1110"/>
  <c r="J1115"/>
  <c r="J1114"/>
  <c r="J1113"/>
  <c r="J1112"/>
  <c r="M1103"/>
  <c r="L1103"/>
  <c r="K1103"/>
  <c r="M1107"/>
  <c r="M1105"/>
  <c r="K1084"/>
  <c r="M1099"/>
  <c r="M1097"/>
  <c r="M1095"/>
  <c r="M1093"/>
  <c r="M1091"/>
  <c r="M1089"/>
  <c r="M1087"/>
  <c r="M1085"/>
  <c r="L1101" s="1"/>
  <c r="L1084" s="1"/>
  <c r="K1074"/>
  <c r="M1080"/>
  <c r="L1075"/>
  <c r="K1078"/>
  <c r="J1077"/>
  <c r="K1028"/>
  <c r="L1067"/>
  <c r="J1069"/>
  <c r="K1070" s="1"/>
  <c r="L1062"/>
  <c r="J1064"/>
  <c r="K1065" s="1"/>
  <c r="K1062" s="1"/>
  <c r="L1057"/>
  <c r="J1059"/>
  <c r="K1060" s="1"/>
  <c r="L1051"/>
  <c r="J1054"/>
  <c r="J1053"/>
  <c r="K1055" s="1"/>
  <c r="K1051" s="1"/>
  <c r="L1044"/>
  <c r="K1049"/>
  <c r="J1048"/>
  <c r="J1047"/>
  <c r="J1046"/>
  <c r="L1038"/>
  <c r="K1042"/>
  <c r="J1041"/>
  <c r="J1040"/>
  <c r="M1036"/>
  <c r="L1031"/>
  <c r="K1034"/>
  <c r="J1033"/>
  <c r="M1029"/>
  <c r="K943"/>
  <c r="L1021"/>
  <c r="K1024"/>
  <c r="J1023"/>
  <c r="L1016"/>
  <c r="J1018"/>
  <c r="K1019" s="1"/>
  <c r="M1019" s="1"/>
  <c r="M1016" s="1"/>
  <c r="L1011"/>
  <c r="K1014"/>
  <c r="J1013"/>
  <c r="L1006"/>
  <c r="K1006"/>
  <c r="J1008"/>
  <c r="K1009" s="1"/>
  <c r="M1009" s="1"/>
  <c r="M1006" s="1"/>
  <c r="L1001"/>
  <c r="K1004"/>
  <c r="J1003"/>
  <c r="L996"/>
  <c r="J998"/>
  <c r="K999" s="1"/>
  <c r="M999" s="1"/>
  <c r="M996" s="1"/>
  <c r="L991"/>
  <c r="K994"/>
  <c r="J993"/>
  <c r="L986"/>
  <c r="K986"/>
  <c r="J988"/>
  <c r="K989" s="1"/>
  <c r="M989" s="1"/>
  <c r="M986" s="1"/>
  <c r="L981"/>
  <c r="K984"/>
  <c r="J983"/>
  <c r="L975"/>
  <c r="K975"/>
  <c r="J978"/>
  <c r="J977"/>
  <c r="K979" s="1"/>
  <c r="M979" s="1"/>
  <c r="M975" s="1"/>
  <c r="L970"/>
  <c r="M973"/>
  <c r="M970" s="1"/>
  <c r="K973"/>
  <c r="K970" s="1"/>
  <c r="J972"/>
  <c r="L964"/>
  <c r="J967"/>
  <c r="J966"/>
  <c r="K968" s="1"/>
  <c r="L959"/>
  <c r="K959"/>
  <c r="J961"/>
  <c r="K962" s="1"/>
  <c r="M962" s="1"/>
  <c r="M959" s="1"/>
  <c r="L954"/>
  <c r="K957"/>
  <c r="J956"/>
  <c r="L948"/>
  <c r="J951"/>
  <c r="J950"/>
  <c r="K952" s="1"/>
  <c r="M952" s="1"/>
  <c r="M948" s="1"/>
  <c r="M946"/>
  <c r="M944"/>
  <c r="K845"/>
  <c r="M939"/>
  <c r="L934"/>
  <c r="M937"/>
  <c r="M934" s="1"/>
  <c r="K937"/>
  <c r="K934" s="1"/>
  <c r="J936"/>
  <c r="L929"/>
  <c r="J931"/>
  <c r="K932" s="1"/>
  <c r="L924"/>
  <c r="M927"/>
  <c r="M924" s="1"/>
  <c r="K927"/>
  <c r="K924" s="1"/>
  <c r="J926"/>
  <c r="L918"/>
  <c r="J921"/>
  <c r="J920"/>
  <c r="L912"/>
  <c r="K912"/>
  <c r="J915"/>
  <c r="J914"/>
  <c r="K916" s="1"/>
  <c r="M916" s="1"/>
  <c r="M912" s="1"/>
  <c r="L904"/>
  <c r="J909"/>
  <c r="J908"/>
  <c r="J907"/>
  <c r="J906"/>
  <c r="M902"/>
  <c r="L897"/>
  <c r="J899"/>
  <c r="K900" s="1"/>
  <c r="L892"/>
  <c r="M895"/>
  <c r="M892" s="1"/>
  <c r="J894"/>
  <c r="K895" s="1"/>
  <c r="K892" s="1"/>
  <c r="M890"/>
  <c r="M888"/>
  <c r="L883"/>
  <c r="J885"/>
  <c r="K886" s="1"/>
  <c r="K883" s="1"/>
  <c r="L878"/>
  <c r="J880"/>
  <c r="K881" s="1"/>
  <c r="L873"/>
  <c r="M876"/>
  <c r="M873" s="1"/>
  <c r="J875"/>
  <c r="K876" s="1"/>
  <c r="K873" s="1"/>
  <c r="L868"/>
  <c r="J870"/>
  <c r="K871" s="1"/>
  <c r="M866"/>
  <c r="M864"/>
  <c r="L859"/>
  <c r="J861"/>
  <c r="K862" s="1"/>
  <c r="M857"/>
  <c r="L851"/>
  <c r="J854"/>
  <c r="J853"/>
  <c r="K855" s="1"/>
  <c r="M855" s="1"/>
  <c r="M851" s="1"/>
  <c r="L846"/>
  <c r="M849"/>
  <c r="M846" s="1"/>
  <c r="J848"/>
  <c r="K849" s="1"/>
  <c r="K846" s="1"/>
  <c r="K811"/>
  <c r="M841"/>
  <c r="M839"/>
  <c r="L833"/>
  <c r="K833"/>
  <c r="J836"/>
  <c r="J835"/>
  <c r="K837" s="1"/>
  <c r="M837" s="1"/>
  <c r="M833" s="1"/>
  <c r="M831"/>
  <c r="M829"/>
  <c r="L824"/>
  <c r="J826"/>
  <c r="K827" s="1"/>
  <c r="M822"/>
  <c r="M820"/>
  <c r="M818"/>
  <c r="M816"/>
  <c r="M814"/>
  <c r="M812"/>
  <c r="K800"/>
  <c r="M807"/>
  <c r="M805"/>
  <c r="M803"/>
  <c r="M801"/>
  <c r="K683"/>
  <c r="K765"/>
  <c r="L766"/>
  <c r="J792"/>
  <c r="J791"/>
  <c r="J790"/>
  <c r="J789"/>
  <c r="J788"/>
  <c r="J787"/>
  <c r="J786"/>
  <c r="J785"/>
  <c r="J784"/>
  <c r="J783"/>
  <c r="J782"/>
  <c r="J781"/>
  <c r="J780"/>
  <c r="J779"/>
  <c r="J778"/>
  <c r="J777"/>
  <c r="J776"/>
  <c r="J775"/>
  <c r="J774"/>
  <c r="J773"/>
  <c r="J772"/>
  <c r="J771"/>
  <c r="J770"/>
  <c r="J769"/>
  <c r="J768"/>
  <c r="K757"/>
  <c r="L758"/>
  <c r="M761"/>
  <c r="M758" s="1"/>
  <c r="L763" s="1"/>
  <c r="J760"/>
  <c r="K761" s="1"/>
  <c r="K758" s="1"/>
  <c r="K742"/>
  <c r="L750"/>
  <c r="K753"/>
  <c r="J752"/>
  <c r="M748"/>
  <c r="L743"/>
  <c r="J745"/>
  <c r="K746" s="1"/>
  <c r="K737"/>
  <c r="M740"/>
  <c r="M737" s="1"/>
  <c r="M738"/>
  <c r="L740" s="1"/>
  <c r="L737" s="1"/>
  <c r="K718"/>
  <c r="M733"/>
  <c r="M731"/>
  <c r="M729"/>
  <c r="M727"/>
  <c r="M725"/>
  <c r="M723"/>
  <c r="M721"/>
  <c r="M719"/>
  <c r="K684"/>
  <c r="L711"/>
  <c r="M714"/>
  <c r="M711" s="1"/>
  <c r="J713"/>
  <c r="K714" s="1"/>
  <c r="K711" s="1"/>
  <c r="L685"/>
  <c r="J708"/>
  <c r="J707"/>
  <c r="J706"/>
  <c r="J705"/>
  <c r="J704"/>
  <c r="J703"/>
  <c r="J702"/>
  <c r="J701"/>
  <c r="J700"/>
  <c r="J699"/>
  <c r="J698"/>
  <c r="J697"/>
  <c r="J696"/>
  <c r="J695"/>
  <c r="J694"/>
  <c r="J693"/>
  <c r="J692"/>
  <c r="J691"/>
  <c r="J690"/>
  <c r="J689"/>
  <c r="J688"/>
  <c r="J687"/>
  <c r="K709" s="1"/>
  <c r="K316"/>
  <c r="K604"/>
  <c r="L665"/>
  <c r="J676"/>
  <c r="J675"/>
  <c r="J674"/>
  <c r="J673"/>
  <c r="J672"/>
  <c r="J671"/>
  <c r="J670"/>
  <c r="J669"/>
  <c r="K677" s="1"/>
  <c r="J668"/>
  <c r="J667"/>
  <c r="L659"/>
  <c r="J662"/>
  <c r="J661"/>
  <c r="L653"/>
  <c r="J656"/>
  <c r="J655"/>
  <c r="K657" s="1"/>
  <c r="M657" s="1"/>
  <c r="M653" s="1"/>
  <c r="L647"/>
  <c r="J650"/>
  <c r="J649"/>
  <c r="K651" s="1"/>
  <c r="K647" s="1"/>
  <c r="L641"/>
  <c r="K645"/>
  <c r="J644"/>
  <c r="J643"/>
  <c r="L635"/>
  <c r="J638"/>
  <c r="J637"/>
  <c r="L629"/>
  <c r="J632"/>
  <c r="J631"/>
  <c r="K633" s="1"/>
  <c r="M633" s="1"/>
  <c r="M629" s="1"/>
  <c r="L619"/>
  <c r="J626"/>
  <c r="J625"/>
  <c r="J624"/>
  <c r="J623"/>
  <c r="J622"/>
  <c r="J621"/>
  <c r="L612"/>
  <c r="K617"/>
  <c r="J616"/>
  <c r="J615"/>
  <c r="J614"/>
  <c r="L605"/>
  <c r="K610"/>
  <c r="J609"/>
  <c r="J608"/>
  <c r="J607"/>
  <c r="K562"/>
  <c r="L597"/>
  <c r="M600"/>
  <c r="M597" s="1"/>
  <c r="J599"/>
  <c r="K600" s="1"/>
  <c r="K597" s="1"/>
  <c r="L592"/>
  <c r="J594"/>
  <c r="K595" s="1"/>
  <c r="L585"/>
  <c r="J589"/>
  <c r="J588"/>
  <c r="J587"/>
  <c r="K590" s="1"/>
  <c r="K585" s="1"/>
  <c r="L580"/>
  <c r="M583"/>
  <c r="M580" s="1"/>
  <c r="J582"/>
  <c r="K583" s="1"/>
  <c r="K580" s="1"/>
  <c r="L574"/>
  <c r="J577"/>
  <c r="K578" s="1"/>
  <c r="J576"/>
  <c r="L569"/>
  <c r="K569"/>
  <c r="J571"/>
  <c r="K572" s="1"/>
  <c r="M572" s="1"/>
  <c r="M569" s="1"/>
  <c r="L564"/>
  <c r="K567"/>
  <c r="J566"/>
  <c r="K548"/>
  <c r="M558"/>
  <c r="M556"/>
  <c r="M554"/>
  <c r="M552"/>
  <c r="M550"/>
  <c r="K543"/>
  <c r="L546"/>
  <c r="M544"/>
  <c r="K534"/>
  <c r="L535"/>
  <c r="J538"/>
  <c r="J537"/>
  <c r="K491"/>
  <c r="L527"/>
  <c r="J529"/>
  <c r="K530" s="1"/>
  <c r="L522"/>
  <c r="M525"/>
  <c r="M522" s="1"/>
  <c r="J524"/>
  <c r="K525" s="1"/>
  <c r="K522" s="1"/>
  <c r="L517"/>
  <c r="J519"/>
  <c r="K520" s="1"/>
  <c r="L512"/>
  <c r="J514"/>
  <c r="K515" s="1"/>
  <c r="K512" s="1"/>
  <c r="L507"/>
  <c r="J509"/>
  <c r="K510" s="1"/>
  <c r="L502"/>
  <c r="M505"/>
  <c r="M502" s="1"/>
  <c r="J504"/>
  <c r="K505" s="1"/>
  <c r="K502" s="1"/>
  <c r="L497"/>
  <c r="J499"/>
  <c r="K500" s="1"/>
  <c r="L492"/>
  <c r="J494"/>
  <c r="K495" s="1"/>
  <c r="K492" s="1"/>
  <c r="K483"/>
  <c r="L484"/>
  <c r="K487"/>
  <c r="J486"/>
  <c r="K317"/>
  <c r="L476"/>
  <c r="J478"/>
  <c r="K479" s="1"/>
  <c r="L471"/>
  <c r="J473"/>
  <c r="K474" s="1"/>
  <c r="K471" s="1"/>
  <c r="L466"/>
  <c r="J468"/>
  <c r="K469" s="1"/>
  <c r="L461"/>
  <c r="M464"/>
  <c r="M461" s="1"/>
  <c r="J463"/>
  <c r="K464" s="1"/>
  <c r="K461" s="1"/>
  <c r="L456"/>
  <c r="J458"/>
  <c r="K459" s="1"/>
  <c r="L451"/>
  <c r="J453"/>
  <c r="K454" s="1"/>
  <c r="K451" s="1"/>
  <c r="L446"/>
  <c r="J448"/>
  <c r="K449" s="1"/>
  <c r="L441"/>
  <c r="M444"/>
  <c r="M441" s="1"/>
  <c r="J443"/>
  <c r="K444" s="1"/>
  <c r="K441" s="1"/>
  <c r="L436"/>
  <c r="J438"/>
  <c r="K439" s="1"/>
  <c r="L431"/>
  <c r="J433"/>
  <c r="K434" s="1"/>
  <c r="K431" s="1"/>
  <c r="L426"/>
  <c r="J428"/>
  <c r="K429" s="1"/>
  <c r="L421"/>
  <c r="M424"/>
  <c r="M421" s="1"/>
  <c r="J423"/>
  <c r="K424" s="1"/>
  <c r="K421" s="1"/>
  <c r="L416"/>
  <c r="J418"/>
  <c r="K419" s="1"/>
  <c r="L411"/>
  <c r="J413"/>
  <c r="K414" s="1"/>
  <c r="K411" s="1"/>
  <c r="L406"/>
  <c r="J408"/>
  <c r="K409" s="1"/>
  <c r="L401"/>
  <c r="M404"/>
  <c r="M401" s="1"/>
  <c r="J403"/>
  <c r="K404" s="1"/>
  <c r="K401" s="1"/>
  <c r="L396"/>
  <c r="J398"/>
  <c r="K399" s="1"/>
  <c r="L391"/>
  <c r="J393"/>
  <c r="K394" s="1"/>
  <c r="K391" s="1"/>
  <c r="L386"/>
  <c r="J388"/>
  <c r="K389" s="1"/>
  <c r="L381"/>
  <c r="M384"/>
  <c r="M381" s="1"/>
  <c r="J383"/>
  <c r="K384" s="1"/>
  <c r="K381" s="1"/>
  <c r="L375"/>
  <c r="J378"/>
  <c r="J377"/>
  <c r="K379" s="1"/>
  <c r="L370"/>
  <c r="K370"/>
  <c r="K373"/>
  <c r="M373" s="1"/>
  <c r="M370" s="1"/>
  <c r="J372"/>
  <c r="L365"/>
  <c r="K368"/>
  <c r="J367"/>
  <c r="L360"/>
  <c r="K360"/>
  <c r="J362"/>
  <c r="K363" s="1"/>
  <c r="M363" s="1"/>
  <c r="M360" s="1"/>
  <c r="L355"/>
  <c r="K358"/>
  <c r="J357"/>
  <c r="L350"/>
  <c r="J352"/>
  <c r="K353" s="1"/>
  <c r="M353" s="1"/>
  <c r="M350" s="1"/>
  <c r="L345"/>
  <c r="K348"/>
  <c r="J347"/>
  <c r="L340"/>
  <c r="K340"/>
  <c r="J342"/>
  <c r="K343" s="1"/>
  <c r="M343" s="1"/>
  <c r="M340" s="1"/>
  <c r="L335"/>
  <c r="K338"/>
  <c r="J337"/>
  <c r="L330"/>
  <c r="J332"/>
  <c r="K333" s="1"/>
  <c r="M333" s="1"/>
  <c r="M330" s="1"/>
  <c r="L324"/>
  <c r="K328"/>
  <c r="J327"/>
  <c r="J326"/>
  <c r="L318"/>
  <c r="J321"/>
  <c r="J320"/>
  <c r="K234"/>
  <c r="K286"/>
  <c r="L307"/>
  <c r="J309"/>
  <c r="K310" s="1"/>
  <c r="L299"/>
  <c r="J304"/>
  <c r="J303"/>
  <c r="J302"/>
  <c r="J301"/>
  <c r="K305" s="1"/>
  <c r="L292"/>
  <c r="J296"/>
  <c r="J295"/>
  <c r="K297" s="1"/>
  <c r="J294"/>
  <c r="L287"/>
  <c r="K287"/>
  <c r="K290"/>
  <c r="M290" s="1"/>
  <c r="M287" s="1"/>
  <c r="J289"/>
  <c r="K261"/>
  <c r="L276"/>
  <c r="J281"/>
  <c r="J280"/>
  <c r="J279"/>
  <c r="J278"/>
  <c r="K282" s="1"/>
  <c r="L262"/>
  <c r="J273"/>
  <c r="J272"/>
  <c r="J271"/>
  <c r="J270"/>
  <c r="J269"/>
  <c r="J268"/>
  <c r="J267"/>
  <c r="J266"/>
  <c r="J265"/>
  <c r="J264"/>
  <c r="K274" s="1"/>
  <c r="K235"/>
  <c r="L254"/>
  <c r="K254"/>
  <c r="K257"/>
  <c r="M257" s="1"/>
  <c r="M254" s="1"/>
  <c r="J256"/>
  <c r="L249"/>
  <c r="K252"/>
  <c r="K249" s="1"/>
  <c r="J251"/>
  <c r="L244"/>
  <c r="K244"/>
  <c r="K247"/>
  <c r="M247" s="1"/>
  <c r="M244" s="1"/>
  <c r="J246"/>
  <c r="L236"/>
  <c r="J241"/>
  <c r="J240"/>
  <c r="J239"/>
  <c r="J238"/>
  <c r="K242" s="1"/>
  <c r="K133"/>
  <c r="K207"/>
  <c r="L224"/>
  <c r="J227"/>
  <c r="K228" s="1"/>
  <c r="J226"/>
  <c r="M222"/>
  <c r="L208"/>
  <c r="J219"/>
  <c r="J218"/>
  <c r="J217"/>
  <c r="J216"/>
  <c r="J215"/>
  <c r="J214"/>
  <c r="J213"/>
  <c r="J212"/>
  <c r="J211"/>
  <c r="J210"/>
  <c r="K220" s="1"/>
  <c r="K181"/>
  <c r="L200"/>
  <c r="J202"/>
  <c r="K203" s="1"/>
  <c r="L193"/>
  <c r="J197"/>
  <c r="J196"/>
  <c r="J195"/>
  <c r="K198" s="1"/>
  <c r="L187"/>
  <c r="J190"/>
  <c r="J189"/>
  <c r="K191" s="1"/>
  <c r="L182"/>
  <c r="K185"/>
  <c r="K182" s="1"/>
  <c r="J184"/>
  <c r="K134"/>
  <c r="L173"/>
  <c r="J176"/>
  <c r="K177" s="1"/>
  <c r="J175"/>
  <c r="L168"/>
  <c r="K168"/>
  <c r="K171"/>
  <c r="M171" s="1"/>
  <c r="M168" s="1"/>
  <c r="J170"/>
  <c r="L163"/>
  <c r="K166"/>
  <c r="K163" s="1"/>
  <c r="J165"/>
  <c r="L157"/>
  <c r="J160"/>
  <c r="J159"/>
  <c r="K161" s="1"/>
  <c r="L152"/>
  <c r="J154"/>
  <c r="K155" s="1"/>
  <c r="L145"/>
  <c r="J149"/>
  <c r="J148"/>
  <c r="J147"/>
  <c r="K150" s="1"/>
  <c r="L135"/>
  <c r="J142"/>
  <c r="J141"/>
  <c r="J140"/>
  <c r="J139"/>
  <c r="J138"/>
  <c r="J137"/>
  <c r="K143" s="1"/>
  <c r="K121"/>
  <c r="K122"/>
  <c r="L123"/>
  <c r="K127"/>
  <c r="K123" s="1"/>
  <c r="J126"/>
  <c r="J125"/>
  <c r="K4"/>
  <c r="K111"/>
  <c r="L112"/>
  <c r="J114"/>
  <c r="K115" s="1"/>
  <c r="K75"/>
  <c r="L101"/>
  <c r="J106"/>
  <c r="J105"/>
  <c r="J104"/>
  <c r="J103"/>
  <c r="K107" s="1"/>
  <c r="L91"/>
  <c r="J98"/>
  <c r="J97"/>
  <c r="J96"/>
  <c r="J95"/>
  <c r="J94"/>
  <c r="J93"/>
  <c r="K99" s="1"/>
  <c r="L81"/>
  <c r="J88"/>
  <c r="J87"/>
  <c r="J86"/>
  <c r="J85"/>
  <c r="K89" s="1"/>
  <c r="J84"/>
  <c r="J83"/>
  <c r="L76"/>
  <c r="J78"/>
  <c r="K79" s="1"/>
  <c r="K42"/>
  <c r="M71"/>
  <c r="M69"/>
  <c r="M67"/>
  <c r="M65"/>
  <c r="M63"/>
  <c r="M61"/>
  <c r="M59"/>
  <c r="M57"/>
  <c r="M55"/>
  <c r="L43"/>
  <c r="J52"/>
  <c r="J51"/>
  <c r="J50"/>
  <c r="J49"/>
  <c r="J48"/>
  <c r="J47"/>
  <c r="J46"/>
  <c r="J45"/>
  <c r="K53" s="1"/>
  <c r="K6"/>
  <c r="L35"/>
  <c r="J37"/>
  <c r="K38" s="1"/>
  <c r="L30"/>
  <c r="J32"/>
  <c r="K33" s="1"/>
  <c r="L23"/>
  <c r="J27"/>
  <c r="J26"/>
  <c r="J25"/>
  <c r="K28" s="1"/>
  <c r="L17"/>
  <c r="J20"/>
  <c r="J19"/>
  <c r="K21" s="1"/>
  <c r="L12"/>
  <c r="K15"/>
  <c r="M15" s="1"/>
  <c r="M12" s="1"/>
  <c r="L7"/>
  <c r="K7"/>
  <c r="M10"/>
  <c r="M7" s="1"/>
  <c r="K10"/>
  <c r="K30" l="1"/>
  <c r="M33"/>
  <c r="M30" s="1"/>
  <c r="M89"/>
  <c r="M81" s="1"/>
  <c r="K81"/>
  <c r="M155"/>
  <c r="M152" s="1"/>
  <c r="K152"/>
  <c r="M305"/>
  <c r="M299" s="1"/>
  <c r="L312" s="1"/>
  <c r="K299"/>
  <c r="M38"/>
  <c r="M35" s="1"/>
  <c r="K35"/>
  <c r="M115"/>
  <c r="M112" s="1"/>
  <c r="L117" s="1"/>
  <c r="K112"/>
  <c r="M191"/>
  <c r="M187" s="1"/>
  <c r="K187"/>
  <c r="M274"/>
  <c r="M262" s="1"/>
  <c r="L284" s="1"/>
  <c r="K262"/>
  <c r="M677"/>
  <c r="M665" s="1"/>
  <c r="K665"/>
  <c r="M1444"/>
  <c r="M1434" s="1"/>
  <c r="K1434"/>
  <c r="M1707"/>
  <c r="M1701" s="1"/>
  <c r="K1701"/>
  <c r="M1735"/>
  <c r="M1729" s="1"/>
  <c r="K1729"/>
  <c r="M1774"/>
  <c r="M1768" s="1"/>
  <c r="L1776" s="1"/>
  <c r="K1768"/>
  <c r="M1834"/>
  <c r="M1801" s="1"/>
  <c r="L1836" s="1"/>
  <c r="L1801"/>
  <c r="M21"/>
  <c r="M17" s="1"/>
  <c r="K17"/>
  <c r="M53"/>
  <c r="M43" s="1"/>
  <c r="L73" s="1"/>
  <c r="K43"/>
  <c r="M99"/>
  <c r="M91" s="1"/>
  <c r="K91"/>
  <c r="M161"/>
  <c r="M157" s="1"/>
  <c r="K157"/>
  <c r="M198"/>
  <c r="M193" s="1"/>
  <c r="K193"/>
  <c r="M203"/>
  <c r="M200" s="1"/>
  <c r="K200"/>
  <c r="M228"/>
  <c r="M224" s="1"/>
  <c r="K224"/>
  <c r="K236"/>
  <c r="M242"/>
  <c r="M236" s="1"/>
  <c r="M282"/>
  <c r="M276" s="1"/>
  <c r="K276"/>
  <c r="K76"/>
  <c r="M79"/>
  <c r="M76" s="1"/>
  <c r="K101"/>
  <c r="M107"/>
  <c r="M101" s="1"/>
  <c r="M143"/>
  <c r="M135" s="1"/>
  <c r="L179" s="1"/>
  <c r="K135"/>
  <c r="M177"/>
  <c r="M173" s="1"/>
  <c r="K173"/>
  <c r="M220"/>
  <c r="M208" s="1"/>
  <c r="L230" s="1"/>
  <c r="K208"/>
  <c r="M297"/>
  <c r="M292" s="1"/>
  <c r="K292"/>
  <c r="M310"/>
  <c r="M307" s="1"/>
  <c r="K307"/>
  <c r="M763"/>
  <c r="M757" s="1"/>
  <c r="L757"/>
  <c r="M1335"/>
  <c r="M1329" s="1"/>
  <c r="K1329"/>
  <c r="M1578"/>
  <c r="M1571" s="1"/>
  <c r="K1571"/>
  <c r="M1656"/>
  <c r="M1648" s="1"/>
  <c r="K1648"/>
  <c r="L1692"/>
  <c r="M1502"/>
  <c r="M1490" s="1"/>
  <c r="K1490"/>
  <c r="M28"/>
  <c r="M23" s="1"/>
  <c r="L40" s="1"/>
  <c r="K23"/>
  <c r="M150"/>
  <c r="M145" s="1"/>
  <c r="K145"/>
  <c r="M328"/>
  <c r="M324" s="1"/>
  <c r="K324"/>
  <c r="M368"/>
  <c r="M365" s="1"/>
  <c r="K365"/>
  <c r="M419"/>
  <c r="M416" s="1"/>
  <c r="K416"/>
  <c r="M459"/>
  <c r="M456" s="1"/>
  <c r="K456"/>
  <c r="M520"/>
  <c r="M517" s="1"/>
  <c r="K517"/>
  <c r="M595"/>
  <c r="M592" s="1"/>
  <c r="K592"/>
  <c r="M827"/>
  <c r="M824" s="1"/>
  <c r="L843" s="1"/>
  <c r="K824"/>
  <c r="M862"/>
  <c r="M859" s="1"/>
  <c r="K859"/>
  <c r="M871"/>
  <c r="M868" s="1"/>
  <c r="K868"/>
  <c r="M994"/>
  <c r="M991" s="1"/>
  <c r="K991"/>
  <c r="M1034"/>
  <c r="M1031" s="1"/>
  <c r="L1072" s="1"/>
  <c r="K1031"/>
  <c r="M1049"/>
  <c r="M1044" s="1"/>
  <c r="K1044"/>
  <c r="M1070"/>
  <c r="M1067" s="1"/>
  <c r="K1067"/>
  <c r="M1078"/>
  <c r="M1075" s="1"/>
  <c r="L1082" s="1"/>
  <c r="K1075"/>
  <c r="M1129"/>
  <c r="M1126" s="1"/>
  <c r="K1126"/>
  <c r="M1169"/>
  <c r="M1166" s="1"/>
  <c r="K1166"/>
  <c r="M1646"/>
  <c r="M1641" s="1"/>
  <c r="K1641"/>
  <c r="M1720"/>
  <c r="M1717" s="1"/>
  <c r="L1722" s="1"/>
  <c r="K1717"/>
  <c r="K12"/>
  <c r="M127"/>
  <c r="M123" s="1"/>
  <c r="L129" s="1"/>
  <c r="M166"/>
  <c r="M163" s="1"/>
  <c r="M185"/>
  <c r="M182" s="1"/>
  <c r="M252"/>
  <c r="M249" s="1"/>
  <c r="K330"/>
  <c r="M394"/>
  <c r="M391" s="1"/>
  <c r="M434"/>
  <c r="M431" s="1"/>
  <c r="M474"/>
  <c r="M471" s="1"/>
  <c r="M495"/>
  <c r="M492" s="1"/>
  <c r="K539"/>
  <c r="L560"/>
  <c r="K627"/>
  <c r="K639"/>
  <c r="K663"/>
  <c r="L735"/>
  <c r="K793"/>
  <c r="L809"/>
  <c r="M886"/>
  <c r="M883" s="1"/>
  <c r="K922"/>
  <c r="L1026"/>
  <c r="K948"/>
  <c r="K996"/>
  <c r="K1116"/>
  <c r="K1131"/>
  <c r="K1249"/>
  <c r="M1316"/>
  <c r="M1311" s="1"/>
  <c r="M1341"/>
  <c r="M1337" s="1"/>
  <c r="M1472"/>
  <c r="M1463" s="1"/>
  <c r="L1474" s="1"/>
  <c r="K1504"/>
  <c r="M1621"/>
  <c r="M1616" s="1"/>
  <c r="M1690"/>
  <c r="M1687" s="1"/>
  <c r="K1709"/>
  <c r="K1743"/>
  <c r="M1789"/>
  <c r="M1786" s="1"/>
  <c r="M338"/>
  <c r="M335" s="1"/>
  <c r="K335"/>
  <c r="M379"/>
  <c r="M375" s="1"/>
  <c r="K375"/>
  <c r="M409"/>
  <c r="M406" s="1"/>
  <c r="K406"/>
  <c r="M449"/>
  <c r="M446" s="1"/>
  <c r="K446"/>
  <c r="M510"/>
  <c r="M507" s="1"/>
  <c r="K507"/>
  <c r="M567"/>
  <c r="M564" s="1"/>
  <c r="K564"/>
  <c r="M610"/>
  <c r="M605" s="1"/>
  <c r="K605"/>
  <c r="M709"/>
  <c r="M685" s="1"/>
  <c r="L716" s="1"/>
  <c r="K685"/>
  <c r="M900"/>
  <c r="M897" s="1"/>
  <c r="K897"/>
  <c r="M932"/>
  <c r="M929" s="1"/>
  <c r="K929"/>
  <c r="M957"/>
  <c r="M954" s="1"/>
  <c r="K954"/>
  <c r="M1004"/>
  <c r="M1001" s="1"/>
  <c r="K1001"/>
  <c r="M1060"/>
  <c r="M1057" s="1"/>
  <c r="K1057"/>
  <c r="M1139"/>
  <c r="M1136" s="1"/>
  <c r="K1136"/>
  <c r="M1181"/>
  <c r="M1178" s="1"/>
  <c r="K1178"/>
  <c r="M1285"/>
  <c r="M1282" s="1"/>
  <c r="K1282"/>
  <c r="M1417"/>
  <c r="M1413" s="1"/>
  <c r="L1419" s="1"/>
  <c r="K1413"/>
  <c r="M1784"/>
  <c r="M1779" s="1"/>
  <c r="L1796" s="1"/>
  <c r="K1779"/>
  <c r="M1861"/>
  <c r="M1856" s="1"/>
  <c r="K1856"/>
  <c r="L1865"/>
  <c r="M1872"/>
  <c r="M1865" s="1"/>
  <c r="M1432"/>
  <c r="M1422" s="1"/>
  <c r="M348"/>
  <c r="M345" s="1"/>
  <c r="K345"/>
  <c r="M399"/>
  <c r="M396" s="1"/>
  <c r="K396"/>
  <c r="M439"/>
  <c r="M436" s="1"/>
  <c r="K436"/>
  <c r="M479"/>
  <c r="M476" s="1"/>
  <c r="K476"/>
  <c r="M487"/>
  <c r="M484" s="1"/>
  <c r="L489" s="1"/>
  <c r="K484"/>
  <c r="M500"/>
  <c r="M497" s="1"/>
  <c r="K497"/>
  <c r="M578"/>
  <c r="M574" s="1"/>
  <c r="K574"/>
  <c r="M1014"/>
  <c r="M1011" s="1"/>
  <c r="K1011"/>
  <c r="M1042"/>
  <c r="M1038" s="1"/>
  <c r="K1038"/>
  <c r="M1149"/>
  <c r="M1146" s="1"/>
  <c r="K1146"/>
  <c r="M1346"/>
  <c r="M1343" s="1"/>
  <c r="K1343"/>
  <c r="M1794"/>
  <c r="M1791" s="1"/>
  <c r="K1791"/>
  <c r="M1852"/>
  <c r="M1849" s="1"/>
  <c r="K1849"/>
  <c r="K322"/>
  <c r="K350"/>
  <c r="M414"/>
  <c r="M411" s="1"/>
  <c r="M454"/>
  <c r="M451" s="1"/>
  <c r="M515"/>
  <c r="M512" s="1"/>
  <c r="M590"/>
  <c r="M585" s="1"/>
  <c r="K629"/>
  <c r="M651"/>
  <c r="M647" s="1"/>
  <c r="K653"/>
  <c r="K910"/>
  <c r="K1016"/>
  <c r="M1065"/>
  <c r="M1062" s="1"/>
  <c r="K1151"/>
  <c r="M1193"/>
  <c r="M1190" s="1"/>
  <c r="M1290"/>
  <c r="M1287" s="1"/>
  <c r="K1396"/>
  <c r="L1457"/>
  <c r="K1477"/>
  <c r="K1542"/>
  <c r="K1614"/>
  <c r="K1757"/>
  <c r="M358"/>
  <c r="M355" s="1"/>
  <c r="K355"/>
  <c r="M389"/>
  <c r="M386" s="1"/>
  <c r="K386"/>
  <c r="M429"/>
  <c r="M426" s="1"/>
  <c r="K426"/>
  <c r="M469"/>
  <c r="M466" s="1"/>
  <c r="K466"/>
  <c r="M530"/>
  <c r="M527" s="1"/>
  <c r="K527"/>
  <c r="M546"/>
  <c r="M543" s="1"/>
  <c r="L543"/>
  <c r="M617"/>
  <c r="M612" s="1"/>
  <c r="K612"/>
  <c r="M645"/>
  <c r="M641" s="1"/>
  <c r="K641"/>
  <c r="M746"/>
  <c r="M743" s="1"/>
  <c r="L755" s="1"/>
  <c r="K743"/>
  <c r="M753"/>
  <c r="M750" s="1"/>
  <c r="K750"/>
  <c r="M881"/>
  <c r="M878" s="1"/>
  <c r="K878"/>
  <c r="M968"/>
  <c r="M964" s="1"/>
  <c r="K964"/>
  <c r="M984"/>
  <c r="M981" s="1"/>
  <c r="K981"/>
  <c r="M1024"/>
  <c r="M1021" s="1"/>
  <c r="K1021"/>
  <c r="M1159"/>
  <c r="M1156" s="1"/>
  <c r="K1156"/>
  <c r="M1275"/>
  <c r="M1251" s="1"/>
  <c r="K1251"/>
  <c r="M1301"/>
  <c r="M1298" s="1"/>
  <c r="K1298"/>
  <c r="M1372"/>
  <c r="M1352" s="1"/>
  <c r="L1387" s="1"/>
  <c r="K1352"/>
  <c r="M1404"/>
  <c r="M1401" s="1"/>
  <c r="L1406" s="1"/>
  <c r="K1401"/>
  <c r="M1485"/>
  <c r="M1482" s="1"/>
  <c r="K1482"/>
  <c r="M1559"/>
  <c r="M1548" s="1"/>
  <c r="L1561" s="1"/>
  <c r="K1548"/>
  <c r="M1589"/>
  <c r="M1586" s="1"/>
  <c r="K1586"/>
  <c r="M1639"/>
  <c r="M1631" s="1"/>
  <c r="K1631"/>
  <c r="M1664"/>
  <c r="M1658" s="1"/>
  <c r="K1658"/>
  <c r="M1685"/>
  <c r="M1682" s="1"/>
  <c r="K1682"/>
  <c r="M1845"/>
  <c r="M1840" s="1"/>
  <c r="K1840"/>
  <c r="L1876"/>
  <c r="M1881"/>
  <c r="M1876" s="1"/>
  <c r="K851"/>
  <c r="M1055"/>
  <c r="M1051" s="1"/>
  <c r="M1101"/>
  <c r="M1084" s="1"/>
  <c r="K1124"/>
  <c r="K1188"/>
  <c r="K1216"/>
  <c r="L1487"/>
  <c r="L1591"/>
  <c r="L1714"/>
  <c r="K1755"/>
  <c r="M312" l="1"/>
  <c r="M286" s="1"/>
  <c r="L286"/>
  <c r="L1028"/>
  <c r="M1072"/>
  <c r="M1028" s="1"/>
  <c r="M843"/>
  <c r="M811" s="1"/>
  <c r="L811"/>
  <c r="L6"/>
  <c r="M40"/>
  <c r="M6" s="1"/>
  <c r="L1448"/>
  <c r="M1457"/>
  <c r="M1448" s="1"/>
  <c r="M489"/>
  <c r="M483" s="1"/>
  <c r="L483"/>
  <c r="M793"/>
  <c r="M766" s="1"/>
  <c r="L795" s="1"/>
  <c r="K766"/>
  <c r="M1755"/>
  <c r="M1745" s="1"/>
  <c r="K1745"/>
  <c r="L1778"/>
  <c r="M1796"/>
  <c r="M1778" s="1"/>
  <c r="M809"/>
  <c r="M800" s="1"/>
  <c r="L800"/>
  <c r="L261"/>
  <c r="M284"/>
  <c r="M261" s="1"/>
  <c r="M1487"/>
  <c r="M1476" s="1"/>
  <c r="L1476"/>
  <c r="M1591"/>
  <c r="M1563" s="1"/>
  <c r="L1563"/>
  <c r="M1124"/>
  <c r="M1118" s="1"/>
  <c r="K1118"/>
  <c r="M1387"/>
  <c r="M1350" s="1"/>
  <c r="L1350"/>
  <c r="K1595"/>
  <c r="M1614"/>
  <c r="M1595" s="1"/>
  <c r="L1623" s="1"/>
  <c r="M1396"/>
  <c r="M1390" s="1"/>
  <c r="L1398" s="1"/>
  <c r="K1390"/>
  <c r="L1411"/>
  <c r="M1419"/>
  <c r="M1411" s="1"/>
  <c r="M1116"/>
  <c r="M1110" s="1"/>
  <c r="K1110"/>
  <c r="M922"/>
  <c r="M918" s="1"/>
  <c r="K918"/>
  <c r="M735"/>
  <c r="M718" s="1"/>
  <c r="L718"/>
  <c r="L548"/>
  <c r="M560"/>
  <c r="M548" s="1"/>
  <c r="M1776"/>
  <c r="M1766" s="1"/>
  <c r="L1766"/>
  <c r="L1671"/>
  <c r="L602"/>
  <c r="L1863"/>
  <c r="L1446"/>
  <c r="L205"/>
  <c r="M1692"/>
  <c r="M1676" s="1"/>
  <c r="L1676"/>
  <c r="L1694"/>
  <c r="M1714"/>
  <c r="M1694" s="1"/>
  <c r="M1474"/>
  <c r="M1462" s="1"/>
  <c r="L1462"/>
  <c r="K619"/>
  <c r="M627"/>
  <c r="M619" s="1"/>
  <c r="L679" s="1"/>
  <c r="K1201"/>
  <c r="M1216"/>
  <c r="M1201" s="1"/>
  <c r="M1406"/>
  <c r="M1400" s="1"/>
  <c r="L1400"/>
  <c r="M755"/>
  <c r="M742" s="1"/>
  <c r="L742"/>
  <c r="M716"/>
  <c r="M684" s="1"/>
  <c r="L684"/>
  <c r="M1743"/>
  <c r="M1737" s="1"/>
  <c r="K1737"/>
  <c r="M639"/>
  <c r="M635" s="1"/>
  <c r="K635"/>
  <c r="M230"/>
  <c r="M207" s="1"/>
  <c r="L207"/>
  <c r="L42"/>
  <c r="M73"/>
  <c r="M42" s="1"/>
  <c r="M1836"/>
  <c r="M1800" s="1"/>
  <c r="L1800"/>
  <c r="L111"/>
  <c r="M117"/>
  <c r="M111" s="1"/>
  <c r="L1544"/>
  <c r="M1188"/>
  <c r="M1183" s="1"/>
  <c r="L1195" s="1"/>
  <c r="K1183"/>
  <c r="K904"/>
  <c r="M910"/>
  <c r="M904" s="1"/>
  <c r="L941" s="1"/>
  <c r="M1026"/>
  <c r="M943" s="1"/>
  <c r="L943"/>
  <c r="L1546"/>
  <c r="M1561"/>
  <c r="M1546" s="1"/>
  <c r="M1249"/>
  <c r="M1228" s="1"/>
  <c r="K1228"/>
  <c r="M129"/>
  <c r="M122" s="1"/>
  <c r="L131" s="1"/>
  <c r="L122"/>
  <c r="M179"/>
  <c r="M134" s="1"/>
  <c r="L134"/>
  <c r="M1542"/>
  <c r="M1525" s="1"/>
  <c r="K1525"/>
  <c r="M322"/>
  <c r="M318" s="1"/>
  <c r="L481" s="1"/>
  <c r="K318"/>
  <c r="M663"/>
  <c r="M659" s="1"/>
  <c r="K659"/>
  <c r="M539"/>
  <c r="M535" s="1"/>
  <c r="L541" s="1"/>
  <c r="K535"/>
  <c r="L1716"/>
  <c r="M1722"/>
  <c r="M1716" s="1"/>
  <c r="L1074"/>
  <c r="M1082"/>
  <c r="M1074" s="1"/>
  <c r="L532"/>
  <c r="L1764"/>
  <c r="L1348"/>
  <c r="L109"/>
  <c r="L259"/>
  <c r="M679" l="1"/>
  <c r="M604" s="1"/>
  <c r="L604"/>
  <c r="M1195"/>
  <c r="M1177" s="1"/>
  <c r="L1177"/>
  <c r="M941"/>
  <c r="M845" s="1"/>
  <c r="L845"/>
  <c r="L1727"/>
  <c r="M1764"/>
  <c r="M1727" s="1"/>
  <c r="L1798" s="1"/>
  <c r="L317"/>
  <c r="M481"/>
  <c r="M317" s="1"/>
  <c r="L681" s="1"/>
  <c r="M1671"/>
  <c r="M1625" s="1"/>
  <c r="L1625"/>
  <c r="M109"/>
  <c r="M75" s="1"/>
  <c r="L75"/>
  <c r="M602"/>
  <c r="M562" s="1"/>
  <c r="L562"/>
  <c r="M1623"/>
  <c r="M1593" s="1"/>
  <c r="L1593"/>
  <c r="L1724"/>
  <c r="L1308"/>
  <c r="L119"/>
  <c r="L1489"/>
  <c r="M1544"/>
  <c r="M1489" s="1"/>
  <c r="L1673" s="1"/>
  <c r="M1446"/>
  <c r="M1421" s="1"/>
  <c r="L1459" s="1"/>
  <c r="L1421"/>
  <c r="L1310"/>
  <c r="M1348"/>
  <c r="M1310" s="1"/>
  <c r="L534"/>
  <c r="M541"/>
  <c r="M534" s="1"/>
  <c r="L235"/>
  <c r="M259"/>
  <c r="M235" s="1"/>
  <c r="L314" s="1"/>
  <c r="L491"/>
  <c r="M532"/>
  <c r="M491" s="1"/>
  <c r="M131"/>
  <c r="M121" s="1"/>
  <c r="L121"/>
  <c r="M205"/>
  <c r="M181" s="1"/>
  <c r="L232" s="1"/>
  <c r="L181"/>
  <c r="L1839"/>
  <c r="M1863"/>
  <c r="M1839" s="1"/>
  <c r="L1874" s="1"/>
  <c r="L1389"/>
  <c r="M1398"/>
  <c r="M1389" s="1"/>
  <c r="L765"/>
  <c r="M795"/>
  <c r="M765" s="1"/>
  <c r="L797" s="1"/>
  <c r="L1175"/>
  <c r="M797" l="1"/>
  <c r="M683" s="1"/>
  <c r="L683"/>
  <c r="M1673"/>
  <c r="M1461" s="1"/>
  <c r="L1461"/>
  <c r="L133"/>
  <c r="M232"/>
  <c r="M133" s="1"/>
  <c r="L1410"/>
  <c r="M1459"/>
  <c r="M1410" s="1"/>
  <c r="L234"/>
  <c r="M314"/>
  <c r="M234" s="1"/>
  <c r="M119"/>
  <c r="M4" s="1"/>
  <c r="L4"/>
  <c r="L1109"/>
  <c r="M1175"/>
  <c r="M1109" s="1"/>
  <c r="L1197" s="1"/>
  <c r="L1838"/>
  <c r="M1874"/>
  <c r="M1838" s="1"/>
  <c r="L316"/>
  <c r="M681"/>
  <c r="M316" s="1"/>
  <c r="L1675"/>
  <c r="M1724"/>
  <c r="M1675" s="1"/>
  <c r="L1200"/>
  <c r="M1308"/>
  <c r="M1200" s="1"/>
  <c r="L1408" s="1"/>
  <c r="L1726"/>
  <c r="M1798"/>
  <c r="M1726" s="1"/>
  <c r="L1199" l="1"/>
  <c r="M1408"/>
  <c r="M1199" s="1"/>
  <c r="M1197"/>
  <c r="M799" s="1"/>
  <c r="L1883" s="1"/>
  <c r="M1883" s="1"/>
  <c r="L799"/>
</calcChain>
</file>

<file path=xl/comments1.xml><?xml version="1.0" encoding="utf-8"?>
<comments xmlns="http://schemas.openxmlformats.org/spreadsheetml/2006/main">
  <authors>
    <author>EeG 2</author>
  </authors>
  <commentList>
    <comment ref="A3" authorId="0">
      <text>
        <r>
          <rPr>
            <b/>
            <sz val="11"/>
            <color indexed="81"/>
            <rFont val="Tahoma"/>
            <family val="2"/>
          </rPr>
          <t>Código único que identifica el concepto. Ver colores en "Entorno de trabajo: Apariencia"
Es el primer campo que hay que rellenar para crear un concepto.
Al escribir un código:
•	Si no existe en la obra, se crea un concepto nuevo
•	Si ya figura en otro lugar de la obra, se inserta también bajo el concepto superior
•	Si deriva de un concepto paramétrico, se inserta el concepto derivado
Es sensible a la opción "Archivo: Entorno de trabajo: Generales: Aceptar códigos en minúsculas"</t>
        </r>
      </text>
    </comment>
    <comment ref="B3" authorId="0">
      <text>
        <r>
          <rPr>
            <b/>
            <sz val="11"/>
            <color indexed="81"/>
            <rFont val="Tahoma"/>
            <family val="2"/>
          </rPr>
          <t>Naturaleza del concepto o de la entidad (ver menú contextual)</t>
        </r>
      </text>
    </comment>
    <comment ref="C3" authorId="0">
      <text>
        <r>
          <rPr>
            <b/>
            <sz val="11"/>
            <color indexed="81"/>
            <rFont val="Tahoma"/>
            <family val="2"/>
          </rPr>
          <t>Unidad de medida a la que se refiere el precio unitario
Las unidades de tiempo de la maquinaria y la mano de obra afectan a los cálculos de duraciones y recursos
D*, d*: Dias x Horas laborables del día (Obra.CalcDurLab)
S*, s*, W*, w*: Semanas x 5 días
M*, m*: Meses x Días laborables del mes (Obra.CalcDurMes)
A*, a*, Y*, y*: Años x 12</t>
        </r>
      </text>
    </comment>
    <comment ref="D3" authorId="0">
      <text>
        <r>
          <rPr>
            <b/>
            <sz val="11"/>
            <color indexed="81"/>
            <rFont val="Tahoma"/>
            <family val="2"/>
          </rPr>
          <t>Texto breve que facilita la visualización, la búsqueda y la impresión del concepto en lugar del texto
El color corresponde al estado, que se modifica con el menú contextual, actualizándose la fecha del color correspondiente</t>
        </r>
      </text>
    </comment>
    <comment ref="E3" authorId="0">
      <text>
        <r>
          <rPr>
            <b/>
            <sz val="11"/>
            <color indexed="81"/>
            <rFont val="Tahoma"/>
            <family val="2"/>
          </rPr>
          <t>Descripción corta de la línea de medición</t>
        </r>
      </text>
    </comment>
    <comment ref="F3" authorId="0">
      <text>
        <r>
          <rPr>
            <b/>
            <sz val="11"/>
            <color indexed="81"/>
            <rFont val="Tahoma"/>
            <family val="2"/>
          </rPr>
          <t>Columna A: Número de unidades iguales de la línea de medición</t>
        </r>
      </text>
    </comment>
    <comment ref="G3" authorId="0">
      <text>
        <r>
          <rPr>
            <b/>
            <sz val="11"/>
            <color indexed="81"/>
            <rFont val="Tahoma"/>
            <family val="2"/>
          </rPr>
          <t>Columna B: Longitud de la línea de medición</t>
        </r>
      </text>
    </comment>
    <comment ref="H3" authorId="0">
      <text>
        <r>
          <rPr>
            <b/>
            <sz val="11"/>
            <color indexed="81"/>
            <rFont val="Tahoma"/>
            <family val="2"/>
          </rPr>
          <t>Columna C: Anchura de la línea de medición</t>
        </r>
      </text>
    </comment>
    <comment ref="I3" authorId="0">
      <text>
        <r>
          <rPr>
            <b/>
            <sz val="11"/>
            <color indexed="81"/>
            <rFont val="Tahoma"/>
            <family val="2"/>
          </rPr>
          <t>Columna D: Altura de la línea de medición</t>
        </r>
      </text>
    </comment>
    <comment ref="J3" authorId="0">
      <text>
        <r>
          <rPr>
            <b/>
            <sz val="11"/>
            <color indexed="81"/>
            <rFont val="Tahoma"/>
            <family val="2"/>
          </rPr>
          <t>Cantidad
Verde: Referencia a otra partida 
Naranja: Fórmula de medición 
Azul: Expresión 
Magenta: Calculado a partir de las dimensiones 
Negro: Introducido directamente</t>
        </r>
      </text>
    </comment>
    <comment ref="K3" authorId="0">
      <text>
        <r>
          <rPr>
            <b/>
            <sz val="11"/>
            <color indexed="81"/>
            <rFont val="Tahoma"/>
            <family val="2"/>
          </rPr>
          <t>Cantidad o rendimiento del concepto en su superior en el presupuesto
Magenta: Proviene de las líneas de medición 
Negro: Si se introduce por el usuario se retiran del presupuesto las líneas de medición, si existen
Fondo gris: Puede anularse para no tener en cuenta la cantidad del concepto en un superior determinado</t>
        </r>
      </text>
    </comment>
    <comment ref="L3" authorId="0">
      <text>
        <r>
          <rPr>
            <b/>
            <sz val="11"/>
            <color indexed="81"/>
            <rFont val="Tahoma"/>
            <family val="2"/>
          </rPr>
          <t>Precio unitario principal del concepto
Puede ser el precio del presupuesto, de venta o de oferta
Cuando se usan precios de coste y de venta el coste estimado figura en el precio objetivo "Obj"
Magenta: Calculado a partir de los conceptos inferiores, si se modifica pasa a ser bloqueado
Rojo: Bloqueado, puede ser distinto al resultante de sus inferiores
Fondo gris: Anulado, el concepto no interviene en el presupuesto
Precios.Pres
Precio asignado a la entidad que aparece en las ventanas de precios múltiples, como divisas, precios y ofertantes
Negro: Introducido por usuario
Magenta: Calculado
Fondo rosa: Valor de defecto</t>
        </r>
      </text>
    </comment>
    <comment ref="M3" authorId="0">
      <text>
        <r>
          <rPr>
            <b/>
            <sz val="11"/>
            <color indexed="81"/>
            <rFont val="Tahoma"/>
            <family val="2"/>
          </rPr>
          <t>Presupuesto vigente, suma de presupuesto inicial y modificaciones aprobadas
Incluye costes indirectos (PEM) si esta definido el porcentaje
Magenta: El producto de la cantidad por el precio del presupuesto está afectado por la producción, la dificultad, un factor, los costes indirectos o la divisa</t>
        </r>
      </text>
    </comment>
  </commentList>
</comments>
</file>

<file path=xl/sharedStrings.xml><?xml version="1.0" encoding="utf-8"?>
<sst xmlns="http://schemas.openxmlformats.org/spreadsheetml/2006/main" count="3360" uniqueCount="1543">
  <si>
    <t>Vivienda Unifamiliar</t>
  </si>
  <si>
    <t>Presupuesto</t>
  </si>
  <si>
    <t>Código</t>
  </si>
  <si>
    <t>Nat</t>
  </si>
  <si>
    <t>Ud</t>
  </si>
  <si>
    <t>Resumen</t>
  </si>
  <si>
    <t>Comentario</t>
  </si>
  <si>
    <t>N</t>
  </si>
  <si>
    <t>Longitud</t>
  </si>
  <si>
    <t>Anchura</t>
  </si>
  <si>
    <t>Altura</t>
  </si>
  <si>
    <t>Cantidad</t>
  </si>
  <si>
    <t>CanPres</t>
  </si>
  <si>
    <t>Pres</t>
  </si>
  <si>
    <t>ImpPres</t>
  </si>
  <si>
    <t>01</t>
  </si>
  <si>
    <t>Capítulo</t>
  </si>
  <si>
    <t/>
  </si>
  <si>
    <t>Acondicionamiento del terreno</t>
  </si>
  <si>
    <t>El presente presupuesto prevalecerán ante contradicción  las indicaciones y mediciones de los planos-memorias al del presente presupuesto. Para la oferta de obra deberá tenerse en cuenta esta indicación.</t>
  </si>
  <si>
    <t>01.01</t>
  </si>
  <si>
    <t>Movimiento de tierras en edificación</t>
  </si>
  <si>
    <t>01.01.01</t>
  </si>
  <si>
    <t>Partida</t>
  </si>
  <si>
    <t>m³</t>
  </si>
  <si>
    <t>Excavación de  terreno flojo</t>
  </si>
  <si>
    <t>Excavación de hasta profundidad necesaria según planos, que en todo su perímetro quedan por debajo de la rasante natural, en cualquier tipo de terreno, con medios mecánicos, y carga a camión.
Incluye: Replanteo general y fijación de los puntos y niveles de referencia. Colocación de las camillas en las esquinas y extremos de las alineaciones. Excavación en sucesivas franjas horizontales y extracción de tierras. Refinado de fondos y laterales a mano, con extracción de las tierras. Carga a camión de los materiales excavados.</t>
  </si>
  <si>
    <t>Spc0010</t>
  </si>
  <si>
    <t>urbanización posterior de la parcela</t>
  </si>
  <si>
    <t>3.20</t>
  </si>
  <si>
    <t>Total 01.01.01</t>
  </si>
  <si>
    <t>01.01.02</t>
  </si>
  <si>
    <t>Excavación de sótanos roca dura</t>
  </si>
  <si>
    <t>Excavación de sótanos de hasta profundidad necesaria según planos, que en todo su perímetro quedan por debajo de la rasante natural, en suelo de roca dura, con medios mecánicos, y carga a camión. Deberá estudiarse para presupuestar el estudio geotécnico debido a esta condición. Incluyendo todo tipo de sisitemas tanto de morteros expansivos y como de martillo percutor para la correcta ejecución de las obras posteriores.
Incluye: Replanteo general y fijación de los puntos y niveles de referencia. Colocación de las camillas en las esquinas y extremos de las alineaciones. Excavación en sucesivas franjas horizontales y extracción de tierras. Refinado de fondos y laterales a mano, con extracción de las tierras. Carga a camión de los materiales excavados.</t>
  </si>
  <si>
    <t>Excavación en roca</t>
  </si>
  <si>
    <t>3.42</t>
  </si>
  <si>
    <t>Total 01.01.02</t>
  </si>
  <si>
    <t>01.01.03</t>
  </si>
  <si>
    <t>Excavación de zanjas para instalaciones</t>
  </si>
  <si>
    <t>Excavación de zanjas para instalaciones hasta profundidad necesaria según planos, en cualquier tipo de terreno, con medios mecánicos, y carga a camión.
Incluye: Replanteo general y fijación de los puntos y niveles de referencia. Colocación de las camillas en las esquinas y extremos de las alineaciones. Excavación en sucesivas franjas horizontales y extracción de tierras. Refinado de fondos con extracción de las tierras. Carga a camión de los materiales excavados.</t>
  </si>
  <si>
    <t>abastecimiento de aguas y saneamiento hasta conexión a red gener</t>
  </si>
  <si>
    <t>electricidad desde cuadro de contadores</t>
  </si>
  <si>
    <t>Total 01.01.03</t>
  </si>
  <si>
    <t>01.01.04</t>
  </si>
  <si>
    <t>Relleno envolvente y principal de zanjas para instalaciones, con tierra seleccionada procedente de la propia excavación y compac</t>
  </si>
  <si>
    <t>Relleno envolvente y principal de zanjas para instalaciones, con tierra seleccionada procedente de la propia excavación y compactación en tongadas sucesivas de 20 cm de espesor máximo con bandeja vibrante de guiado manual, hasta alcanzar una densidad seca no inferior al 95% de la máxima obtenida en el ensayo Proctor Modificado, realizado según UNE 103501. Incluso cinta o distintivo indicador de la instalación.
Incluye: Extendido del material de relleno en tongadas de espesor uniforme. Humectación o desecación de cada tongada. Colocación de cinta o distintivo indicador de la instalación. Compactación.</t>
  </si>
  <si>
    <t>Total 01.01.04</t>
  </si>
  <si>
    <t>01.01.05</t>
  </si>
  <si>
    <t>Relleno con suelo seleccionado externo</t>
  </si>
  <si>
    <t>Relleno  compactado con suelo seleccionado procedente de préstamo externo a obra, i/carga, trasnporte, descarga en obra, extendido, riego, compactación y refino de taludes, con capa superficial de 20 cm se sustrato vegetal preparado para siembra de hierba y especifico para ello.</t>
  </si>
  <si>
    <t>Total 01.01.05</t>
  </si>
  <si>
    <t>01.01.06</t>
  </si>
  <si>
    <t>Base de pavimento realizada mediante relleno a cielo abierto, con tierra seleccionada procedente de la propia excavación, y comp</t>
  </si>
  <si>
    <t>Base de pavimento realizada mediante relleno a cielo abierto, con tierra seleccionada procedente de la propia excavación, y compactación en tongadas sucesivas de 30 cm de espesor máximo con bandeja vibrante de guiado manual, hasta alcanzar una densidad seca no inferior al 95% de la máxima obtenida en el ensayo Proctor Modificado, realizado según UNE 103501.
Incluye: Transporte y descarga del material de relleno a pie de tajo. Extendido del material de relleno en tongadas de espesor uniforme. Humectación o desecación de cada tongada. Compactación.</t>
  </si>
  <si>
    <t>Total 01.01.06</t>
  </si>
  <si>
    <t>Total 01.01</t>
  </si>
  <si>
    <t>01.02</t>
  </si>
  <si>
    <t>Red de saneamiento horizontal</t>
  </si>
  <si>
    <t>01.02.01</t>
  </si>
  <si>
    <t>Arqueta de paso 50x50x50</t>
  </si>
  <si>
    <t>Arqueta de paso, registrable, enterrada, construida con fábrica de ladrillo cerámico macizo, de 1/2 pie de espesor, recibido con mortero de cemento, industrial, M-5, de dimensiones interiores 50x50x50 cm, sobre solera de hormigón en masa HM-30/B/20/I+Qb de 15 cm de espesor, formación de pendiente mínima del 2%, con el mismo tipo de hormigón, enfoscada y bruñida interiormente con mortero de cemento, industrial, con aditivo hidrófugo, M-15 formando aristas y esquinas a media caña, cerrada superiormente con tapa prefabricada de hormigón armado con cierre hermético al paso de los olores mefíticos. Incluso mortero para sellado de juntas y colector de conexión de PVC, de tres entradas y una salida, con tapa de registro, para encuentros.
Incluye: Replanteo. Vertido y compactación del hormigón en formación de solera. Formación de la obra de fábrica con ladrillos, previamente humedecidos, colocados con mortero. Conexionado de los colectores a la arqueta. Relleno de hormigón para formación de pendientes. Enfoscado y bruñido con mortero, redondeando los ángulos del fondo y de las paredes interiores de la arqueta. Colocación del colector de conexión de PVC en el fondo de la arqueta. Realización del cierre hermético y colocación de la tapa y los accesorios. Comprobación de su correcto funcionamiento. Realización de pruebas de servicio.</t>
  </si>
  <si>
    <t>Total 01.02.01</t>
  </si>
  <si>
    <t>01.02.02</t>
  </si>
  <si>
    <t>Arqueta de paso 50x50x55</t>
  </si>
  <si>
    <t>Arqueta de paso, registrable, enterrada, construida con fábrica de ladrillo cerámico macizo, de 1/2 pie de espesor, recibido con mortero de cemento, industrial, M-5, de dimensiones interiores 50x50x55 cm, sobre solera de hormigón en masa HM-30/B/20/I+Qb de 15 cm de espesor, formación de pendiente mínima del 2%, con el mismo tipo de hormigón, enfoscada y bruñida interiormente con mortero de cemento, industrial, con aditivo hidrófugo, M-15 formando aristas y esquinas a media caña, cerrada superiormente con tapa prefabricada de hormigón armado con cierre hermético al paso de los olores mefíticos. Incluso mortero para sellado de juntas y colector de conexión de PVC, de tres entradas y una salida, con tapa de registro, para encuentros.
Incluye: Replanteo. Vertido y compactación del hormigón en formación de solera. Formación de la obra de fábrica con ladrillos, previamente humedecidos, colocados con mortero. Conexionado de los colectores a la arqueta. Relleno de hormigón para formación de pendientes. Enfoscado y bruñido con mortero, redondeando los ángulos del fondo y de las paredes interiores de la arqueta. Colocación del colector de conexión de PVC en el fondo de la arqueta. Realización del cierre hermético y colocación de la tapa y los accesorios. Comprobación de su correcto funcionamiento. Realización de pruebas de servicio.</t>
  </si>
  <si>
    <t>01.02.03</t>
  </si>
  <si>
    <t>m</t>
  </si>
  <si>
    <t>Acometida general de saneamiento</t>
  </si>
  <si>
    <t>Acometida general de saneamiento, para la evacuación de aguas residuales y/o pluviales a la red general del municipio, con una pendiente mínima del 2%, para la evacuación de aguas residuales y/o pluviales, formada por tubo de PVC liso, serie SN-4, rigidez anular nominal 4 kN/m², de 110 mm de diámetro exterior, pegado mediante adhesivo, colocado sobre lecho de arena de 10 cm de espesor, debidamente compactada y nivelada con pisón vibrante de guiado manual, relleno lateral compactando hasta los riñones y posterior relleno con la misma arena hasta 30 cm por encima de la generatriz superior de la tubería, con sus correspondientes juntas y piezas especiales. Incluso líquido limpiador y adhesivo para tubos y accesorios de PVC y hormigón en masa HM-20/P/20/I para la posterior reposición del firme existente.
Incluye: Replanteo y trazado de la acometida en planta y pendientes. Rotura del pavimento con compresor. Presentación en seco de tubos y piezas especiales. Vertido de la arena en el fondo de la zanja. Descenso y colocación de los colectores en el fondo de la zanja. Montaje, conexionado y comprobación de su correcto funcionamiento. Ejecución del relleno envolvente. Realización de pruebas de servicio.</t>
  </si>
  <si>
    <t>01.02.04</t>
  </si>
  <si>
    <t>Conexión de la acometida del edificio a la red general de saneamiento del municipio</t>
  </si>
  <si>
    <t>Conexión de la acometida del edificio a la red general de saneamiento del municipio a través de pozo de registro. Incluso junta flexible para el empalme de la acometida y mortero de cemento para repaso y bruñido en el interior del pozo.
Incluye: Replanteo y trazado de la conexión en el pozo de registro. Rotura del pozo con compresor. Montaje, conexionado y comprobación de su correcto funcionamiento. Realización de pruebas de servicio.</t>
  </si>
  <si>
    <t>01.02.05</t>
  </si>
  <si>
    <t>Colector enterrado de red horizontal de saneamiento</t>
  </si>
  <si>
    <t>Colector enterrado de red horizontal de saneamiento, sin arquetas, mediante sistema integral registrable, con una pendiente mínima del 2%, para la evacuación de aguas residuales y/o pluviales, formado por tubo de PVC liso, serie SN-4, rigidez anular nominal 4 kN/m², de 110 mm de diámetro exterior, con junta elástica, colocado sobre lecho de arena de 10 cm de espesor, debidamente compactada y nivelada con pisón vibrante de guiado manual, relleno lateral compactando hasta los riñones y posterior relleno con la misma arena hasta 30 cm por encima de la generatriz superior de la tubería. Incluso accesorios, registros, uniones, piezas especiales y lubricante para montaje.
Incluye: Replanteo y trazado del conducto en planta y pendientes. Presentación en seco de tubos y piezas especiales. Vertido de la arena en el fondo de la zanja. Descenso y colocación de los colectores en el fondo de la zanja. Montaje, conexionado y comprobación de su correcto funcionamiento. Ejecución del relleno envolvente. Realización de pruebas de servicio.</t>
  </si>
  <si>
    <t>01.02.06</t>
  </si>
  <si>
    <t>Zanja drenante con una pendiente mínima del 0,50%,</t>
  </si>
  <si>
    <t>Zanja drenante con una pendiente mínima del 0,50%, para captación de aguas subterráneas, en cuyo fondo se dispone un tubo ranurado de PVC de doble pared, la exterior corrugada y la interior lisa, color teja RAL 8023, con ranurado a lo largo de un arco de 220° en el valle del corrugado, para drenaje, rigidez anular nominal 4 kN/m², de 110 mm de diámetro, según UNE-EN 13476-1, longitud nominal 6 m, unión por copa con junta elástica de EPDM, colocado sobre solera de hormigón en masa HM-20/B/20/I, de 10 cm de espesor, en forma de cuna para recibir el tubo y formar las pendientes, con relleno lateral y superior hasta 25 cm por encima de la generatriz superior del tubo con grava filtrante sin clasificar. Incluso lubricante para montaje.
Incluye: Replanteo y trazado del conducto en planta y pendientes. Formación de la solera de hormigón. Descenso y colocación de los tubos en el fondo de la zanja. Montaje, conexionado y comprobación de su correcto funcionamiento. Ejecución del relleno envolvente. Realización de pruebas de servicio.</t>
  </si>
  <si>
    <t>01.02.07</t>
  </si>
  <si>
    <t>Instalación de sumidero sifónico de PVC</t>
  </si>
  <si>
    <t>Instalación de sumidero sifónico de PVC, de salida vertical de 75 mm de diámetro, con rejilla de PVC de 200x200 mm, para recogida de aguas pluviales o de locales húmedos. Incluso accesorios de montaje, piezas especiales y elementos de sujeción.
Incluye: Replanteo y trazado. Montaje, conexionado y comprobación de su correcto funcionamiento.</t>
  </si>
  <si>
    <t>01.02.08</t>
  </si>
  <si>
    <t>Sumidero longitudinal de fábrica</t>
  </si>
  <si>
    <t>Sumidero longitudinal de fábrica, de 200 mm de anchura interior y 400 mm de altura, con rejilla de acero galvanizado, clase A-15 según UNE-EN 124 y UNE-EN 1433; previa excavación con medios manuales y posterior relleno del trasdós con hormigón.
Incluye: Replanteo del recorrido del sumidero longitudinal. Excavación con medios manuales. Eliminación de las tierras sueltas del fondo de la excavación. Vertido y compactación del hormigón en formación de solera. Formación de la obra de fábrica con ladrillos, previamente humedecidos, colocados con mortero. Ejecución de taladros para el conexionado de la tubería al sumidero longitudinal. Empalme y rejuntado de la tubería al sumidero longitudinal. Colocación del sifón en línea. Enfoscado y bruñido por el interior con mortero de cemento, redondeando ángulos. Relleno del trasdós. Colocación del marco y la rejilla. Comprobación de su correcto funcionamiento.</t>
  </si>
  <si>
    <t>01.02.09</t>
  </si>
  <si>
    <t>Pozo filtrante, para la recogida de aguas pluviales</t>
  </si>
  <si>
    <t>Pozo filtrante, para la recogida de aguas pluviales, drenante prefabricado de polietileno de alta densidad, de 1 m de altura y 0,50 m de diámetro exterior. Incluso material para conexiones, grava de relleno, remates y material elastómero para ajuste entre tapa y marco.
Incluye: Replanteo. Colocación de la malla electrosoldada. Vertido y compactación del hormigón en formación de solera. Montaje. Conexionado de los colectores al pozo. Colocación de marco, tapa de registro y accesorios. Comprobación de su correcto funcionamiento.</t>
  </si>
  <si>
    <t>01.02.10</t>
  </si>
  <si>
    <t>Pozo de registro</t>
  </si>
  <si>
    <t>Pozo de registro, de 0,60 m de diámetro interior y de 0,65 m de altura útil interior, de elementos prefabricados de hormigón en masa, sobre solera de 25 cm de espesor de hormigón armado HA-30/B/20/IIb+Qb ligeramente armada con malla electrosoldada, con cierre de tapa circular estanca con bloqueo y marco de fundición clase D-400 según UNE-EN 124, instalado en calzadas de calles, incluyendo las peatonales, o zonas de aparcamiento para todo tipo de vehículos.
Incluye: Replanteo. Colocación de la malla electrosoldada. Vertido y compactación del hormigón en formación de solera. Montaje. Formación del canal en el fondo del pozo. Conexionado de los colectores al pozo. Colocación de los pates. Vertido y compactación del hormigón para formación de la losa alrededor de la boca del cono. Colocación de marco, tapa de registro y accesorios. Comprobación de su correcto funcionamiento.</t>
  </si>
  <si>
    <t>Total 01.02</t>
  </si>
  <si>
    <t>01.03</t>
  </si>
  <si>
    <t>Nivelación</t>
  </si>
  <si>
    <t>01.03.01</t>
  </si>
  <si>
    <t>m²</t>
  </si>
  <si>
    <t>Solera ventilada de hormigón armado de 25+5 cm de canto acabado pulido y barnizada</t>
  </si>
  <si>
    <t>Solera ventilada de hormigón armado de 25+5 cm de canto, sobre encofrado perdido de módulos de polipropileno reciclado, realizada con hormigón HA-25/B/12/IIa fabricado en central, y vertido con cubilote, y malla electrosoldada ME 15x15 Ø 6-6 B 500 T 6x2,20 UNE-EN 10080 como armadura de reparto, colocada sobre separadores homologados en capa de compresión de 5 cm de espesor; con acabado Acabado acabado natural y tratado superficialmente mediante fratasadora y pulidora superficial de barnizado mediante barniz bicomponente transparente mate de poliuretano resistente a ralladuras, a realizar pruebas para aceptación e la D.F. y propiedad.y juntas de retracción de 5 mm de espesor, mediante corte con disco de diamante; apoyado todo ello sobre base de hormigón de limpieza. Incluso panel de poliestireno expandido de 3 cm de espesor, para la ejecución de juntas de dilatación.
Incluye: Replanteo de las piezas. Corte de las piezas. Colocación y montaje de las piezas. Resolución de encuentros. Realización de los orificios de paso de instalaciones. Colocación de los elementos para paso de instalaciones. Colocación de la malla electrosoldada. Vertido, extendido y vibrado del hormigón. Regleado y nivelación de la capa de compresión. Curado del hormigón. Replanteo de las juntas de retracción. Corte del hormigón. Limpieza final de las juntas de retracción.</t>
  </si>
  <si>
    <t>Planta Sótano</t>
  </si>
  <si>
    <t>Total 01.03.01</t>
  </si>
  <si>
    <t>01.03.03</t>
  </si>
  <si>
    <t>Solera de hormigón armado de 15 cm de espesor, realizada con hormigón HA-25/B/20/IIa fabricado en central, y vertido desde camió</t>
  </si>
  <si>
    <t>Solera de hormigón armado de 15 cm de espesor, realizada con hormigón HA-25/B/20/IIa fabricado en central, y vertido desde camión, y malla electrosoldada ME 15x15 Ø 6-6 B 500 T 6x2,20 UNE-EN 10080 como armadura de reparto, colocada sobre separadores homologados, extendido y vibrado manual mediante regla vibrante, con acabado superficial mediante semipulido mecánico con juntas de retracción de 5 mm de espesor, mediante corte con disco de diamante. Incluso panel de poliestireno expandido de 3 cm de espesor, para la ejecución de juntas de dilatación.
Incluye: Preparación de la superficie de apoyo del hormigón. Replanteo de las juntas de construcción y de dilatación. Tendido de niveles mediante toques, maestras de hormigón o reglas. Riego de la superficie base. Formación de juntas de construcción y de juntas perimetrales de dilatación. Colocación de la malla electrosoldada con separadores homologados. Vertido, extendido y vibrado del hormigón. Conexión de los elementos exteriores. Curado del hormigón. Fratasado mecánico de la superficie. Replanteo de las juntas de retracción. Corte del hormigón. Limpieza final de las juntas de retracción.</t>
  </si>
  <si>
    <t>Soleras exteriores</t>
  </si>
  <si>
    <t>Total 01.03.03</t>
  </si>
  <si>
    <t>01.03.04</t>
  </si>
  <si>
    <t>Encachado en caja para base de solera de 10 cm de espesor, mediante relleno y extendido en tongadas de espesor no superior a 20</t>
  </si>
  <si>
    <t>Encachado en caja para base de solera de 10 cm de espesor, mediante relleno y extendido en tongadas de espesor no superior a 20 cm de gravas procedentes de cantera caliza de 40/80 mm; y posterior compactación mediante equipo manual con bandeja vibrante, sobre la explanada homogénea y nivelada.
Incluye: Transporte y descarga del material de relleno a pie de tajo. Extendido del material de relleno en tongadas de espesor uniforme. Humectación o desecación de cada tongada. Compactación y nivelación.</t>
  </si>
  <si>
    <t>Total 01.03.04</t>
  </si>
  <si>
    <t>01.03.05</t>
  </si>
  <si>
    <t>+Murete cierre de solera de hormigón armado, realizado con hormigón HA-25/B/20/IIa fabricado en central, y vertido con cubilote,</t>
  </si>
  <si>
    <t>Murete cierre de solera de hormigón armado, realizado con hormigón HA-25/B/20/IIa fabricado en central, y vertido con cubilote, y acero UNE-EN 10080 B 500 S, con una cuantía según planos de estructuras. Incluso alambre de atar y separadores.
Incluye: Colocación de la armadura con separadores homologados. Resolución de juntas de construcción. Limpieza de la base de apoyo del muro en la cimentación. Vertido y compactación del hormigón. Curado del hormigón. Reparación de defectos superficiales, si procede.</t>
  </si>
  <si>
    <t>planta baja</t>
  </si>
  <si>
    <t>Total 01.03.05</t>
  </si>
  <si>
    <t>Total 01.03</t>
  </si>
  <si>
    <t>01.04</t>
  </si>
  <si>
    <t>Demoliciones</t>
  </si>
  <si>
    <t>01.04.01</t>
  </si>
  <si>
    <t>m3</t>
  </si>
  <si>
    <t>Demolición de murete de H-armado c/mart+compr</t>
  </si>
  <si>
    <t>Demolición de muro de hormigón armado con corte de radial, martillo rompedor y compresor de aire, i/retirada de escombros y carga, según NTE/ADD-15-16.</t>
  </si>
  <si>
    <t>Coronación de muro posterior de cuarto de instalaciones</t>
  </si>
  <si>
    <t>Total 01.04.01</t>
  </si>
  <si>
    <t>Total 01.04</t>
  </si>
  <si>
    <t>Total 01</t>
  </si>
  <si>
    <t>02</t>
  </si>
  <si>
    <t>Cimentaciones</t>
  </si>
  <si>
    <t>02.01</t>
  </si>
  <si>
    <t>Regularización</t>
  </si>
  <si>
    <t>02.01.01</t>
  </si>
  <si>
    <t>Capa de hormigón de limpieza y nivelado de fondos de cimentación, de 10 cm de espesor, de hormigón HL-150/B/20, fabricado en cen</t>
  </si>
  <si>
    <t>Capa de hormigón de limpieza y nivelado de fondos de cimentación, de 10 cm de espesor, de hormigón HL-150/B/20, fabricado en central y vertido desde camión, en el fondo de la excavación previamente realizada.
Incluye: Replanteo. Colocación de toques y/o formación de maestras. Vertido y compactación del hormigón. Coronación y enrase del hormigón.</t>
  </si>
  <si>
    <t>REVISAR MURETES</t>
  </si>
  <si>
    <t>Zapatas muros contención</t>
  </si>
  <si>
    <t>Total 02.01.01</t>
  </si>
  <si>
    <t>Total 02.01</t>
  </si>
  <si>
    <t>Total 02</t>
  </si>
  <si>
    <t>03</t>
  </si>
  <si>
    <t>Estructuras</t>
  </si>
  <si>
    <t>03.01</t>
  </si>
  <si>
    <t>Acero</t>
  </si>
  <si>
    <t>03.01.01</t>
  </si>
  <si>
    <t>kg</t>
  </si>
  <si>
    <t>Acero UNE-EN 10025 S275JR, en vigas formadas por piezas simples de perfiles laminados en caliente de las series IPN, IPE, HEB, H</t>
  </si>
  <si>
    <t>Acero UNE-EN 10025 S275JR, en vigas formadas por piezas simples de perfiles laminados en caliente de las series IPN, IPE, HEB, HEA, HEM o UPN, acabado con imprimación antioxidante, con uniones soldadas en obra, a una altura de hasta 3 m.
Incluye: Limpieza y preparación del plano de apoyo. Replanteo y marcado de los ejes. Colocación y fijación provisional de la viga. Aplomado y nivelación. Ejecución de las uniones soldadas.</t>
  </si>
  <si>
    <t>IPE 180</t>
  </si>
  <si>
    <t>IPE 200</t>
  </si>
  <si>
    <t>Total 03.01.01</t>
  </si>
  <si>
    <t>03.01.02</t>
  </si>
  <si>
    <t>Acero UNE-EN 10025 S275JR, en pilares formados por piezas simples de perfiles laminados en caliente de las series IPN, IPE, HEB,</t>
  </si>
  <si>
    <t>Acero UNE-EN 10025 S275JR, en pilares formados por piezas simples de perfiles laminados en caliente de las series IPN, IPE, HEB, HEA, HEM o UPN, acabado con imprimación antioxidante, colocado con uniones soldadas en obra, a una altura de hasta 3 m.
Incluye: Limpieza y preparación del plano de apoyo. Replanteo y marcado de los ejes. Colocación y fijación provisional del pilar. Aplomado y nivelación. Ejecución de las uniones soldadas.</t>
  </si>
  <si>
    <t>HEB 100</t>
  </si>
  <si>
    <t>Total 03.01.02</t>
  </si>
  <si>
    <t>03.01.03</t>
  </si>
  <si>
    <t>Acero UNE-EN 10210-1 S275J0H, en pilares formados por piezas simples de perfiles huecos acabados en caliente de las series redon</t>
  </si>
  <si>
    <t>Acero UNE-EN 10210-1 S275J0H, en pilares formados por piezas simples de perfiles huecos acabados en caliente de las series redondo, cuadrado o rectangular, acabado con imprimación antioxidante, colocado con uniones soldadas en obra, a una altura de hasta 3 m.
Incluye: Limpieza y preparación del plano de apoyo. Replanteo y marcado de los ejes. Colocación y fijación provisional del pilar. Aplomado y nivelación. Ejecución de las uniones soldadas.</t>
  </si>
  <si>
    <t>SHS 80.5</t>
  </si>
  <si>
    <t>Total 03.01.03</t>
  </si>
  <si>
    <t>03.01.04</t>
  </si>
  <si>
    <t>Placa de anclaje de acero UNE-EN 10025 S275JR en perfil plano, con taladro central, de 250x250 mm y espesor 15 mm, y montaje sob</t>
  </si>
  <si>
    <t>Placa de anclaje de acero UNE-EN 10025 S275JR en perfil plano, con taladro central, de 250x250 mm y espesor 15 mm, y montaje sobre 4 pernos de acero corrugado UNE-EN 10080 B 500 S de 16 mm de diámetro y 20 cm de longitud total, embutidos en el hormigón fresco, y atornillados con arandelas, tuerca y contratuerca una vez endurecido el hormigón del cimiento. Incluso mortero autonivelante expansivo para relleno del espacio resultante entre el hormigón endurecido y la placa y protección anticorrosiva aplicada a las tuercas y extremos de los pernos.
Incluye: Limpieza y preparación de la superficie de apoyo. Replanteo y marcado de los ejes. Colocación y fijación provisional de la placa. Aplomado y nivelación. Relleno con mortero. Aplicación de la protección anticorrosiva.</t>
  </si>
  <si>
    <t>HEB</t>
  </si>
  <si>
    <t>Total 03.01.04</t>
  </si>
  <si>
    <t>03.01.05</t>
  </si>
  <si>
    <t>Placa de anclaje de acero UNE-EN 10025 S275JR en perfil plano, con taladro central, de 250x250 mm y espesor 12 mm, y montaje sob</t>
  </si>
  <si>
    <t>Placa de anclaje de acero UNE-EN 10025 S275JR en perfil plano, con taladro central, de 250x250 mm y espesor 12 mm, y montaje sobre 4 pernos de acero corrugado UNE-EN 10080 B 500 S de 16 mm de diámetro y 20 cm de longitud total, embutidos en el hormigón fresco, y atornillados con arandelas, tuerca y contratuerca una vez endurecido el hormigón del cimiento. Incluso mortero autonivelante expansivo para relleno del espacio resultante entre el hormigón endurecido y la placa y protección anticorrosiva aplicada a las tuercas y extremos de los pernos.
Incluye: Limpieza y preparación de la superficie de apoyo. Replanteo y marcado de los ejes. Colocación y fijación provisional de la placa. Aplomado y nivelación. Relleno con mortero. Aplicación de la protección anticorrosiva.</t>
  </si>
  <si>
    <t>Total 03.01.05</t>
  </si>
  <si>
    <t>03.01.06</t>
  </si>
  <si>
    <t>Placa de anclaje de acero UNE-EN 10025 S275JR en perfil plano, con taladro central, de 250x250 mm y espesor 12 mm, y montaje sobre 4 pernos de acero corrugado UNE-EN 10080 B 500 S de 12 mm de diámetro y 20 cm de longitud total, embutidos en el hormigón fresco, y atornillados con arandelas, tuerca y contratuerca una vez endurecido el hormigón del cimiento. Incluso mortero autonivelante expansivo para relleno del espacio resultante entre el hormigón endurecido y la placa y protección anticorrosiva aplicada a las tuercas y extremos de los pernos.
Incluye: Limpieza y preparación de la superficie de apoyo. Replanteo y marcado de los ejes. Colocación y fijación provisional de la placa. Aplomado y nivelación. Relleno con mortero. Aplicación de la protección anticorrosiva.</t>
  </si>
  <si>
    <t>Total 03.01.06</t>
  </si>
  <si>
    <t>03.01.07</t>
  </si>
  <si>
    <t>Durmiente acero L90.10 ancaldo con pernos M16  para forjado colaborante</t>
  </si>
  <si>
    <t>Durmiente de perfil L.90.10 anclado a canto de forjado para soporte de forjado colaborante, con pernos M16 cada 25 cm acabado con imprimación antioxidante, con uniones soldadas en obra, a una altura de hasta 3 m.
Criterio de valoración económica: El precio incluye los anclajes a forjado, las soldaduras, los cortes, los despuntes, las piezas especiales, los casquillos y los elementos auxiliares de montaje.
Incluye: Limpieza y preparación del plano de apoyo. Replanteo y marcado de los ejes. Colocación y fijación provisional de la viga. Aplomado y nivelación. Ejecución de las uniones soldadas.
Criterio de medición de proyecto: Peso nominal medido según documentación gráfica de Proyecto.
Criterio de medición de obra: Se determinará, a partir del peso obtenido en báscula oficial de las unidades llegadas a obra, el peso de las unidades realmente ejecutadas según especificaciones de Proyecto.</t>
  </si>
  <si>
    <t>Total 03.01.07</t>
  </si>
  <si>
    <t>Total 03.01</t>
  </si>
  <si>
    <t>03.02</t>
  </si>
  <si>
    <t>Hormigón armado</t>
  </si>
  <si>
    <t>03.02.01</t>
  </si>
  <si>
    <t>Losa maciza de hormigón armado blanco visto, horizontal canto 25 cm</t>
  </si>
  <si>
    <t>Losa maciza de hormigón armado blanco visto, horizontal, canto 25 cm, realizada con hormigón HA-25/AC-E1/12/IIa, fabricado en central, y vertido con cubilote, y acero UNE-EN 10080 B 500 S, con una cuantía según planos de estructuras; montaje y desmontaje de sistema de encofrado "FINPLY MAXI DE PERI" con acabado liso, formado por: superficie encofrante de tableros de madera tratada, reforzados con varillas y perfiles, forrados con tablero aglomerado hidrófugo, de un solo uso con una de sus caras plastificada, amortizables en 25 usos; estructura soporte horizontal de sopandas metálicas y accesorios de montaje, amortizables en 150 usos y estructura soporte vertical de puntales metálicos, amortizables en 150 usos. Incluso nervios y zunchos perimetrales de planta y huecos, alambre de atar, separadores, aplicación de líquido desencofrante y agente filmógeno para el curado de hormigones y morteros.
Incluye: Replanteo del sistema de encofrado. Montaje del sistema de encofrado. Replanteo de la geometría de la planta sobre el encofrado. Colocación de armaduras con separadores homologados. Vertido del hormigón. Regleado y nivelación de la capa de compresión. Curado del hormigón. Desmontaje del sistema de encofrado.</t>
  </si>
  <si>
    <t>Losa de coronación de ascensor</t>
  </si>
  <si>
    <t>Total 03.02.01</t>
  </si>
  <si>
    <t>03.02.02</t>
  </si>
  <si>
    <t>Formación de peldaño y ménsulas, de hormigón blanco visto, de 40x60 cm, realizada con hormigón HA-25/AC-E2/12/IIa</t>
  </si>
  <si>
    <t>Formación de peldaño y ménsulas, de hormigón visto blanco, de 40x60 cm, realizada con hormigón HA-25/AC-E2/12/IIa, fabricado en central, y vertido con cubilote, y acero UNE-EN 10080 B 500 S, con una cuantía según planos de estructuras; montaje y desmontaje de sistema de encofrado "FINPLY MAXI DE PERI" con acabado liso, en planta de hasta 3 m de altura libre, formado por: superficie encofrante de tableros contrachapados fenólicos de madera de pino, reforzados con varillas y perfiles, amortizables en 20 usos, estructura soporte horizontal de sopandas metálicas y accesorios de montaje, amortizables en 150 usos y estructura soporte vertical de puntales metálicos, amortizables en 150 usos. Incluso alambre de atar, separadores, líquido desencofrante para evitar la adherencia del hormigón al encofrado y agente filmógeno para el curado de hormigones y morteros.
Incluye: Desbaste de muro para colocación de peldaños a una profundidad aprox de 4 cm, conexión mediante redondos corrugados y fijados a muro mediante soldado a armadura existente, fijados a  Replanteo. Montaje del sistema de encofrado. Colocación de las armaduras con separadores homologados. Vertido del hormigón. Curado del hormigón. Desmontaje del sistema de encofrado.</t>
  </si>
  <si>
    <t>Peldaños</t>
  </si>
  <si>
    <t>(formación L)</t>
  </si>
  <si>
    <t>Total 03.02.02</t>
  </si>
  <si>
    <t>03.02.03</t>
  </si>
  <si>
    <t>ml</t>
  </si>
  <si>
    <t>Corte con radial para juntas y goterones</t>
  </si>
  <si>
    <t>Juntas de hormigonado con radial con disco de diamante similar a las existentes. totalmente rematado, en cualquier tipo de plano y contemplando cualquier tipo de medio auxiliar.</t>
  </si>
  <si>
    <t>en fach lateral sur y norte, junta vertical</t>
  </si>
  <si>
    <t>en gárgolas como goterón a una distancia de 5 cm del borde exter</t>
  </si>
  <si>
    <t>entre muro de escalera y losa de ascensor</t>
  </si>
  <si>
    <t>Total 03.02.03</t>
  </si>
  <si>
    <t>03.02.04</t>
  </si>
  <si>
    <t>Losa mixta con chapa colaborante para cierre de hueco de ascensor</t>
  </si>
  <si>
    <t>Losa mixta de 10 cm de canto, con chapa colaborante de acero galvanizado prelacado con forma grecada, de 0,80 mm de espesor, 60 mm de altura de perfil y 164 mm de intereje, y hormigón armado realizado con hormigón HA-25/F/20/XC2 fabricado en central, y vertido con cubilote, volumen total de hormigón 0,062 m³/m²; acero UNE-EN 10080 B 500 S, con una cuantía total de 5,5 kg/m²; y malla electrosoldada ME 15x30 Ø 6-6 B 500 T 6x2,20 UNE-EN 10080; apoyado todo ello sobre estructura metálica; apuntalamiento y desapuntalamiento de la losa. Incluso piezas angulares para remates perimetrales y de voladizos, tornillos para fijación de las chapas, alambre de atar, separadores y agente filmógeno, para el curado de hormigones y morteros.
Criterio de valoración económica: El precio incluye la elaboración de la ferralla (corte, doblado y conformado de elementos) en taller industrial y el montaje en el lugar definitivo de su colocación en obra, pero no incluye la estructura metálica.
Incluye: Replanteo. Montaje de las chapas. Apuntalamiento. Fijación de las chapas y resolución de los apoyos. Colocación de armaduras con separadores homologados. Vertido y compactación del hormigón. Regleado y nivelación de la superficie de acabado. Curado del hormigón. Desapuntalamiento.
Criterio de medición de proyecto: Superficie medida en verdadera magnitud, según documentación gráfica de Proyecto, deduciendo los huecos de superficie mayor de 6 m².
Criterio de medición de obra: Se medirá, en verdadera magnitud, la superficie realmente ejecutada según especificaciones de Proyecto, deduciendo los huecos de superficie mayor de 6 m².</t>
  </si>
  <si>
    <t>cegado hueco ascenor</t>
  </si>
  <si>
    <t>Total 03.02.04</t>
  </si>
  <si>
    <t>Total 03.02</t>
  </si>
  <si>
    <t>03.03</t>
  </si>
  <si>
    <t>Fábrica de Ladrillo</t>
  </si>
  <si>
    <t>03.03.01</t>
  </si>
  <si>
    <t>m2</t>
  </si>
  <si>
    <t>Fábrica interior LP 25x12x8 medio pie</t>
  </si>
  <si>
    <t>Fábrica interior de ladrillo cerámico perforado para revestir de dimensiones 25x12x8 cm colocado a medio pie y tomado con mortero seco de albañilería M 5, i/p.p. de replanteo, roturas, aplomado, nivelado, cortes, remates, piezas especiales, llagueado y limpieza, cumpliendo las especificaciones establecidas en el CTE DB SE F.</t>
  </si>
  <si>
    <t>cierre terraza</t>
  </si>
  <si>
    <t>Total 03.03.01</t>
  </si>
  <si>
    <t>03.03.02</t>
  </si>
  <si>
    <t>Fábrica interior LP 25x12x14 medio pie</t>
  </si>
  <si>
    <t>Fábrica interior de ladrillo cerámico perforado para revestir de dimensiones 25x12x14 cm colocado a medio pie y tomado con mortero seco de albañilería M 5, i/p.p. de replanteo, roturas, aplomado, nivelado, cortes, remates, piezas especiales, llagueado y limpieza, cumpliendo las especificaciones establecidas en el CTE DB SE F.</t>
  </si>
  <si>
    <t>03.03.03</t>
  </si>
  <si>
    <t>Fábrica de bloq H 40x20x30 esp armar c/arm tendel+vertical</t>
  </si>
  <si>
    <t>Fábrica de bloque especial para muro de armar de hormigón prefabricado, de de árido denso, de dimensiones 40x20x30 cm, tomado con mortero seco hidrofugado de albañilería M 10 gris, con armadura prefabricada de tendel de 250 mm de ancho y 5 mm de diámetro y armadura vertical de acero corrugado B 500S de 10 mm de diámetro, fijado en los extremos a muro actual y piedra del terreno con perforaciones y resina, incluido hormigón de relleno, i/p.p. de cimentación con armada similar a MURETE DE CIERRE DE SOLERA dimensiones 50x40 de los planos de estructura,  replanteo, roturas, aplomado, nivelado, cortes, remates, piezas especiales, llagueado y limpieza, cumpliendo las especificaciones establecidas en el CTE DB SE F.</t>
  </si>
  <si>
    <t>fachada lateral sur</t>
  </si>
  <si>
    <t>fachada lateral oeste</t>
  </si>
  <si>
    <t>Total 03.03.03</t>
  </si>
  <si>
    <t>Total 03.03</t>
  </si>
  <si>
    <t>Total 03</t>
  </si>
  <si>
    <t>04</t>
  </si>
  <si>
    <t>Fachadas y particiones</t>
  </si>
  <si>
    <t>04.01</t>
  </si>
  <si>
    <t>Fachadas ventiladas</t>
  </si>
  <si>
    <t>04.01.01</t>
  </si>
  <si>
    <t>Hoja principal de fachada ventilada, apoyada sobre el forjado y enrasada, de 14 cm de espesor, de fábrica de bloque cerámico ali</t>
  </si>
  <si>
    <t>Hoja principal de fachada ventilada, apoyada sobre el forjado y enrasada, de 14 cm de espesor, de fábrica de bloque cerámico aligerado machihembrado, 30x19x14 cm, para revestir, con juntas horizontales y verticales de 10 mm de espesor, junta rehundida, recibida con mortero de cemento industrial, color gris, M-5, suministrado a granel; formación de dinteles mediante vigueta pretensada T-18, revestida por ambos lados con plaquetas o piezas cortadas.
Incluye: Definición de los planos de fachada mediante plomos. Replanteo, planta a planta. Marcado en los pilares de los niveles de referencia general de planta y de nivel de pavimento. Asiento de la primera hilada sobre capa de mortero. Colocación y aplomado de miras de referencia. Tendido de hilos entre miras. Colocación de plomos fijos en las aristas. Corte de las piezas. Colocación de las piezas por hiladas a nivel. Realización de todos los trabajos necesarios para la resolución de los huecos. Encuentros de la fábrica con fachadas, pilares y tabiques. Encuentro de la fábrica con el forjado superior.</t>
  </si>
  <si>
    <t>Planta Baja</t>
  </si>
  <si>
    <t>Planta Alta</t>
  </si>
  <si>
    <t>Total 04.01.01</t>
  </si>
  <si>
    <t>04.01.02</t>
  </si>
  <si>
    <t>Tablero de panel, compuesto de: cara exterior de tablero de aglomerado hidrófugo de 16 mm de espesor, núcleo aislante de lana de</t>
  </si>
  <si>
    <t>Tablero de panel, compuesto de: cara exterior de tablero Dm de 20 mm de espesor, núcleo aislante de lana de roca de 70 mm de espesor, cara interior de DM de 20 mm y lengüeta de DM para ensamblado de paneles, fijado mecánicamente sobre soporte discontinuo metálico; para formación de fachada. Incluso tornillos autotaladrantes para fijación sobre soporte metálico; banda impermeabilizante autoadhesiva para impermeabilización y sellado de juntas.
Incluye: Replanteo. Corte de las piezas. Colocación de los paneles que forman el tablero. Fijación mecánica de las piezas al soporte. Sellado de juntas y uniones.</t>
  </si>
  <si>
    <t>Total 04.01.02</t>
  </si>
  <si>
    <t>04.01.03</t>
  </si>
  <si>
    <t>Revestimiento exterior de fachada ventilada, de lamas de madera termotratada "Therrmopine Finsa"</t>
  </si>
  <si>
    <t>Revestimiento exterior de fachada ventilada, de lamas de madera termotratada "Therrmopine Finsa", con acabado lasur incoloro; colocación con tornillos, sobre subestructura soporte formada por doble rastrelado hidrófugo de 40x40 mm de sección, de madera de pino pinaster (Pinus pinaster), con el tratamiento adecuado, con una separación de 400 mm, colocados sobre cinta autoadhesiva, de goma butílica; atornillada a su vez sobre el soporte. Incluso rejilla antirroedores para la protección de la cámara ventilada y tornillos autoperforantes, para la fijación de la subestructura soporte.
Incluye: Limpieza y preparación de la superficie soporte. Replanteo de las juntas de dilatación y paños de trabajo. Replanteo sobre el paramento de los rastreles. Colocación y fijación de los rastreles. Preparación del revestimiento. Aplomado, nivelación y alineación del revestimiento. Fijación de las lamas a los rastreles. Realización de todos los trabajos necesarios para la resolución de los huecos. Resolución de puntos singulares.</t>
  </si>
  <si>
    <t>Total 04.01.03</t>
  </si>
  <si>
    <t>04.01.04</t>
  </si>
  <si>
    <t>Revestimiento directo de puerta garaje lamas de madera termotratada "Therrmopine Finsa"</t>
  </si>
  <si>
    <t>Revestimiento directo de puerta de garaje, mediante lamas de madera termotratada "Therrmopine Finsa", posición horizontal, con acabado lasur incoloro; colocación con tornillos, 
Incluye: Limpieza y preparación de la superficie soporte. Replanteo de las juntas de dilatación y paños de trabajo. Replanteo sobre el paramento de los rastreles. Colocación y fijación de los rastreles. Preparación del revestimiento. Aplomado, nivelación y alineación del revestimiento. Fijación de las lamas a los rastreles. Realización de todos los trabajos necesarios para la resolución de los huecos. Resolución de puntos singulares.</t>
  </si>
  <si>
    <t>Total 04.01.04</t>
  </si>
  <si>
    <t>Total 04.01</t>
  </si>
  <si>
    <t>04.02</t>
  </si>
  <si>
    <t>Tabiquería</t>
  </si>
  <si>
    <t>04.02.01</t>
  </si>
  <si>
    <t>Tabique de placas de yeso laminado placa 12,5 mm normal</t>
  </si>
  <si>
    <t>Tabique múltiple (12,5+70+12,5)/400 (70) LM - (2 normal), con placa de yeso laminado, con nivel de calidad del acabado estándar (Q2), formado por una estructura simple de perfiles de chapa de acero galvanizado de 70 mm de anchura, a base de montantes (elementos verticales) separados 400 mm entre sí, con disposición normal "N" y canales (elementos horizontales), a la que se atornillan cuatro placas en total (dos placas tipo normal en cada cara, de 12,5 mm de espesor cada placa); aislamiento acústico mediante panel semirrígido de lana mineral, espesor 70 mm, según UNE-EN 13162, en el alma. Incluso banda acústica de dilatación autoadhesiva; fijaciones para el anclaje de canales y montantes metálicos; tornillería para la fijación de las placas; cinta de papel con refuerzo metálico y pasta y cinta para el tratamiento de juntas.
Criterio de valoración económica: El precio incluye la resolución de encuentros y puntos singulares.
Incluye: Replanteo y trazado en el forjado inferior y en el superior de los tabiques a realizar. Colocación de banda de estanqueidad y canales inferiores, sobre solado terminado o base de asiento. Colocación de banda de estanqueidad y canales superiores, bajo forjados. Colocación y fijación de los montantes sobre los elementos horizontales. Corte de las placas. Fijación de las placas para el cierre de una de las caras del tabique. Colocación de los paneles de lana mineral entre los montantes. Fijación de las placas para el cierre de la segunda cara del tabique. Replanteo de las cajas para alojamiento de mecanismos eléctricos y de paso de instalaciones, y posterior perforación de las placas. Tratamiento de juntas.
Criterio de medición de proyecto: Superficie medida según documentación gráfica de Proyecto, sin duplicar esquinas ni encuentros
Criterio de medición de obra: Se medirá la superficie realmente ejecutada según especificaciones de Proyecto, sin duplicar esquinas ni encuentros</t>
  </si>
  <si>
    <t>doble tabique dor ppal</t>
  </si>
  <si>
    <t>Total 04.02.01</t>
  </si>
  <si>
    <t>04.02.02</t>
  </si>
  <si>
    <t>Tabique de placas de yeso laminado placa 12,5 mm hidrófigado</t>
  </si>
  <si>
    <t>Tabique múltiple (12,5+70+12,5)/400 (70) LM - (2 hidrofugado), con placa de yeso laminado, con nivel de calidad del acabado estándar (Q2), formado por una estructura simple de perfiles de chapa de acero galvanizado de 70 mm de anchura, a base de montantes (elementos verticales) separados 400 mm entre sí, con disposición normal "N" y canales (elementos horizontales), a la que se atornillan cuatro placas en total (dos placas tipo hidrofugado en cada cara, de 12,5 mm de espesor cada placa); aislamiento acústico mediante panel semirrígido de lana mineral, espesor 70 mm, según UNE-EN 13162, en el alma. Incluso banda acústica de dilatación autoadhesiva; fijaciones para el anclaje de canales y montantes metálicos; tornillería para la fijación de las placas; cinta de papel con refuerzo metálico y pasta y cinta para el tratamiento de juntas.
Criterio de valoración económica: El precio incluye la resolución de encuentros y puntos singulares.
Incluye: Replanteo y trazado en el forjado inferior y en el superior de los tabiques a realizar. Colocación de banda de estanqueidad y canales inferiores, sobre solado terminado o base de asiento. Colocación de banda de estanqueidad y canales superiores, bajo forjados. Colocación y fijación de los montantes sobre los elementos horizontales. Corte de las placas. Fijación de las placas para el cierre de una de las caras del tabique. Colocación de los paneles de lana mineral entre los montantes. Fijación de las placas para el cierre de la segunda cara del tabique. Replanteo de las cajas para alojamiento de mecanismos eléctricos y de paso de instalaciones, y posterior perforación de las placas. Tratamiento de juntas.
Criterio de medición de proyecto: Superficie medida según documentación gráfica de Proyecto, sin duplicar esquinas ni encuentros.
Criterio de medición de obra: Se medirá la superficie realmente ejecutada según especificaciones de Proyecto, sin duplicar esquinas ni encuentros</t>
  </si>
  <si>
    <t>planta alta</t>
  </si>
  <si>
    <t>sobre muro de hormigon</t>
  </si>
  <si>
    <t>Total 04.02.02</t>
  </si>
  <si>
    <t>Total 04.02</t>
  </si>
  <si>
    <t>04.03</t>
  </si>
  <si>
    <t>Defensas</t>
  </si>
  <si>
    <t>04.03.01</t>
  </si>
  <si>
    <t>Protecciones metálicas escaleras interiores</t>
  </si>
  <si>
    <t>Protección de 90 cm de altura, formada por: bastidor compuesto de barandal superior  e inferior (inferior anclado a suelo) de pletina de perfil macizo 50x10 mm de acero inoxidable y montantes de redondo de perfil macizo de acero inoxidable de diámetro 12 mm con una separación de 100 cm entre sí; empotrado los montantes en los peldaños de hormigón.
incluido pletina para tapar el recrecido del forjado con el mismo acabado que el resto de la protección.
Acabado mediante pavonado quimico (acabado color negro).
Incluye: Marcado de los puntos de fijación del bastidor. Presentación del tramo de barandilla de forma que los puntos de anclaje del bastidor se sitúen en los puntos marcados. Aplomado y nivelación. Resolución de las uniones entre tramos de barandilla. Resolución de las uniones al paramento. Montaje de elementos complementarios.</t>
  </si>
  <si>
    <t>Total 04.03.01</t>
  </si>
  <si>
    <t>04.03.02</t>
  </si>
  <si>
    <t>Protecciones metálicas interiores</t>
  </si>
  <si>
    <t>Protección de 90 cm de altura, formada por: bastidor compuesto de barandal superior  e inferior (inferior anclado a suelo) de pletina de perfil macizo 50x10 mm de acero inoxidable y montantes de redondo de perfil macizo de acero inoxidable de diámetro 12 mm con una separación de 100 cm entre sí; fijada mediante anclaje mecánico de expansión.
incluido pletina para tapar el recrecido del forjado con el mismo acabado que el resto de la protección.
Acabado mediante pavonado quimico (acabado color negro).
Incluye: Marcado de los puntos de fijación del bastidor. Presentación del tramo de barandilla de forma que los puntos de anclaje del bastidor se sitúen en los puntos marcados. Aplomado y nivelación. Resolución de las uniones entre tramos de barandilla. Resolución de las uniones al paramento. Montaje de elementos complementarios.</t>
  </si>
  <si>
    <t>Total 04.03.02</t>
  </si>
  <si>
    <t>04.03.03</t>
  </si>
  <si>
    <t>Barandilla de fachada en forma recta, de 90 cm de altura</t>
  </si>
  <si>
    <t>Barandilla en forma recta, de 90 cm de altura, formada por: bastidor compuesto de barandal superior  e inferior (inferior anclado a suelo) de pletina de perfil macizo 50x10 mm de acero inoxidable y montantes de redondo de perfil macizo de acero inoxidable de diámetro 12 mm con una separación de 100 cm entre sí; fijada mediante anclaje mecánico de expansión.
incluido pletina para tapar el recrecido del forjado con el mismo acabado que el resto de la protección.
Acabado mediante pavonado quimico (acabado color negro).
Incluye: Marcado de los puntos de fijación del bastidor. Presentación del tramo de barandilla de forma que los puntos de anclaje del bastidor se sitúen en los puntos marcados. Aplomado y nivelación. Resolución de las uniones entre tramos de barandilla. Resolución de las uniones al paramento. Montaje de elementos complementarios.</t>
  </si>
  <si>
    <t>exteriores</t>
  </si>
  <si>
    <t>Total 04.03.03</t>
  </si>
  <si>
    <t>04.03.04</t>
  </si>
  <si>
    <t>Pasamanos metálicas escaleras interiores</t>
  </si>
  <si>
    <t>pasamanos de 90 cm de altura, formada por de pletina de perfil macizo 50x10 mm de acero inoxidable; fijada mediante anclaje mecánico de expansión separada del paramento vertical 40 mm mediante tubo macizo de 12 mm en L.
Acabado mediante pavonado quimico (acabado color negro).
Incluye: Marcado de los puntos de fijación del bastidor. Presentación del tramo de barandilla de forma que los puntos de anclaje del bastidor se sitúen en los puntos marcados. Aplomado y nivelación. Resolución de las uniones entre tramos de barandilla. Resolución de las uniones al paramento. Montaje de elementos complementarios.</t>
  </si>
  <si>
    <t>Total 04.03.04</t>
  </si>
  <si>
    <t>Total 04.03</t>
  </si>
  <si>
    <t>Total 04</t>
  </si>
  <si>
    <t>05</t>
  </si>
  <si>
    <t>Carpintería, cerrajería, vidrios y protecciones solares</t>
  </si>
  <si>
    <t>05.01</t>
  </si>
  <si>
    <t>Carpintería</t>
  </si>
  <si>
    <t>05.01.01</t>
  </si>
  <si>
    <t>V.1 y V3 Ventanal fijo de aluminio, serie Cor-70 Hoja Oculta "CORTIZO"</t>
  </si>
  <si>
    <t>Ventanal fijo de aluminio, serie Cor-70 Hoja Oculta "CORTIZO", con rotura de puente térmico, dimensiones 950x2500 mm, anodizado color NEGRO GRATA, con el sello EWAA-EURAS, que garantiza el espesor y la calidad del proceso de anodizado, perfiles de 70 mm soldados a inglete y junquillos, según UNE-EN 14351-1; transmitancia térmica del marco: Uh,m = desde 2,0 W/(m²K); espesor máximo del acristalamiento: 40 mm, con clasificación a la permeabilidad al aire clase 4, según UNE-EN 12207, clasificación a la estanqueidad al agua clase E1650, según UNE-EN 12208, y clasificación a la resistencia a la carga del viento clase C5, según UNE-EN 12210, con premarco. Incluso silicona para sellado perimetral de la junta entre la carpintería exterior y el paramento. TSAC.
Incluye: Colocación del premarco. Colocación de la carpintería sobre el premarco. Sellado perimetral de la junta entre la carpintería exterior y el paramento.</t>
  </si>
  <si>
    <t>V.1</t>
  </si>
  <si>
    <t>V.3</t>
  </si>
  <si>
    <t>Total 05.01.01</t>
  </si>
  <si>
    <t>05.01.02</t>
  </si>
  <si>
    <t>V.1 y V3 Puerta de aluminio, serie Cor-70 Hoja Oculta "CORTIZO"</t>
  </si>
  <si>
    <t>Puerta de aluminio, serie Cor-70 Hoja Oculta "CORTIZO", con rotura de puente térmico, una hoja oscilobatiente, con apertura hacia el interior, dimensiones 400x2500 mm, anodizado color NEGRO GRATA, con el sello EWAA-EURAS, que garantiza el espesor y la calidad del proceso de anodizado, compuesta de hoja de 70 mm y marco de 70 mm, junquillos, galce, juntas de estanqueidad de EPDM, manilla "Arch Invisible" y herrajes, según UNE-EN 14351-1; transmitancia térmica del marco: Uh,m = desde 2,0 W/(m²K); espesor máximo del acristalamiento: 40 mm, con clasificación a la permeabilidad al aire clase 4, según UNE-EN 12207, clasificación a la estanqueidad al agua clase E1650, según UNE-EN 12208, y clasificación a la resistencia a la carga del viento clase C5, según UNE-EN 12210, con premarco y sin persiana. Incluso sellador adhesivo y silicona neutra para sellado perimetral de las juntas exterior e interior, entre la carpintería y la obra. TSAC.
Incluye: Colocación del premarco. Colocación de la carpintería sobre el premarco. Ajuste final de la hoja. Sellado perimetral de la junta entre la carpintería exterior y el paramento. Realización de pruebas de servicio.</t>
  </si>
  <si>
    <t>Total 05.01.02</t>
  </si>
  <si>
    <t>05.01.03</t>
  </si>
  <si>
    <t>V.2 Ventana de aluminio, serie 4700 Corredera "CORTIZO"</t>
  </si>
  <si>
    <t>Ventana de aluminio, serie 4700 Corredera "CORTIZO", con rotura de puente térmico, dos hojas correderas, dimensiones 2200x1600 mm, anodizado color NEGRO GRATA, con el sello EWAA-EURAS, que garantiza el espesor y la calidad del proceso de anodizado, compuesta de hoja de 50 mm y marco de 64 mm, junquillos, galce, juntas de estanqueidad de EPDM, manilla "Stylish acodada" y herrajes, según UNE-EN 14351-1; transmitancia térmica del marco: Uh,m = desde 4,0 W/(m²K); espesor máximo del acristalamiento: 34 mm, con clasificación a la permeabilidad al aire clase 3, según UNE-EN 12207, clasificación a la estanqueidad al agua clase 7A, según UNE-EN 12208, y clasificación a la resistencia a la carga del viento clase C5, según UNE-EN 12210, con premarco. Incluso sellador adhesivo y silicona neutra para sellado perimetral de las juntas exterior e interior, entre la carpintería y la obra. TSAC.
Incluye: Colocación del premarco. Colocación de la carpintería sobre el premarco. Ajuste final de las hojas. Sellado perimetral de la junta entre la carpintería exterior y el paramento. Realización de pruebas de servicio.</t>
  </si>
  <si>
    <t>V.2</t>
  </si>
  <si>
    <t>Total 05.01.03</t>
  </si>
  <si>
    <t>05.01.04</t>
  </si>
  <si>
    <t>V.4 Puerta de aluminio, serie 4700 Corredera "CORTIZO"</t>
  </si>
  <si>
    <t>Puerta de aluminio, serie 4700 Corredera "CORTIZO", con rotura de puente térmico, dos hojas correderas, dimensiones 2400x2500 mm, anodizado color NEGRO GRATA, con el sello EWAA-EURAS, que garantiza el espesor y la calidad del proceso de anodizado, compuesta de hoja de 50 mm y marco de 64 mm, junquillos, galce, juntas de estanqueidad de EPDM, manilla "Stylish acodada" por dentro, uñero por la parte exterior y herrajes, según UNE-EN 14351-1; transmitancia térmica del marco: Uh,m = desde 4,0 W/(m²K); espesor máximo del acristalamiento: 34 mm, con clasificación a la permeabilidad al aire clase 3, según UNE-EN 12207, clasificación a la estanqueidad al agua clase 7A, según UNE-EN 12208, y clasificación a la resistencia a la carga del viento clase C5, según UNE-EN 12210, con premarco. Incluso sellador adhesivo y silicona neutra para sellado perimetral de las juntas exterior e interior, entre la carpintería y la obra. TSAC.
Incluye: Colocación del premarco. Colocación de la carpintería sobre el premarco. Ajuste final de las hojas. Sellado perimetral de la junta entre la carpintería exterior y el paramento. Realización de pruebas de servicio.</t>
  </si>
  <si>
    <t>V.4</t>
  </si>
  <si>
    <t>Total 05.01.04</t>
  </si>
  <si>
    <t>05.01.05</t>
  </si>
  <si>
    <t>V.5.1 Ventanal fijo de aluminio, serie Cor-70 Hoja Oculta "CORTIZO"</t>
  </si>
  <si>
    <t>Ventanal fijo de aluminio, serie Cor-70 Hoja Oculta "CORTIZO", con rotura de puente térmico, dimensiones 750x2500 mm, anodizado color NEGRO GRATA, con el sello EWAA-EURAS, que garantiza el espesor y la calidad del proceso de anodizado, perfiles de 70 mm soldados a inglete y junquillos, según UNE-EN 14351-1; transmitancia térmica del marco: Uh,m = desde 2,0 W/(m²K); espesor máximo del acristalamiento: 40 mm, con clasificación a la permeabilidad al aire clase 4, según UNE-EN 12207, clasificación a la estanqueidad al agua clase E1650, según UNE-EN 12208, y clasificación a la resistencia a la carga del viento clase C5, según UNE-EN 12210, con premarco. Incluso sellador adhesivo y silicona neutra para sellado perimetral de las juntas exterior e interior, entre la carpintería y la obra. TSAC.
Incluye: Colocación del premarco. Colocación de la carpintería sobre el premarco. Sellado perimetral de la junta entre la carpintería exterior y el paramento.</t>
  </si>
  <si>
    <t>V.5.1</t>
  </si>
  <si>
    <t>Total 05.01.05</t>
  </si>
  <si>
    <t>05.01.06</t>
  </si>
  <si>
    <t>V.5.2 Ventanal fijo de aluminio, serie Cor-70 Hoja Oculta "CORTIZO"</t>
  </si>
  <si>
    <t>Ventanal fijo de aluminio, serie Cor-70 Hoja Oculta "CORTIZO", con rotura de puente térmico, dimensiones 1300x2600 mm, anodizado color NEGRO GRATA, con el sello EWAA-EURAS, que garantiza el espesor y la calidad del proceso de anodizado, perfiles de 70 mm soldados a inglete y junquillos, según UNE-EN 14351-1; transmitancia térmica del marco: Uh,m = desde 2,0 W/(m²K); espesor máximo del acristalamiento: 40 mm, con clasificación a la permeabilidad al aire clase 4, según UNE-EN 12207, clasificación a la estanqueidad al agua clase E1650, según UNE-EN 12208, y clasificación a la resistencia a la carga del viento clase C5, según UNE-EN 12210, con premarco. Incluso sellador adhesivo y silicona neutra para sellado perimetral de las juntas exterior e interior, entre la carpintería y la obra. TSAC.
Incluye: Colocación del premarco. Colocación de la carpintería sobre el premarco. Sellado perimetral de la junta entre la carpintería exterior y el paramento.</t>
  </si>
  <si>
    <t>V.5.2</t>
  </si>
  <si>
    <t>Total 05.01.06</t>
  </si>
  <si>
    <t>05.01.07</t>
  </si>
  <si>
    <t>V.5.3 Puerta de aluminio, serie 4700 Corredera "CORTIZO"</t>
  </si>
  <si>
    <t>Puerta de aluminio, serie 4700 Corredera "CORTIZO", con rotura de puente térmico, dos hojas correderas, una fija (V5.2) y una corredera, dimensiones 3400x2700 mm, anodizado color NEGRO GRATA, con el sello EWAA-EURAS, que garantiza el espesor y la calidad del proceso de anodizado, compuesta de hoja de 50 mm y marco de 64 mm, junquillos, galce, juntas de estanqueidad de EPDM, manilla "Stylish acodada" por dentro, uñero por la parte exterior y herrajes, según UNE-EN 14351-1; transmitancia térmica del marco: Uh,m = desde 4,0 W/(m²K); espesor máximo del acristalamiento: 34 mm, con clasificación a la permeabilidad al aire clase 3, según UNE-EN 12207, clasificación a la estanqueidad al agua clase 7A, según UNE-EN 12208, y clasificación a la resistencia a la carga del viento clase C5, según UNE-EN 12210, con premarco. Incluso sellador adhesivo y silicona neutra para sellado perimetral de las juntas exterior e interior, entre la carpintería y la obra. TSAC.
Incluye: Colocación del premarco. Colocación de la carpintería sobre el premarco. Ajuste final de las hojas. Sellado perimetral de la junta entre la carpintería exterior y el paramento. Realización de pruebas de servicio.</t>
  </si>
  <si>
    <t>V.5.3</t>
  </si>
  <si>
    <t>Total 05.01.07</t>
  </si>
  <si>
    <t>05.01.08</t>
  </si>
  <si>
    <t>V.6 Ventanal fijo de aluminio, serie Cor-70 Hoja Oculta "CORTIZO"</t>
  </si>
  <si>
    <t>Ventanal fijo de aluminio, serie Cor-70 Hoja Oculta "CORTIZO", con rotura de puente térmico, dimensiones 500x1700 mm, anodizado color NEGRO GRATA, con el sello EWAA-EURAS, que garantiza el espesor y la calidad del proceso de anodizado, perfiles de 70 mm soldados a inglete y junquillos, según UNE-EN 14351-1; transmitancia térmica del marco: Uh,m = desde 2,0 W/(m²K); espesor máximo del acristalamiento: 40 mm, con clasificación a la permeabilidad al aire clase 4, según UNE-EN 12207, clasificación a la estanqueidad al agua clase E1650, según UNE-EN 12208, y clasificación a la resistencia a la carga del viento clase C5, según UNE-EN 12210, con premarco. Incluso silicona para sellado perimetral de la junta entre la carpintería exterior y el paramento. TSAC.
Incluye: Colocación del premarco. Colocación de la carpintería sobre el premarco. Sellado perimetral de la junta entre la carpintería exterior y el paramento.</t>
  </si>
  <si>
    <t>V.6</t>
  </si>
  <si>
    <t>Total 05.01.08</t>
  </si>
  <si>
    <t>05.01.09</t>
  </si>
  <si>
    <t>V.7 Ventanal fijo de aluminio, serie Cor-70 Hoja Oculta "CORTIZO"</t>
  </si>
  <si>
    <t>Ventanal fijo de aluminio, serie Cor-70 Hoja Oculta "CORTIZO", con rotura de puente térmico, dimensiones 1650x2550 mm, anodizado color NEGRO GRATA, con el sello EWAA-EURAS, que garantiza el espesor y la calidad del proceso de anodizado, perfiles de 70 mm soldados a inglete y junquillos, según UNE-EN 14351-1; transmitancia térmica del marco: Uh,m = desde 2,0 W/(m²K); espesor máximo del acristalamiento: 40 mm, con clasificación a la permeabilidad al aire clase 4, según UNE-EN 12207, clasificación a la estanqueidad al agua clase E1650, según UNE-EN 12208, y clasificación a la resistencia a la carga del viento clase C5, según UNE-EN 12210, con premarco. Incluso silicona para sellado perimetral de la junta entre la carpintería exterior y el paramento. TSAC.
Incluye: Colocación del premarco. Colocación de la carpintería sobre el premarco. Sellado perimetral de la junta entre la carpintería exterior y el paramento.</t>
  </si>
  <si>
    <t>V.7</t>
  </si>
  <si>
    <t>Total 05.01.09</t>
  </si>
  <si>
    <t>05.01.10</t>
  </si>
  <si>
    <t>V.8 Ventanal fijo de aluminio, serie Cor-70 Hoja Oculta "CORTIZO"</t>
  </si>
  <si>
    <t>Ventanal fijo de aluminio, serie Cor-70 Hoja Oculta "CORTIZO", con rotura de puente térmico, dimensiones 2450x2550 mm, anodizado color NEGRO GRATA, con el sello EWAA-EURAS, que garantiza el espesor y la calidad del proceso de anodizado, perfiles de 70 mm soldados a inglete y junquillos, según UNE-EN 14351-1; transmitancia térmica del marco: Uh,m = desde 2,0 W/(m²K); espesor máximo del acristalamiento: 40 mm, con clasificación a la permeabilidad al aire clase 4, según UNE-EN 12207, clasificación a la estanqueidad al agua clase E1650, según UNE-EN 12208, y clasificación a la resistencia a la carga del viento clase C5, según UNE-EN 12210, con premarco. Incluso silicona para sellado perimetral de la junta entre la carpintería exterior y el paramento. TSAC.
Incluye: Colocación del premarco. Colocación de la carpintería sobre el premarco. Sellado perimetral de la junta entre la carpintería exterior y el paramento.</t>
  </si>
  <si>
    <t>V.8</t>
  </si>
  <si>
    <t>Total 05.01.10</t>
  </si>
  <si>
    <t>05.01.11</t>
  </si>
  <si>
    <t>V.9 Ventanal fijo de aluminio, serie Cor-70 Hoja Oculta "CORTIZO"</t>
  </si>
  <si>
    <t>Ventanal fijo de aluminio, serie Cor-70 Hoja Oculta "CORTIZO", con rotura de puente térmico, dimensiones 2400x2550 mm, anodizado color NEGRO GRATA, con el sello EWAA-EURAS, que garantiza el espesor y la calidad del proceso de anodizado, perfiles de 70 mm soldados a inglete y junquillos, según UNE-EN 14351-1; transmitancia térmica del marco: Uh,m = desde 2,0 W/(m²K); espesor máximo del acristalamiento: 40 mm, con clasificación a la permeabilidad al aire clase 4, según UNE-EN 12207, clasificación a la estanqueidad al agua clase E1650, según UNE-EN 12208, y clasificación a la resistencia a la carga del viento clase C5, según UNE-EN 12210, con premarco. Incluso silicona para sellado perimetral de la junta entre la carpintería exterior y el paramento. TSAC.
Incluye: Colocación del premarco. Colocación de la carpintería sobre el premarco. Sellado perimetral de la junta entre la carpintería exterior y el paramento.</t>
  </si>
  <si>
    <t>V.9</t>
  </si>
  <si>
    <t>Total 05.01.11</t>
  </si>
  <si>
    <t>05.01.12</t>
  </si>
  <si>
    <t>V.10 y V.11 Puerta de aluminio, serie Cor-70 Hoja Oculta "CORTIZO"</t>
  </si>
  <si>
    <t>Puerta de aluminio, serie Cor-70 Hoja Oculta "CORTIZO", con rotura de puente térmico, una hoja oscilobatiente, con apertura hacia el interior, dimensiones 600x1750 mm, anodizado color NEGRO GRATA, con el sello EWAA-EURAS, que garantiza el espesor y la calidad del proceso de anodizado, compuesta de hoja de 70 mm y marco de 70 mm, junquillos, galce, juntas de estanqueidad de EPDM, manilla "Polaris block" de llave con "maniobra lógica"  (apertura al revés, de forma que abate con la manilla en horizontal y ya no permite abrir más por seguridad) y herrajes, según UNE-EN 14351-1; transmitancia térmica del marco: Uh,m = desde 2,0 W/(m²K); espesor máximo del acristalamiento: 40 mm, con clasificación a la permeabilidad al aire clase 4, según UNE-EN 12207, clasificación a la estanqueidad al agua clase E1650, según UNE-EN 12208, y clasificación a la resistencia a la carga del viento clase C5, según UNE-EN 12210, con premarco. Incluso silicona para sellado perimetral de la junta entre la carpintería exterior y el paramento. TSAC.
Incluye: Colocación del premarco. Colocación de la carpintería sobre el premarco. Ajuste final de la hoja. Sellado perimetral de la junta entre la carpintería exterior y el paramento.</t>
  </si>
  <si>
    <t>V.10</t>
  </si>
  <si>
    <t>V.11</t>
  </si>
  <si>
    <t>Total 05.01.12</t>
  </si>
  <si>
    <t>05.01.13</t>
  </si>
  <si>
    <t>V.12 Ventana de aluminio, serie Cor-70 Hoja Oculta "CORTIZO"</t>
  </si>
  <si>
    <t>Ventana de aluminio, serie Cor-70 Hoja Oculta "CORTIZO", con rotura de puente térmico, una hoja oscilobatiente, con apertura hacia el interior, dimensiones 500x1750 mm, anodizado color NEGRO GRATA, con el sello EWAA-EURAS, que garantiza el espesor y la calidad del proceso de anodizado, compuesta de hoja de 70 mm y marco de 70 mm, junquillos, galce, juntas de estanqueidad de EPDM, manilla "Polaris block" de llave con "maniobra lógica"  (apertura al revés, de forma que abate con la manilla en horizontal y ya no permite abrir más por seguridad) y herrajes, según UNE-EN 14351-1; transmitancia térmica del marco: Uh,m = desde 2,0 W/(m²K); espesor máximo del acristalamiento: 40 mm, con clasificación a la permeabilidad al aire clase 4, según UNE-EN 12207, clasificación a la estanqueidad al agua clase E1650, según UNE-EN 12208, y clasificación a la resistencia a la carga del viento clase C5, según UNE-EN 12210, con premarco. Incluso silicona para sellado perimetral de la junta entre la carpintería exterior y el paramento. TSAC.
Incluye: Colocación del premarco. Colocación de la carpintería sobre el premarco. Ajuste final de la hoja. Sellado perimetral de la junta entre la carpintería exterior y el paramento.</t>
  </si>
  <si>
    <t>V.12</t>
  </si>
  <si>
    <t>Total 05.01.13</t>
  </si>
  <si>
    <t>05.01.14</t>
  </si>
  <si>
    <t>V.13 Puerta de aluminio, serie Cor-70 Hoja Oculta "CORTIZO"</t>
  </si>
  <si>
    <t>Puerta de aluminio, serie Cor-70 Hoja Oculta "CORTIZO", con rotura de puente térmico, una hoja oscilobatiente, con apertura hacia el interior, dimensiones 500x1850 mm, anodizado color NEGRO GRATA, con el sello EWAA-EURAS, que garantiza el espesor y la calidad del proceso de anodizado, compuesta de hoja de 70 mm y marco de 70 mm, junquillos, galce, juntas de estanqueidad de EPDM, manilla "Polaris block" de llave con "maniobra lógica"  (apertura al revés, de forma que abate con la manilla en horizontal y ya no permite abrir más por seguridad) y herrajes, según UNE-EN 14351-1; transmitancia térmica del marco: Uh,m = desde 2,0 W/(m²K); espesor máximo del acristalamiento: 40 mm, con clasificación a la permeabilidad al aire clase 4, según UNE-EN 12207, clasificación a la estanqueidad al agua clase E1650, según UNE-EN 12208, y clasificación a la resistencia a la carga del viento clase C5, según UNE-EN 12210, con premarco. Incluso silicona para sellado perimetral de la junta entre la carpintería exterior y el paramento. TSAC.
Incluye: Colocación del premarco. Colocación de la carpintería sobre el premarco. Ajuste final de la hoja. Sellado perimetral de la junta entre la carpintería exterior y el paramento.</t>
  </si>
  <si>
    <t>V.13</t>
  </si>
  <si>
    <t>Total 05.01.14</t>
  </si>
  <si>
    <t>05.01.15</t>
  </si>
  <si>
    <t>V.14 Lucernario fijo serie lucenario-veranda con RPT</t>
  </si>
  <si>
    <t>Suministro y colocación de perfiles Sistema Cortizo Lucernario-Veranda compuestos por módulos generales de dimensiones según plano CA08 realizados con perfilería de aleación de aluminio 6063 y tratamiento térmico T-5, con apertura proyectante hacia el exterior.
Fija no practicable y Dimensión: 87x565 cm
Estructura autoportante compuesta por montantes y travesaños tipo COR-98xx necesaria para soportar la carga de viento, carga de nieve y peso propio, según normativa vigente y necesidades específicas de la obra. Ambos con una superficie vista de 52mm y provistos de canales de drenaje y ventilación,  unidos mediante tope de travesaño con juntas de dilatación en ambos extremos de los mismos.
Acristalamiento mediante perfil presor COR-9914 que comprime verticalmente el vidrio fijándolo a la estructura autoportante, permitiendo hasta 38mm de espesor. Tapeta de embellecedora vertical el perfil COR-9142 / 9143 / 9183 / 9936 ó 9133 dando como resultado una superficie exterior de aluminio visto de 52 mm en trama vertical. Horizontalmente el acristalamiento se realiza mediante grapas de fijación  atornilladas al travesaño e insertadas en el perfil intercalario COR-9956 del vidrio de cámara. La llaga de sellado horizontal entre los vidrios es de 22mm y evita así la acumulación de agua en el sentido de la caída. 
Juntas de EPDM  en la unión montante-travesaño a través de gomas seccionables o escuadra vulcanizada total. Perfiles de PVC para rotura de puente térmico de 30 mm con Transmitancia Ucw ≥ 0,6 (W/m2K). Sistema de apertura proyectante con hoja formada por perfil COR-9825 y marco COR-9835. 
Apertura mediante actuador eléctrico con fuerza de empuje de hasta 400N y carrera ajustable Control de apertura mediante pulsador o remoto. Posibilidad de apertura mediante actuador manual. Estanqueidad optima mediante triple barrera formada por juntas de EPDM.
Acabado anodizado, acabado natural efectuado en un ciclo completo que comprende las operaciones de desengrase, lavado, oxidación anódica, coloreado y sellado. 
Categorías alcanzadas en banco de ensayos*: 
Permeabilidad al aire según Norma UNE-EN 12152:2000           Clase  AE
Estanqueidad al agua según Norma UNE-EN 12154:2000          Clase  RE1500
Resistencia al viento según Norma UNE-EN 13116:2001            Clase  APTO (Carga de diseño 2000 Pa-carga de seguridad 3000 Pa)
Categoria alcanzadas en banco de ensayos para apertura proyectante*:
Permeabilidad al aire según Norma UNE-EN 12207:2000           Clase  4
Estanqueidad al agua según Norma UNE-EN 12208:2000          Clase  E2100
Resistencia al viento según Norma UNE-EN 12210:2000            Clase  C5 
Incluye: Colocación del premarco. Colocación de la carpintería sobre el premarco , subestructura . Ajuste final de las hojas. Sellado perimetral de la junta entre la carpintería exterior y el paramento. Totalmente rematado y ejecutandose una prueba de estanqueidad definida por D.F.</t>
  </si>
  <si>
    <t>V.14</t>
  </si>
  <si>
    <t>Total 05.01.15</t>
  </si>
  <si>
    <t>05.01.16</t>
  </si>
  <si>
    <t>V.15 Lucernario fijo serie lucenario-veranda con RPT</t>
  </si>
  <si>
    <t>Suministro y colocación de perfiles Sistema Cortizo Lucernario-Veranda compuestos por módulos generales de dimensiones según plano CA08 realizados con perfilería de aleación de aluminio 6063 y tratamiento térmico T-5, con apertura proyectante hacia el exterior.
Fija no practicable y Dimensión: 87x93 cm
Estructura autoportante compuesta por montantes y travesaños tipo COR-98xx necesaria para soportar la carga de viento, carga de nieve y peso propio, según normativa vigente y necesidades específicas de la obra. Ambos con una superficie vista de 52mm y provistos de canales de drenaje y ventilación,  unidos mediante tope de travesaño con juntas de dilatación en ambos extremos de los mismos.
Acristalamiento mediante perfil presor COR-9914 que comprime verticalmente el vidrio fijándolo a la estructura autoportante, permitiendo hasta 38mm de espesor. Tapeta de embellecedora vertical el perfil COR-9142 / 9143 / 9183 / 9936 ó 9133 dando como resultado una superficie exterior de aluminio visto de 52 mm en trama vertical. Horizontalmente el acristalamiento se realiza mediante grapas de fijación  atornilladas al travesaño e insertadas en el perfil intercalario COR-9956 del vidrio de cámara. La llaga de sellado horizontal entre los vidrios es de 22mm y evita así la acumulación de agua en el sentido de la caída. 
Juntas de EPDM  en la unión montante-travesaño a través de gomas seccionables o escuadra vulcanizada total. Perfiles de PVC para rotura de puente térmico de 30 mm con Transmitancia Ucw ≥ 0,6 (W/m2K). Sistema de apertura proyectante con hoja formada por perfil COR-9825 y marco COR-9835. 
Apertura mediante actuador eléctrico con fuerza de empuje de hasta 400N y carrera ajustable Control de apertura mediante pulsador o remoto. Posibilidad de apertura mediante actuador manual. Estanqueidad optima mediante triple barrera formada por juntas de EPDM.
Acabado anodizado, acabado natural efectuado en un ciclo completo que comprende las operaciones de desengrase, lavado, oxidación anódica, coloreado y sellado. 
Categorías alcanzadas en banco de ensayos*: 
Permeabilidad al aire según Norma UNE-EN 12152:2000           Clase  AE
Estanqueidad al agua según Norma UNE-EN 12154:2000          Clase  RE1500
Resistencia al viento según Norma UNE-EN 13116:2001            Clase  APTO (Carga de diseño 2000 Pa-carga de seguridad 3000 Pa)
Categoria alcanzadas en banco de ensayos para apertura proyectante*:
Permeabilidad al aire según Norma UNE-EN 12207:2000           Clase  4
Estanqueidad al agua según Norma UNE-EN 12208:2000          Clase  E2100
Resistencia al viento según Norma UNE-EN 12210:2000            Clase  C5 
Incluye: Colocación del premarco. Colocación de la carpintería sobre el premarco , subestructura . Ajuste final de las hojas. Sellado perimetral de la junta entre la carpintería exterior y el paramento. Totalmente rematado y ejecutandose una prueba de estanqueidad definida por D.F.</t>
  </si>
  <si>
    <t>V.15</t>
  </si>
  <si>
    <t>Total 05.01.16</t>
  </si>
  <si>
    <t>05.01.17</t>
  </si>
  <si>
    <t>V.16 Puerta de aluminio, serie 4700 Corredera "CORTIZO"</t>
  </si>
  <si>
    <t>Puerta de aluminio, serie 4700 Corredera "CORTIZO", con rotura de puente térmico, dos hojas correderas, dimensiones 2550x2400 mm, anodizado color NEGRO GRATA, con el sello EWAA-EURAS, que garantiza el espesor y la calidad del proceso de anodizado, compuesta de hoja de 50 mm y marco de 64 mm, junquillos, galce, juntas de estanqueidad de EPDM, manilla "Stylish acodada" por dentro, uñero por la parte exterior y herrajes, según UNE-EN 14351-1; transmitancia térmica del marco: Uh,m = desde 4,0 W/(m²K); espesor máximo del acristalamiento: 34 mm, con clasificación a la permeabilidad al aire clase 3, según UNE-EN 12207, clasificación a la estanqueidad al agua clase 7A, según UNE-EN 12208, y clasificación a la resistencia a la carga del viento clase C5, según UNE-EN 12210, con premarco y sin persiana. Incluso sellador adhesivo y silicona neutra para sellado perimetral de las juntas exterior e interior, entre la carpintería y la obra. TSAC.
Incluye: Colocación del premarco. Colocación de la carpintería sobre el premarco. Ajuste final de las hojas. Sellado perimetral de la junta entre la carpintería exterior y el paramento. Realización de pruebas de servicio.
Criterio de medición de proyecto: Número de unidades previstas, según documentación gráfica de Proyecto.
Criterio de medición de obra: Se medirá el número de unidades realmente ejecutadas según especificaciones de Proyecto.</t>
  </si>
  <si>
    <t>V.16</t>
  </si>
  <si>
    <t>Total 05.01.17</t>
  </si>
  <si>
    <t>05.01.18</t>
  </si>
  <si>
    <t>V.17 Ventana de aluminio, serie Cor-70 Hoja Oculta "CORTIZO"</t>
  </si>
  <si>
    <t>Ventana de aluminio, serie Cor-70 Hoja Oculta "CORTIZO", con rotura de puente térmico, una hoja oscilobatiente, con apertura hacia el interior, dimensiones 400x1650 mm, anodizado color negro mate Cod. 10M, con el sello EWAA-EURAS, que garantiza el espesor y la calidad del proceso de anodizado, compuesta de hoja de 70 mm y marco de 70 mm, junquillos, galce, juntas de estanqueidad de EPDM, manilla Arch invisible y herrajes, según UNE-EN 14351-1; transmitancia térmica del marco: Uh,m = desde 2,0 W/(m²K); espesor máximo del acristalamiento: 40 mm, con clasificación a la permeabilidad al aire clase 4, según UNE-EN 12207, clasificación a la estanqueidad al agua clase E1650, según UNE-EN 12208, y clasificación a la resistencia a la carga del viento clase C5, según UNE-EN 12210, con premarco y con persiana. Incluso silicona para sellado perimetral de la junta entre la carpintería exterior y el paramento. TSAC.
Incluye: Colocación del premarco. Colocación de la carpintería sobre el premarco. Ajuste final de la hoja. Sellado perimetral de la junta entre la carpintería exterior y el paramento.</t>
  </si>
  <si>
    <t>V.17</t>
  </si>
  <si>
    <t>Total 05.01.18</t>
  </si>
  <si>
    <t>05.01.19</t>
  </si>
  <si>
    <t>V.17 Ventanal fijo de aluminio, serie Cor-70 Hoja Oculta "CORTIZO"</t>
  </si>
  <si>
    <t>Ventanal fijo de aluminio, serie Cor-70 Hoja Oculta "CORTIZO", con rotura de puente térmico, dimensiones 950 mm de ancho y altura variable de 1350 a 1550 mm, anodizado color negro mate Cod. 10M, con el sello EWAA-EURAS, que garantiza el espesor y la calidad del proceso de anodizado, perfiles de 70 mm soldados a inglete y junquillos, según UNE-EN 14351-1; transmitancia térmica del marco: Uh,m = desde 2,0 W/(m²K); espesor máximo del acristalamiento: 40 mm, con clasificación a la permeabilidad al aire clase 4, según UNE-EN 12207, clasificación a la estanqueidad al agua clase E1650, según UNE-EN 12208, y clasificación a la resistencia a la carga del viento clase C5, según UNE-EN 12210, con premarco y con persiana. Incluso silicona para sellado perimetral de la junta entre la carpintería exterior y el paramento. TSAC.
Incluye: Colocación del premarco. Colocación de la carpintería sobre el premarco. Sellado perimetral de la junta entre la carpintería exterior y el paramento.</t>
  </si>
  <si>
    <t>Total 05.01.19</t>
  </si>
  <si>
    <t>05.01.20</t>
  </si>
  <si>
    <t>V.21 Lucernario proyectante motorizado serie lucenario-veranda con RPT</t>
  </si>
  <si>
    <t>Suministro y colocación de perfiles Sistema Cortizo Lucernario-Veranda compuestos por módulos generales de dimensiones según plano CA08 realizados con perfilería de aleación de aluminio 6063 y tratamiento térmico T-5, con apertura proyectante hacia el exterior.
Apertura motorizada y Dimensión: 69x62 cm
Estructura autoportante compuesta por montantes y travesaños tipo COR-98xx necesaria para soportar la carga de viento, carga de nieve y peso propio, según normativa vigente y necesidades específicas de la obra. Ambos con una superficie vista de 52mm y provistos de canales de drenaje y ventilación,  unidos mediante tope de travesaño con juntas de dilatación en ambos extremos de los mismos.
Acristalamiento mediante perfil presor COR-9914 que comprime verticalmente el vidrio fijándolo a la estructura autoportante, permitiendo hasta 38mm de espesor. Tapeta de embellecedora vertical el perfil COR-9142 / 9143 / 9183 / 9936 ó 9133 dando como resultado una superficie exterior de aluminio visto de 52 mm en trama vertical. Horizontalmente el acristalamiento se realiza mediante grapas de fijación  atornilladas al travesaño e insertadas en el perfil intercalario COR-9956 del vidrio de cámara. La llaga de sellado horizontal entre los vidrios es de 22mm y evita así la acumulación de agua en el sentido de la caída. 
Juntas de EPDM  en la unión montante-travesaño a través de gomas seccionables o escuadra vulcanizada total. Perfiles de PVC para rotura de puente térmico de 30 mm con Transmitancia Ucw ≥ 0,6 (W/m2K). Sistema de apertura proyectante con hoja formada por perfil COR-9825 y marco COR-9835. 
Apertura mediante actuador eléctrico con fuerza de empuje de hasta 400N y carrera ajustable Control de apertura mediante pulsador o remoto. Posibilidad de apertura mediante actuador manual. Estanqueidad optima mediante triple barrera formada por juntas de EPDM.
Acabado anodizado, acabado natural efectuado en un ciclo completo que comprende las operaciones de desengrase, lavado, oxidación anódica, coloreado y sellado. 
Categorías alcanzadas en banco de ensayos*: 
Permeabilidad al aire según Norma UNE-EN 12152:2000           Clase  AE
Estanqueidad al agua según Norma UNE-EN 12154:2000          Clase  RE1500
Resistencia al viento según Norma UNE-EN 13116:2001            Clase  APTO (Carga de diseño 2000 Pa-carga de seguridad 3000 Pa)
Categoria alcanzadas en banco de ensayos para apertura proyectante*:
Permeabilidad al aire según Norma UNE-EN 12207:2000           Clase  4
Estanqueidad al agua según Norma UNE-EN 12208:2000          Clase  E2100
Resistencia al viento según Norma UNE-EN 12210:2000            Clase  C5 
Incluye: Colocación del premarco. Colocación de la carpintería sobre el premarco , subestructura . Ajuste final de las hojas. Sellado perimetral de la junta entre la carpintería exterior y el paramento. Totalmente rematado y ejecutandose una prueba de estanqueidad definida por D.F.</t>
  </si>
  <si>
    <t>V.21</t>
  </si>
  <si>
    <t>Total 05.01.20</t>
  </si>
  <si>
    <t>05.01.21</t>
  </si>
  <si>
    <t>V.22 Lucernario fijo serie lucenario-veranda con RPT</t>
  </si>
  <si>
    <t>Suministro y colocación de perfiles Sistema Cortizo Lucernario-Veranda compuestos por módulos generales de dimensiones según plano CA08 realizados con perfilería de aleación de aluminio 6063 y tratamiento térmico T-5, con apertura proyectante hacia el exterior.
Fija no practicable y Dimensión: 69x230 cm
Estructura autoportante compuesta por montantes y travesaños tipo COR-98xx necesaria para soportar la carga de viento, carga de nieve y peso propio, según normativa vigente y necesidades específicas de la obra. Ambos con una superficie vista de 52mm y provistos de canales de drenaje y ventilación,  unidos mediante tope de travesaño con juntas de dilatación en ambos extremos de los mismos.
Acristalamiento mediante perfil presor COR-9914 que comprime verticalmente el vidrio fijándolo a la estructura autoportante, permitiendo hasta 38mm de espesor. Tapeta de embellecedora vertical el perfil COR-9142 / 9143 / 9183 / 9936 ó 9133 dando como resultado una superficie exterior de aluminio visto de 52 mm en trama vertical. Horizontalmente el acristalamiento se realiza mediante grapas de fijación  atornilladas al travesaño e insertadas en el perfil intercalario COR-9956 del vidrio de cámara. La llaga de sellado horizontal entre los vidrios es de 22mm y evita así la acumulación de agua en el sentido de la caída. 
Juntas de EPDM  en la unión montante-travesaño a través de gomas seccionables o escuadra vulcanizada total. Perfiles de PVC para rotura de puente térmico de 30 mm con Transmitancia Ucw ≥ 0,6 (W/m2K). Sistema de apertura proyectante con hoja formada por perfil COR-9825 y marco COR-9835. 
Apertura mediante actuador eléctrico con fuerza de empuje de hasta 400N y carrera ajustable Control de apertura mediante pulsador o remoto. Posibilidad de apertura mediante actuador manual. Estanqueidad optima mediante triple barrera formada por juntas de EPDM.
Acabado anodizado, acabado natural efectuado en un ciclo completo que comprende las operaciones de desengrase, lavado, oxidación anódica, coloreado y sellado. 
Categorías alcanzadas en banco de ensayos*: 
Permeabilidad al aire según Norma UNE-EN 12152:2000           Clase  AE
Estanqueidad al agua según Norma UNE-EN 12154:2000          Clase  RE1500
Resistencia al viento según Norma UNE-EN 13116:2001            Clase  APTO (Carga de diseño 2000 Pa-carga de seguridad 3000 Pa)
Categoria alcanzadas en banco de ensayos para apertura proyectante*:
Permeabilidad al aire según Norma UNE-EN 12207:2000           Clase  4
Estanqueidad al agua según Norma UNE-EN 12208:2000          Clase  E2100
Resistencia al viento según Norma UNE-EN 12210:2000            Clase  C5 
Incluye: Colocación del premarco. Colocación de la carpintería sobre el premarco , subestructura . Ajuste final de las hojas. Sellado perimetral de la junta entre la carpintería exterior y el paramento. Totalmente rematado y ejecutandose una prueba de estanqueidad definida por D.F.</t>
  </si>
  <si>
    <t>V.22</t>
  </si>
  <si>
    <t>Total 05.01.21</t>
  </si>
  <si>
    <t>05.01.22</t>
  </si>
  <si>
    <t>V.23 Lucernario proyectante motorizado serie lucenario-veranda con RPT</t>
  </si>
  <si>
    <t>Suministro y colocación de perfiles Sistema Cortizo Lucernario-Veranda compuestos por módulos generales de dimensiones según plano CA08 realizados con perfilería de aleación de aluminio 6063 y tratamiento térmico T-5, con apertura proyectante hacia el exterior.
Apertura motorizada y Dimensión: 69x72 cm
Estructura autoportante compuesta por montantes y travesaños tipo COR-98xx necesaria para soportar la carga de viento, carga de nieve y peso propio, según normativa vigente y necesidades específicas de la obra. Ambos con una superficie vista de 52mm y provistos de canales de drenaje y ventilación,  unidos mediante tope de travesaño con juntas de dilatación en ambos extremos de los mismos.
Acristalamiento mediante perfil presor COR-9914 que comprime verticalmente el vidrio fijándolo a la estructura autoportante, permitiendo hasta 38mm de espesor. Tapeta de embellecedora vertical el perfil COR-9142 / 9143 / 9183 / 9936 ó 9133 dando como resultado una superficie exterior de aluminio visto de 52 mm en trama vertical. Horizontalmente el acristalamiento se realiza mediante grapas de fijación  atornilladas al travesaño e insertadas en el perfil intercalario COR-9956 del vidrio de cámara. La llaga de sellado horizontal entre los vidrios es de 22mm y evita así la acumulación de agua en el sentido de la caída. 
Juntas de EPDM  en la unión montante-travesaño a través de gomas seccionables o escuadra vulcanizada total. Perfiles de PVC para rotura de puente térmico de 30 mm con Transmitancia Ucw ≥ 0,6 (W/m2K). Sistema de apertura proyectante con hoja formada por perfil COR-9825 y marco COR-9835. 
Apertura mediante actuador eléctrico con fuerza de empuje de hasta 400N y carrera ajustable Control de apertura mediante pulsador o remoto. Posibilidad de apertura mediante actuador manual. Estanqueidad optima mediante triple barrera formada por juntas de EPDM.
Acabado anodizado, acabado natural efectuado en un ciclo completo que comprende las operaciones de desengrase, lavado, oxidación anódica, coloreado y sellado. 
Categorías alcanzadas en banco de ensayos*: 
Permeabilidad al aire según Norma UNE-EN 12152:2000           Clase  AE
Estanqueidad al agua según Norma UNE-EN 12154:2000          Clase  RE1500
Resistencia al viento según Norma UNE-EN 13116:2001            Clase  APTO (Carga de diseño 2000 Pa-carga de seguridad 3000 Pa)
Categoria alcanzadas en banco de ensayos para apertura proyectante*:
Permeabilidad al aire según Norma UNE-EN 12207:2000           Clase  4
Estanqueidad al agua según Norma UNE-EN 12208:2000          Clase  E2100
Resistencia al viento según Norma UNE-EN 12210:2000            Clase  C5 
Incluye: Colocación del premarco. Colocación de la carpintería sobre el premarco , subestructura . Ajuste final de las hojas. Sellado perimetral de la junta entre la carpintería exterior y el paramento. Totalmente rematado y ejecutandose una prueba de estanqueidad definida por D.F.</t>
  </si>
  <si>
    <t>V.23</t>
  </si>
  <si>
    <t>Total 05.01.22</t>
  </si>
  <si>
    <t>05.01.23</t>
  </si>
  <si>
    <t>V.24 Lucernario fijo serie lucenario-veranda con RPT</t>
  </si>
  <si>
    <t>Suministro y colocación de perfiles Sistema Cortizo Lucernario-Veranda compuestos por módulos generales de dimensiones según plano CA08 realizados con perfilería de aleación de aluminio 6063 y tratamiento térmico T-5, con apertura proyectante hacia el exterior.
Fija no practicable y Dimensión: 146x107 cm
Estructura autoportante compuesta por montantes y travesaños tipo COR-98xx necesaria para soportar la carga de viento, carga de nieve y peso propio, según normativa vigente y necesidades específicas de la obra. Ambos con una superficie vista de 52mm y provistos de canales de drenaje y ventilación,  unidos mediante tope de travesaño con juntas de dilatación en ambos extremos de los mismos.
Acristalamiento mediante perfil presor COR-9914 que comprime verticalmente el vidrio fijándolo a la estructura autoportante, permitiendo hasta 38mm de espesor. Tapeta de embellecedora vertical el perfil COR-9142 / 9143 / 9183 / 9936 ó 9133 dando como resultado una superficie exterior de aluminio visto de 52 mm en trama vertical. Horizontalmente el acristalamiento se realiza mediante grapas de fijación  atornilladas al travesaño e insertadas en el perfil intercalario COR-9956 del vidrio de cámara. La llaga de sellado horizontal entre los vidrios es de 22mm y evita así la acumulación de agua en el sentido de la caída. 
Juntas de EPDM  en la unión montante-travesaño a través de gomas seccionables o escuadra vulcanizada total. Perfiles de PVC para rotura de puente térmico de 30 mm con Transmitancia Ucw ≥ 0,6 (W/m2K). Sistema de apertura proyectante con hoja formada por perfil COR-9825 y marco COR-9835. 
Apertura mediante actuador eléctrico con fuerza de empuje de hasta 400N y carrera ajustable Control de apertura mediante pulsador o remoto. Posibilidad de apertura mediante actuador manual. Estanqueidad optima mediante triple barrera formada por juntas de EPDM.
Acabado anodizado, acabado natural efectuado en un ciclo completo que comprende las operaciones de desengrase, lavado, oxidación anódica, coloreado y sellado. 
Categorías alcanzadas en banco de ensayos*: 
Permeabilidad al aire según Norma UNE-EN 12152:2000           Clase  AE
Estanqueidad al agua según Norma UNE-EN 12154:2000          Clase  RE1500
Resistencia al viento según Norma UNE-EN 13116:2001            Clase  APTO (Carga de diseño 2000 Pa-carga de seguridad 3000 Pa)
Categoria alcanzadas en banco de ensayos para apertura proyectante*:
Permeabilidad al aire según Norma UNE-EN 12207:2000           Clase  4
Estanqueidad al agua según Norma UNE-EN 12208:2000          Clase  E2100
Resistencia al viento según Norma UNE-EN 12210:2000            Clase  C5 
Incluye: Colocación del premarco. Colocación de la carpintería sobre el premarco , subestructura . Ajuste final de las hojas. Sellado perimetral de la junta entre la carpintería exterior y el paramento. Totalmente rematado y ejecutandose una prueba de estanqueidad definida por D.F.</t>
  </si>
  <si>
    <t>V.24</t>
  </si>
  <si>
    <t>Total 05.01.23</t>
  </si>
  <si>
    <t>05.01.24</t>
  </si>
  <si>
    <t>V.25 Lucernario proyectante motorizado serie lucenario-veranda con RPT</t>
  </si>
  <si>
    <t>Suministro y colocación de perfiles Sistema Cortizo Lucernario-Veranda compuestos por módulos generales de dimensiones según plano CA08 realizados con perfilería de aleación de aluminio 6063 y tratamiento térmico T-5, con apertura proyectante hacia el exterior.
Apertura motorizada y Dimensión: 146x115 cm
Estructura autoportante compuesta por montantes y travesaños tipo COR-98xx necesaria para soportar la carga de viento, carga de nieve y peso propio, según normativa vigente y necesidades específicas de la obra. Ambos con una superficie vista de 52mm y provistos de canales de drenaje y ventilación,  unidos mediante tope de travesaño con juntas de dilatación en ambos extremos de los mismos.
Acristalamiento mediante perfil presor COR-9914 que comprime verticalmente el vidrio fijándolo a la estructura autoportante, permitiendo hasta 38mm de espesor. Tapeta de embellecedora vertical el perfil COR-9142 / 9143 / 9183 / 9936 ó 9133 dando como resultado una superficie exterior de aluminio visto de 52 mm en trama vertical. Horizontalmente el acristalamiento se realiza mediante grapas de fijación  atornilladas al travesaño e insertadas en el perfil intercalario COR-9956 del vidrio de cámara. La llaga de sellado horizontal entre los vidrios es de 22mm y evita así la acumulación de agua en el sentido de la caída. 
Juntas de EPDM  en la unión montante-travesaño a través de gomas seccionables o escuadra vulcanizada total. Perfiles de PVC para rotura de puente térmico de 30 mm con Transmitancia Ucw ≥ 0,6 (W/m2K). Sistema de apertura proyectante con hoja formada por perfil COR-9825 y marco COR-9835. 
Apertura mediante actuador eléctrico con fuerza de empuje de hasta 400N y carrera ajustable Control de apertura mediante pulsador o remoto. Posibilidad de apertura mediante actuador manual. Estanqueidad optima mediante triple barrera formada por juntas de EPDM.
Acabado anodizado, acabado natural efectuado en un ciclo completo que comprende las operaciones de desengrase, lavado, oxidación anódica, coloreado y sellado. 
Categorías alcanzadas en banco de ensayos*: 
Permeabilidad al aire según Norma UNE-EN 12152:2000           Clase  AE
Estanqueidad al agua según Norma UNE-EN 12154:2000          Clase  RE1500
Resistencia al viento según Norma UNE-EN 13116:2001            Clase  APTO (Carga de diseño 2000 Pa-carga de seguridad 3000 Pa)
Categoria alcanzadas en banco de ensayos para apertura proyectante*:
Permeabilidad al aire según Norma UNE-EN 12207:2000           Clase  4
Estanqueidad al agua según Norma UNE-EN 12208:2000          Clase  E2100
Resistencia al viento según Norma UNE-EN 12210:2000            Clase  C5 
Incluye: Colocación del premarco. Colocación de la carpintería sobre el premarco , subestructura . Ajuste final de las hojas. Sellado perimetral de la junta entre la carpintería exterior y el paramento. Totalmente rematado y ejecutandose una prueba de estanqueidad definida por D.F.</t>
  </si>
  <si>
    <t>V.25</t>
  </si>
  <si>
    <t>Total 05.01.24</t>
  </si>
  <si>
    <t>05.01.25</t>
  </si>
  <si>
    <t>V.26 Lucernario fijo serie lucenario-veranda con RPT</t>
  </si>
  <si>
    <t>Suministro y colocación de perfiles Sistema Cortizo Lucernario-Veranda compuestos por módulos generales de dimensiones según plano CA08 realizados con perfilería de aleación de aluminio 6063 y tratamiento térmico T-5, con apertura proyectante hacia el exterior.
Fija no practicable y Dimensión: 146x104 cm
Estructura autoportante compuesta por montantes y travesaños tipo COR-98xx necesaria para soportar la carga de viento, carga de nieve y peso propio, según normativa vigente y necesidades específicas de la obra. Ambos con una superficie vista de 52mm y provistos de canales de drenaje y ventilación,  unidos mediante tope de travesaño con juntas de dilatación en ambos extremos de los mismos.
Acristalamiento mediante perfil presor COR-9914 que comprime verticalmente el vidrio fijándolo a la estructura autoportante, permitiendo hasta 38mm de espesor. Tapeta de embellecedora vertical el perfil COR-9142 / 9143 / 9183 / 9936 ó 9133 dando como resultado una superficie exterior de aluminio visto de 52 mm en trama vertical. Horizontalmente el acristalamiento se realiza mediante grapas de fijación  atornilladas al travesaño e insertadas en el perfil intercalario COR-9956 del vidrio de cámara. La llaga de sellado horizontal entre los vidrios es de 22mm y evita así la acumulación de agua en el sentido de la caída. 
Juntas de EPDM  en la unión montante-travesaño a través de gomas seccionables o escuadra vulcanizada total. Perfiles de PVC para rotura de puente térmico de 30 mm con Transmitancia Ucw ≥ 0,6 (W/m2K). Sistema de apertura proyectante con hoja formada por perfil COR-9825 y marco COR-9835. 
Apertura mediante actuador eléctrico con fuerza de empuje de hasta 400N y carrera ajustable Control de apertura mediante pulsador o remoto. Posibilidad de apertura mediante actuador manual. Estanqueidad optima mediante triple barrera formada por juntas de EPDM.
Acabado anodizado, acabado natural efectuado en un ciclo completo que comprende las operaciones de desengrase, lavado, oxidación anódica, coloreado y sellado. 
Categorías alcanzadas en banco de ensayos*: 
Permeabilidad al aire según Norma UNE-EN 12152:2000           Clase  AE
Estanqueidad al agua según Norma UNE-EN 12154:2000          Clase  RE1500
Resistencia al viento según Norma UNE-EN 13116:2001            Clase  APTO (Carga de diseño 2000 Pa-carga de seguridad 3000 Pa)
Categoria alcanzadas en banco de ensayos para apertura proyectante*:
Permeabilidad al aire según Norma UNE-EN 12207:2000           Clase  4
Estanqueidad al agua según Norma UNE-EN 12208:2000          Clase  E2100
Resistencia al viento según Norma UNE-EN 12210:2000            Clase  C5 
Incluye: Colocación del premarco. Colocación de la carpintería sobre el premarco , subestructura . Ajuste final de las hojas. Sellado perimetral de la junta entre la carpintería exterior y el paramento. Totalmente rematado y ejecutandose una prueba de estanqueidad definida por D.F.</t>
  </si>
  <si>
    <t>V.26</t>
  </si>
  <si>
    <t>Total 05.01.25</t>
  </si>
  <si>
    <t>05.01.26</t>
  </si>
  <si>
    <t>V.27 Lucernario fijo serie lucenario-veranda con RPT</t>
  </si>
  <si>
    <t>Suministro y colocación de perfiles Sistema Cortizo Lucernario-Veranda compuestos por módulos generales de dimensiones según plano CA08 realizados con perfilería de aleación de aluminio 6063 y tratamiento térmico T-5, con apertura proyectante hacia el exterior.
Fija no practicable y Dimensión: 146x180 cm
Estructura autoportante compuesta por montantes y travesaños tipo COR-98xx necesaria para soportar la carga de viento, carga de nieve y peso propio, según normativa vigente y necesidades específicas de la obra. Ambos con una superficie vista de 52mm y provistos de canales de drenaje y ventilación,  unidos mediante tope de travesaño con juntas de dilatación en ambos extremos de los mismos.
Acristalamiento mediante perfil presor COR-9914 que comprime verticalmente el vidrio fijándolo a la estructura autoportante, permitiendo hasta 38mm de espesor. Tapeta de embellecedora vertical el perfil COR-9142 / 9143 / 9183 / 9936 ó 9133 dando como resultado una superficie exterior de aluminio visto de 52 mm en trama vertical. Horizontalmente el acristalamiento se realiza mediante grapas de fijación  atornilladas al travesaño e insertadas en el perfil intercalario COR-9956 del vidrio de cámara. La llaga de sellado horizontal entre los vidrios es de 22mm y evita así la acumulación de agua en el sentido de la caída. 
Juntas de EPDM  en la unión montante-travesaño a través de gomas seccionables o escuadra vulcanizada total. Perfiles de PVC para rotura de puente térmico de 30 mm con Transmitancia Ucw ≥ 0,6 (W/m2K). Sistema de apertura proyectante con hoja formada por perfil COR-9825 y marco COR-9835. 
Apertura mediante actuador eléctrico con fuerza de empuje de hasta 400N y carrera ajustable Control de apertura mediante pulsador o remoto. Posibilidad de apertura mediante actuador manual. Estanqueidad optima mediante triple barrera formada por juntas de EPDM.
Acabado anodizado, acabado natural efectuado en un ciclo completo que comprende las operaciones de desengrase, lavado, oxidación anódica, coloreado y sellado. 
Categorías alcanzadas en banco de ensayos*: 
Permeabilidad al aire según Norma UNE-EN 12152:2000           Clase  AE
Estanqueidad al agua según Norma UNE-EN 12154:2000          Clase  RE1500
Resistencia al viento según Norma UNE-EN 13116:2001            Clase  APTO (Carga de diseño 2000 Pa-carga de seguridad 3000 Pa)
Categoria alcanzadas en banco de ensayos para apertura proyectante*:
Permeabilidad al aire según Norma UNE-EN 12207:2000           Clase  4
Estanqueidad al agua según Norma UNE-EN 12208:2000          Clase  E2100
Resistencia al viento según Norma UNE-EN 12210:2000            Clase  C5 
Incluye: Colocación del premarco. Colocación de la carpintería sobre el premarco , subestructura . Ajuste final de las hojas. Sellado perimetral de la junta entre la carpintería exterior y el paramento. Totalmente rematado y ejecutandose una prueba de estanqueidad definida por D.F.</t>
  </si>
  <si>
    <t>V.27</t>
  </si>
  <si>
    <t>Total 05.01.26</t>
  </si>
  <si>
    <t>05.01.27</t>
  </si>
  <si>
    <t>V.28 Lucernario proyectante motorizado serie lucenario-veranda con RPT</t>
  </si>
  <si>
    <t>Suministro y colocación de perfiles Sistema Cortizo Lucernario-Veranda compuestos por módulos generales de dimensiones según plano CA08 realizados con perfilería de aleación de aluminio 6063 y tratamiento térmico T-5, con apertura proyectante hacia el exterior.
Apertura motorizada y Dimensión: 146x102 cm
Estructura autoportante compuesta por montantes y travesaños tipo COR-98xx necesaria para soportar la carga de viento, carga de nieve y peso propio, según normativa vigente y necesidades específicas de la obra. Ambos con una superficie vista de 52mm y provistos de canales de drenaje y ventilación,  unidos mediante tope de travesaño con juntas de dilatación en ambos extremos de los mismos.
Acristalamiento mediante perfil presor COR-9914 que comprime verticalmente el vidrio fijándolo a la estructura autoportante, permitiendo hasta 38mm de espesor. Tapeta de embellecedora vertical el perfil COR-9142 / 9143 / 9183 / 9936 ó 9133 dando como resultado una superficie exterior de aluminio visto de 52 mm en trama vertical. Horizontalmente el acristalamiento se realiza mediante grapas de fijación  atornilladas al travesaño e insertadas en el perfil intercalario COR-9956 del vidrio de cámara. La llaga de sellado horizontal entre los vidrios es de 22mm y evita así la acumulación de agua en el sentido de la caída. 
Juntas de EPDM  en la unión montante-travesaño a través de gomas seccionables o escuadra vulcanizada total. Perfiles de PVC para rotura de puente térmico de 30 mm con Transmitancia Ucw ≥ 0,6 (W/m2K). Sistema de apertura proyectante con hoja formada por perfil COR-9825 y marco COR-9835. 
Apertura mediante actuador eléctrico con fuerza de empuje de hasta 400N y carrera ajustable Control de apertura mediante pulsador o remoto. Posibilidad de apertura mediante actuador manual. Estanqueidad optima mediante triple barrera formada por juntas de EPDM.
Acabado anodizado, acabado natural efectuado en un ciclo completo que comprende las operaciones de desengrase, lavado, oxidación anódica, coloreado y sellado. 
Categorías alcanzadas en banco de ensayos*: 
Permeabilidad al aire según Norma UNE-EN 12152:2000           Clase  AE
Estanqueidad al agua según Norma UNE-EN 12154:2000          Clase  RE1500
Resistencia al viento según Norma UNE-EN 13116:2001            Clase  APTO (Carga de diseño 2000 Pa-carga de seguridad 3000 Pa)
Categoria alcanzadas en banco de ensayos para apertura proyectante*:
Permeabilidad al aire según Norma UNE-EN 12207:2000           Clase  4
Estanqueidad al agua según Norma UNE-EN 12208:2000          Clase  E2100
Resistencia al viento según Norma UNE-EN 12210:2000            Clase  C5 
Incluye: Colocación del premarco. Colocación de la carpintería sobre el premarco , subestructura . Ajuste final de las hojas. Sellado perimetral de la junta entre la carpintería exterior y el paramento. Totalmente rematado y ejecutandose una prueba de estanqueidad definida por D.F.</t>
  </si>
  <si>
    <t>V.28</t>
  </si>
  <si>
    <t>Total 05.01.27</t>
  </si>
  <si>
    <t>05.01.28</t>
  </si>
  <si>
    <t>V.30 Lucernario proyectante motorizado serie lucenario-veranda con RPT</t>
  </si>
  <si>
    <t>Suministro y colocación de perfiles Sistema Cortizo Lucernario-Veranda compuestos por módulos generales de dimensiones según plano CA08 realizados con perfilería de aleación de aluminio 6063 y tratamiento térmico T-5, con apertura proyectante hacia el exterior.
Apertura motorizada y Dimensión: 103x120 cm
Estructura autoportante compuesta por montantes y travesaños tipo COR-98xx necesaria para soportar la carga de viento, carga de nieve y peso propio, según normativa vigente y necesidades específicas de la obra. Ambos con una superficie vista de 52mm y provistos de canales de drenaje y ventilación,  unidos mediante tope de travesaño con juntas de dilatación en ambos extremos de los mismos.
Acristalamiento mediante perfil presor COR-9914 que comprime verticalmente el vidrio fijándolo a la estructura autoportante, permitiendo hasta 38mm de espesor. Tapeta de embellecedora vertical el perfil COR-9142 / 9143 / 9183 / 9936 ó 9133 dando como resultado una superficie exterior de aluminio visto de 52 mm en trama vertical. Horizontalmente el acristalamiento se realiza mediante grapas de fijación  atornilladas al travesaño e insertadas en el perfil intercalario COR-9956 del vidrio de cámara. La llaga de sellado horizontal entre los vidrios es de 22mm y evita así la acumulación de agua en el sentido de la caída. 
Juntas de EPDM  en la unión montante-travesaño a través de gomas seccionables o escuadra vulcanizada total. Perfiles de PVC para rotura de puente térmico de 30 mm con Transmitancia Ucw ≥ 0,6 (W/m2K). Sistema de apertura proyectante con hoja formada por perfil COR-9825 y marco COR-9835. 
Apertura mediante actuador eléctrico con fuerza de empuje de hasta 400N y carrera ajustable Control de apertura mediante pulsador o remoto. Posibilidad de apertura mediante actuador manual. Estanqueidad optima mediante triple barrera formada por juntas de EPDM.
Acabado anodizado, acabado natural efectuado en un ciclo completo que comprende las operaciones de desengrase, lavado, oxidación anódica, coloreado y sellado. 
Categorías alcanzadas en banco de ensayos*: 
Permeabilidad al aire según Norma UNE-EN 12152:2000           Clase  AE
Estanqueidad al agua según Norma UNE-EN 12154:2000          Clase  RE1500
Resistencia al viento según Norma UNE-EN 13116:2001            Clase  APTO (Carga de diseño 2000 Pa-carga de seguridad 3000 Pa)
Categoria alcanzadas en banco de ensayos para apertura proyectante*:
Permeabilidad al aire según Norma UNE-EN 12207:2000           Clase  4
Estanqueidad al agua según Norma UNE-EN 12208:2000          Clase  E2100
Resistencia al viento según Norma UNE-EN 12210:2000            Clase  C5 
Incluye: Colocación del premarco. Colocación de la carpintería sobre el premarco , subestructura . Ajuste final de las hojas. Sellado perimetral de la junta entre la carpintería exterior y el paramento. Totalmente rematado y ejecutandose una prueba de estanqueidad definida por D.F.</t>
  </si>
  <si>
    <t>V.30</t>
  </si>
  <si>
    <t>Total 05.01.28</t>
  </si>
  <si>
    <t>05.01.29</t>
  </si>
  <si>
    <t>V.31 Lucernario fijo serie lucenario-veranda con RPT</t>
  </si>
  <si>
    <t>Suministro y colocación de perfiles Sistema Cortizo Lucernario-Veranda compuestos por módulos generales de dimensiones según plano CA08 realizados con perfilería de aleación de aluminio 6063 y tratamiento térmico T-5, con apertura proyectante hacia el exterior.
Fija no practicable y Dimensión: 103x222 cm
Estructura autoportante compuesta por montantes y travesaños tipo COR-98xx necesaria para soportar la carga de viento, carga de nieve y peso propio, según normativa vigente y necesidades específicas de la obra. Ambos con una superficie vista de 52mm y provistos de canales de drenaje y ventilación,  unidos mediante tope de travesaño con juntas de dilatación en ambos extremos de los mismos.
Acristalamiento mediante perfil presor COR-9914 que comprime verticalmente el vidrio fijándolo a la estructura autoportante, permitiendo hasta 38mm de espesor. Tapeta de embellecedora vertical el perfil COR-9142 / 9143 / 9183 / 9936 ó 9133 dando como resultado una superficie exterior de aluminio visto de 52 mm en trama vertical. Horizontalmente el acristalamiento se realiza mediante grapas de fijación  atornilladas al travesaño e insertadas en el perfil intercalario COR-9956 del vidrio de cámara. La llaga de sellado horizontal entre los vidrios es de 22mm y evita así la acumulación de agua en el sentido de la caída. 
Juntas de EPDM  en la unión montante-travesaño a través de gomas seccionables o escuadra vulcanizada total. Perfiles de PVC para rotura de puente térmico de 30 mm con Transmitancia Ucw ≥ 0,6 (W/m2K). Sistema de apertura proyectante con hoja formada por perfil COR-9825 y marco COR-9835. 
Apertura mediante actuador eléctrico con fuerza de empuje de hasta 400N y carrera ajustable Control de apertura mediante pulsador o remoto. Posibilidad de apertura mediante actuador manual. Estanqueidad optima mediante triple barrera formada por juntas de EPDM.
Acabado anodizado, acabado natural efectuado en un ciclo completo que comprende las operaciones de desengrase, lavado, oxidación anódica, coloreado y sellado. 
Categorías alcanzadas en banco de ensayos*: 
Permeabilidad al aire según Norma UNE-EN 12152:2000           Clase  AE
Estanqueidad al agua según Norma UNE-EN 12154:2000          Clase  RE1500
Resistencia al viento según Norma UNE-EN 13116:2001            Clase  APTO (Carga de diseño 2000 Pa-carga de seguridad 3000 Pa)
Categoria alcanzadas en banco de ensayos para apertura proyectante*:
Permeabilidad al aire según Norma UNE-EN 12207:2000           Clase  4
Estanqueidad al agua según Norma UNE-EN 12208:2000          Clase  E2100
Resistencia al viento según Norma UNE-EN 12210:2000            Clase  C5 
Incluye: Colocación del premarco. Colocación de la carpintería sobre el premarco , subestructura . Ajuste final de las hojas. Sellado perimetral de la junta entre la carpintería exterior y el paramento. Totalmente rematado y ejecutandose una prueba de estanqueidad definida por D.F.</t>
  </si>
  <si>
    <t>V.31</t>
  </si>
  <si>
    <t>Total 05.01.29</t>
  </si>
  <si>
    <t>05.01.30</t>
  </si>
  <si>
    <t>Pe.4 Puerta de aluminio, serie Cor-70 Hoja Oculta "CORTIZO"</t>
  </si>
  <si>
    <t>Puerta de aluminio, serie Cor-70 Hoja Oculta "CORTIZO", con rotura de puente térmico, una hoja practicable, con apertura hacia el interior, dimensiones 1000x2650 mm, anodizado color NEGRO GRATA, con el sello EWAA-EURAS, que garantiza el espesor y la calidad del proceso de anodizado, compuesta de hoja de 70 mm y marco de 70 mm, junquillos, galce, juntas de estanqueidad de EPDM, manilla "Stylish" y herrajes, según UNE-EN 14351-1; transmitancia térmica del marco: Uh,m = desde 2,0 W/(m²K); espesor máximo del acristalamiento: 40 mm, con clasificación a la permeabilidad al aire clase 4, según UNE-EN 12207, clasificación a la estanqueidad al agua clase E1650, según UNE-EN 12208, y clasificación a la resistencia a la carga del viento clase C5, según UNE-EN 12210, con cerradura de seguridad, con premarco. Incluso silicona para sellado perimetral de la junta entre la carpintería exterior y el paramento. TSAC.
Incluye: Colocación del premarco. Colocación de la carpintería sobre el premarco. Ajuste final de la hoja. Sellado perimetral de la junta entre la carpintería exterior y el paramento.</t>
  </si>
  <si>
    <t>Pe.4</t>
  </si>
  <si>
    <t>Total 05.01.30</t>
  </si>
  <si>
    <t>05.01.31</t>
  </si>
  <si>
    <t>Pe.5 Puerta de aluminio, serie Cor-70 Hoja Oculta "CORTIZO"</t>
  </si>
  <si>
    <t>Puerta de aluminio, serie Cor-70 Hoja Oculta "CORTIZO", con rotura de puente térmico, una hoja practicable, con apertura hacia el interior, dimensiones 1400x2500 mm, anodizado color NEGRO GRATA, con el sello EWAA-EURAS, que garantiza el espesor y la calidad del proceso de anodizado, compuesta de hoja de 70 mm y marco de 70 mm, junquillos, galce, juntas de estanqueidad de EPDM, manilla "Stylish" y herrajes, según UNE-EN 14351-1; transmitancia térmica del marco: Uh,m = desde 2,0 W/(m²K); espesor máximo del acristalamiento: 40 mm, con clasificación a la permeabilidad al aire clase 4, según UNE-EN 12207, clasificación a la estanqueidad al agua clase E1650, según UNE-EN 12208, y clasificación a la resistencia a la carga del viento clase C5, según UNE-EN 12210, con cerradura de seguridad, con premarco. Incluso silicona para sellado perimetral de la junta entre la carpintería exterior y el paramento. TSAC.
Incluye: Colocación del premarco. Colocación de la carpintería sobre el premarco. Ajuste final de la hoja. Sellado perimetral de la junta entre la carpintería exterior y el paramento.</t>
  </si>
  <si>
    <t>Pe.5</t>
  </si>
  <si>
    <t>Total 05.01.31</t>
  </si>
  <si>
    <t>05.01.32</t>
  </si>
  <si>
    <t>Pe.2 Puerta exterior de lamas termotratadas para aerotermia</t>
  </si>
  <si>
    <t>Puerta exterior de una sola hoja y cerramiento fijo, compuesta por entramado de madera mediante listones con tratamiento hidrófugo de 10x5 cm, para formación de puerta abatible y parte fija, con acabado de fachada ventalada de madera termotratada "thermopine finsa" de 120 mm puesta de canto para facilitar la extracción de aire, con acabado lasur incoloro, con doble rastrelado hidrófugo.
Incluye: Colocación y fijación del cerco. Colocación y fijación de los elementos de colgar. Colocación de la hoja.</t>
  </si>
  <si>
    <t>Pe.2</t>
  </si>
  <si>
    <t>Total 05.01.32</t>
  </si>
  <si>
    <t>Total 05.01</t>
  </si>
  <si>
    <t>05.02</t>
  </si>
  <si>
    <t>Puertas de entrada a vivienda</t>
  </si>
  <si>
    <t>05.02.01</t>
  </si>
  <si>
    <t>Puerta de entrada de 250x130x13,5 cm, de una hoja pivotante de madera</t>
  </si>
  <si>
    <t>Puerta de entrada de 250x130x13,5 cm, de una hoja pivotante de madera, con acabado interior madera maciza de roble natural satinado, acabado barniz incoloro, entramado interior con estructura metálica para evitar deformaciones en la hoja y lana de roca de 40 mm, tablero exterior DM hidrófugo sobre el que se coloca la fachada ventilada, de madera termotratada thermopine finsa 120 mm, con accabado lasur incoloro y doble rastrelado hidrófugo, junta vertical con lámina impermeable transpirable Tyvek. Incluye cerradura de seguridad.
Incluye: Colocación de los herrajes de colgar. Colocación de la hoja. Colocación de los herrajes de cierre. Colocación de accesorios.</t>
  </si>
  <si>
    <t>Pe.3</t>
  </si>
  <si>
    <t>Total 05.02.01</t>
  </si>
  <si>
    <t>Total 05.02</t>
  </si>
  <si>
    <t>05.03</t>
  </si>
  <si>
    <t>Puertas interiores</t>
  </si>
  <si>
    <t>05.03.01</t>
  </si>
  <si>
    <t>Pi.3 Puerta interior corredera</t>
  </si>
  <si>
    <t>Puerta interior corredera, ciega, de una hoja de 220x80x3,5 cm (80 cm de paso), de roble macizo, lisa; incluido armazón metalico, precerco de madera de 110x35 mm; galces de roble macizo de 110x20 mm; tapajuntas de roble macizo de 70x10 mm en ambas caras. Incluso herrajes de colgar, de cierre y tiradores mediante mecanizado en puerta 200x40mm y 12mm de profundidad..
Condena modelo JNF IN.04.236.06.
Acabado barnizado en taller con barniz al agua con acabado mate cero (poco brillo, similar al acabado de pavimento madera), 
Incluye: Presentación de la puerta. armazón metálico Colocación de los herrajes de colgar. Colocación de la hoja. Colocación de los herrajes de cierre. Colocación de accesorios. Ajuste final.</t>
  </si>
  <si>
    <t>Pi.3</t>
  </si>
  <si>
    <t>Total 05.03.01</t>
  </si>
  <si>
    <t>05.03.02</t>
  </si>
  <si>
    <t>Pi.5 Puerta interior abatible</t>
  </si>
  <si>
    <t>Puerta interior abatible, ciega, de una hoja de 220x97x3,5 cm, de roble macizo, lisa; sin batiente superior para continuidad de techo, precerco de madera de 110x35 mm; galces de roble macizo de 110x20 mm; tapajuntas de roble macizo de 70x10 mm en ambas caras. 
Con herrajes en acero inoxidable, Manilla modelo JNF IN.00.028B sin roseta
Acabado barnizado en taller con barniz al agua con acabado mate cero (poco brillo, similar al acabado de pavimento madera), 
Incluye: Presentación de la puerta. Colocación de los herrajes de colgar. Colocación de la hoja. Colocación de los herrajes de cierre. Colocación de accesorios. Ajuste final.</t>
  </si>
  <si>
    <t>Pi.5</t>
  </si>
  <si>
    <t>Total 05.03.02</t>
  </si>
  <si>
    <t>05.03.03</t>
  </si>
  <si>
    <t>Pi.9 Puerta interior abatible</t>
  </si>
  <si>
    <t>Puerta interior abatible, ciega, de una hoja de 241x97x3,5 cm, de tablero de MDF, lacada en blanco, lisa; sin batiente superior para continuidad de techo, precerco de madera de 110x35 mm; galces de MDF de 110x20 mm; tapajuntas de MDF de 70x10 mm en ambas caras. 
Con herrajes en acero inoxidable, Manilla modelo JNF IN.00.028B sin roseta.
Incluso bisagras, herrajes de colgar, de cierre y tiradores de madera de roble.
Incluye: Presentación de la puerta. Colocación de los herrajes de colgar. Colocación de la hoja. Colocación de los herrajes de cierre. Colocación de accesorios. Ajuste final.</t>
  </si>
  <si>
    <t>Pi.9</t>
  </si>
  <si>
    <t>Total 05.03.03</t>
  </si>
  <si>
    <t>05.03.04</t>
  </si>
  <si>
    <t>Pi.8 Puerta interior abatible</t>
  </si>
  <si>
    <t>Puerta interior abatible, ciega, de una hoja de 220x97x3,5 cm, de tablero de MDF, lacada en blanco, lisa; sin batiente superior para continuidad de techo, precerco de madera de 110x35 mm; galces de MDF de 110x20 mm; tapajuntas de MDF de 70x10 mm en ambas caras. 
Con herrajes en acero inoxidable, Manilla modelo JNF IN.00.028B sin roseta.
Incluso bisagras, herrajes de colgar, de cierre y tiradores de madera de roble.
Incluye: Presentación de la puerta. Colocación de los herrajes de colgar. Colocación de la hoja. Colocación de los herrajes de cierre. Colocación de accesorios. Ajuste final.</t>
  </si>
  <si>
    <t>Pi.8</t>
  </si>
  <si>
    <t>Total 05.03.04</t>
  </si>
  <si>
    <t>05.03.05</t>
  </si>
  <si>
    <t>Pi.6 Puerta interior corredera</t>
  </si>
  <si>
    <t>Puerta interior corredera paralela al tabique, ciega, guia klein de una hoja de 230x65x3,5 cm, de tablero de MDF, lacada en blanco, lisa. Incluso herrajes de colgar, de cierre y tiradores mediante mecanizado en puerta 200x40mm y 12mm de profundidad.
Incluye: Presentación de la puerta. Colocación de los herrajes de colgar. Colocación de la hoja. Colocación de los herrajes de cierre. Colocación de accesorios. Ajuste final.</t>
  </si>
  <si>
    <t>Pi.6</t>
  </si>
  <si>
    <t>Total 05.03.05</t>
  </si>
  <si>
    <t>05.03.06</t>
  </si>
  <si>
    <t>Pi.7 Puerta interior corredera</t>
  </si>
  <si>
    <t>Puerta interior corredera paralela al tabique, ciega, guia klein de una hoja de 230x98x3,5 cm, de tablero de MDF, lacada en blanco, lisa. Incluso herrajes de colgar, de cierre y tiradores mediante mecanizado en puerta 200x40mm y 12mm de profundidad.
Incluye: Presentación de la puerta. Colocación de los herrajes de colgar. Colocación de la hoja. Colocación de los herrajes de cierre. Colocación de accesorios. Ajuste final.</t>
  </si>
  <si>
    <t>Pi.7</t>
  </si>
  <si>
    <t>Total 05.03.06</t>
  </si>
  <si>
    <t>05.03.07</t>
  </si>
  <si>
    <t>Pi.11 Puerta interior abatible</t>
  </si>
  <si>
    <t>Puerta interior abatible, ciega, de una hoja de 100x3,5 cm y altura variable de 218 a 240 cm, de tablero de MDF, lacada en blanco, lisa; sin batiente superior para continuidad de techo; precerco de pino país de 110x35 mm; galces de MDF de 110x20 mm; tapajuntas de MDF de 70x10 mm en ambas caras. Incluso bisagras, herrajes de colgar, de cierre.
Con herrajes en acero inoxidable, Manilla modelo JNF IN.00.028B sin roseta.
Incluye: Presentación de la puerta. Colocación de los herrajes de colgar. Colocación de la hoja. Colocación de los herrajes de cierre. Colocación de accesorios. Ajuste final.</t>
  </si>
  <si>
    <t>Pi.11</t>
  </si>
  <si>
    <t>Total 05.03.07</t>
  </si>
  <si>
    <t>05.03.08</t>
  </si>
  <si>
    <t>Pi.10 Puerta interior corredera</t>
  </si>
  <si>
    <t>Puerta interior corredera, ciega, de una hoja de 218x80x3,5 cm, de tablero de MDF, lacada en blanco, lisa; incluido armazón metalico, precerco de pino país de 110x35 mm; galces de MDF de 110x20 mm; tapajuntas de MDF de 70x10 mm en ambas caras. Incluso bisagras, herrajes de colgar, de cierre y tiradores mediante mecanizado en puerta 200x40mm y 12mm de profundidad.
Incluye: Presentación de la puerta. armazón metálico Colocación de los herrajes de colgar. Colocación de la hoja. Colocación de los herrajes de cierre. Colocación de accesorios. Ajuste final.</t>
  </si>
  <si>
    <t>Pi.10</t>
  </si>
  <si>
    <t>Total 05.03.08</t>
  </si>
  <si>
    <t>Total 05.03</t>
  </si>
  <si>
    <t>05.04</t>
  </si>
  <si>
    <t>Puertas cortafuegos</t>
  </si>
  <si>
    <t>05.04.01</t>
  </si>
  <si>
    <t>Puerta cortafuegos de acero galvanizado homologada, EI2 45-C5, de una hoja, 800x2300 mm de luz y altura de paso, acabado lacado</t>
  </si>
  <si>
    <t>Puerta cortafuegos de acero galvanizado homologada, EI2 45-C5, de una hoja, 800x2300 mm de luz y altura de paso, acabado lacado en color blanco, con cierrapuertas para uso moderado.
Incluye: Marcado de puntos de fijación y aplomado del cerco. Fijación del cerco al paramento. Sellado de juntas perimetrales. Colocación de la hoja. Colocación de herrajes de cierre y accesorios.</t>
  </si>
  <si>
    <t>Pi.1</t>
  </si>
  <si>
    <t>Pi.2</t>
  </si>
  <si>
    <t>Total 05.04.01</t>
  </si>
  <si>
    <t>Total 05.04</t>
  </si>
  <si>
    <t>05.05</t>
  </si>
  <si>
    <t>Puertas de garaje</t>
  </si>
  <si>
    <t>05.05.01</t>
  </si>
  <si>
    <t>Puerta seccional para garaje</t>
  </si>
  <si>
    <t>Puerta seccional motorizada de garaje, formada por lamas de textura acanalada, de panel sándwich de aluminio con núcleo aislante de espuma de poliuretano, 545x230 cm, apertura automática.
Incluye: Colocación y fijación de los perfiles guía. Introducción del panel en las guías. Colocación y fijación del eje a los palieres. Tensado del muelle. Fijación del panel al tambor. Montaje del sistema de apertura. Montaje del sistema de accionamiento. Conexionado eléctrico. Repaso y engrase de mecanismos y guías.</t>
  </si>
  <si>
    <t>Total 05.05</t>
  </si>
  <si>
    <t>05.06</t>
  </si>
  <si>
    <t>Armarios</t>
  </si>
  <si>
    <t>05.06.01</t>
  </si>
  <si>
    <t>Armario, de cuatro hojas abatibles, lisas, de 265x215x60 cm, de tablero MDF lacado en blanco.</t>
  </si>
  <si>
    <t>Armario, de cuatro puertas abatibles lisas, 265x215x60 cm, de tablero MDF 19 mm de espesor, acabado lacado blanco, en costados, techo, suelo y divisiones interiores según planos, con cierre amortiguado y magnético. Incluso precerco, listones de madera para apoyo de la base del armario, tablero de madera para base de armario, módulos y baldas en división en maletero, moldura en MDF lacado en blanco, tapajuntas, zócalo y demás herrajes, adhesivo de reacción de poliuretano, para pegado de madera y espuma de poliuretano para relleno de la holgura entre precerco y armario. Incluye cajoneras interiores de armario con herrajes para extracción total. Tiradores de madera de roble de 50x5x3 cm. Totalmente montado y rematado.
Incluye: Colocación del precerco. Colocación de los listones. Fijación de la base de apoyo a los listones. Montaje de todos los elementos componentes del armario. Alojamiento y calzado del armario en el precerco. Fijación del armario al precerco. Ajuste final. Relleno de la holgura entre precerco y armario con espuma de poliuretano. Colocación de accesorios.</t>
  </si>
  <si>
    <t>05.06.02</t>
  </si>
  <si>
    <t>Armario, de seis hojas abatibles, lisas, de 230x347x60 cm, de tablero MDF lacado en blanco.</t>
  </si>
  <si>
    <t>Armario, de seis puertas abatibles lisas, 230x347x60 cm, de tablero MDF 19 mm de espesor, acabado lacado blanco, en costados, techo, suelo y divisiones interiores según planos, con cierre amortiguado y magnético. Incluso precerco, listones de madera para apoyo de la base del armario, tablero de madera para base de armario, módulos y baldas en división en maletero, moldura en MDF lacado en blanco, tapajuntas, zócalo y demás herrajes, adhesivo de reacción de poliuretano, para pegado de madera y espuma de poliuretano para relleno de la holgura entre precerco y armario. Incluye cajoneras interiores de armario con herrajes para extracción total. Tiradores de madera de roble de 50x5x3 cm. Totalmente montado y rematado.
Incluye: Colocación del precerco. Colocación de los listones. Fijación de la base de apoyo a los listones. Montaje de todos los elementos componentes del armario. Alojamiento y calzado del armario en el precerco. Fijación del armario al precerco. Ajuste final. Relleno de la holgura entre precerco y armario con espuma de poliuretano. Colocación de accesorios.</t>
  </si>
  <si>
    <t>05.06.03</t>
  </si>
  <si>
    <t>Armario, de cuatro hojas abatibles, lisas, de 225x210x40 cm, de tablero MDF lacado en blanco.</t>
  </si>
  <si>
    <t>Armario, de cuatro puertas abatibles lisas, 225x210x40 cm, de tablero MDF 19 mm de espesor, acabado lacado blanco, en costados, techo, suelo y divisiones interiores según planos, con cierre amortiguado y magnético. Incluso precerco, listones de madera para apoyo de la base del armario, tablero de madera para base de armario, módulos y baldas en división en maletero, moldura en MDF lacado en blanco, tapajuntas, zócalo y demás herrajes, adhesivo de reacción de poliuretano, para pegado de madera y espuma de poliuretano para relleno de la holgura entre precerco y armario. Incluye cajoneras interiores de armario con herrajes para extracción total. Tiradores de madera de roble de 50x5x3 cm. Totalmente montado y rematado.
Incluye: Colocación del precerco. Colocación de los listones. Fijación de la base de apoyo a los listones. Montaje de todos los elementos componentes del armario. Alojamiento y calzado del armario en el precerco. Fijación del armario al precerco. Ajuste final. Relleno de la holgura entre precerco y armario con espuma de poliuretano. Colocación de accesorios.</t>
  </si>
  <si>
    <t>05.06.04</t>
  </si>
  <si>
    <t>Armario, de cuatro hojas abatibles, lisas, de 195x200x60 cm, de tablero MDF lacado en blanco.</t>
  </si>
  <si>
    <t>Armario, de cuatro puertas abatibles lisas, 195x200x60, de tablero MDF 19 mm de espesor, acabado lacado blanco, en costados, techo, suelo y divisiones interiores según planos, con cierre amortiguado y magnético. Incluso precerco, listones de madera para apoyo de la base del armario, tablero de madera para base de armario, módulos y baldas en división en maletero, moldura en MDF lacado en blanco, tapajuntas, zócalo y demás herrajes, adhesivo de reacción de poliuretano, para pegado de madera y espuma de poliuretano para relleno de la holgura entre precerco y armario. Incluye cajoneras interiores de armario con herrajes para extracción total. Tiradores de madera de roble de 50x5x3 cm. Totalmente montado y rematado.
Incluye: Colocación del precerco. Colocación de los listones. Fijación de la base de apoyo a los listones. Montaje de todos los elementos componentes del armario. Alojamiento y calzado del armario en el precerco. Fijación del armario al precerco. Ajuste final. Relleno de la holgura entre precerco y armario con espuma de poliuretano. Colocación de accesorios.</t>
  </si>
  <si>
    <t>05.06.05</t>
  </si>
  <si>
    <t>Armario, de cinco hojas abatibles, lisas, de 209x272x60 cm, de tablero MDF lacado en blanco.</t>
  </si>
  <si>
    <t>Armario, de cinco puertas abatibles lisas, 209x272x60, de tablero MDF 19 mm de espesor, acabado lacado blanco, en costados, techo, suelo y divisiones interiores según planos, con cierre amortiguado y magnético. Incluso precerco, listones de madera para apoyo de la base del armario, tablero de madera para base de armario, módulos y baldas en división en maletero, moldura en MDF lacado en blanco, tapajuntas, zócalo y demás herrajes, adhesivo de reacción de poliuretano, para pegado de madera y espuma de poliuretano para relleno de la holgura entre precerco y armario. Incluye cajoneras interiores de armario con herrajes para extracción total. Tiradores de madera de roble de 50x5x3 cm. Totalmente montado y rematado.
Incluye: Colocación del precerco. Colocación de los listones. Fijación de la base de apoyo a los listones. Montaje de todos los elementos componentes del armario. Alojamiento y calzado del armario en el precerco. Fijación del armario al precerco. Ajuste final. Relleno de la holgura entre precerco y armario con espuma de poliuretano. Colocación de accesorios.</t>
  </si>
  <si>
    <t>Total 05.06</t>
  </si>
  <si>
    <t>05.07</t>
  </si>
  <si>
    <t>Protectores solares y oscurecimiento</t>
  </si>
  <si>
    <t>Protectores solares</t>
  </si>
  <si>
    <t>05.07.01</t>
  </si>
  <si>
    <t>Estor enrollable, de 1310 mm de anchura y 2500 mm de altura  motorizado</t>
  </si>
  <si>
    <t>Estor enrollable, de 1310 mm de anchura y 2500 mm de altura, Sistema B-BOX de BANDALUX, con tejido ingnífugo, POLYSCREEN 550, color y textura a definir por D.F., accionamiento motorizado vía cable 230 V, con mando mural, para regulación de la altura; fijado en el techo con anclajes mecánicos. Incluso herrajes y accesorios.
Incluye: Replanteo. Anclaje al paramento de los elementos de fijación. Montaje del estor enrollable. Montaje de los accesorios del accionamiento. Totalmente rematado y puesto en funcionamiento hasta aprobación de D.F.</t>
  </si>
  <si>
    <t>Total 05.07.01</t>
  </si>
  <si>
    <t>05.07.02</t>
  </si>
  <si>
    <t>Estor enrollable, de 2400 mm de anchura y 2500 mm de altura  motorizado</t>
  </si>
  <si>
    <t>Estor enrollable, de 2400 mm de anchura y 2500 mm de altura, Sistema B-BOX de BANDALUX, con tejido ingnífugo, POLYSCREEN 550, color y textura a definir por D.F., accionamiento motorizado vía cable 230 V, con mando mural, para regulación de la altura; fijado en el techo con anclajes mecánicos. Incluso herrajes y accesorios.
Incluye: Replanteo. Anclaje al paramento de los elementos de fijación. Montaje del estor enrollable. Montaje de los accesorios del accionamiento. Totalmente rematado y puesto en funcionamiento hasta aprobación de D.F.</t>
  </si>
  <si>
    <t>Total 05.07.02</t>
  </si>
  <si>
    <t>05.07.03</t>
  </si>
  <si>
    <t>Estor enrollable, de 3150 mm de anchura y 650 mm de altura con guias y motorizado</t>
  </si>
  <si>
    <t>Estor enrollable, de 3150 mm de anchura y 650 mm de altura, con guias laterales y cajón para oscurecimiento total, Sistema ZI-BOX de BANDALUX, con tejido ingnífugo y opaco, BANDALUX BLACKOUT BO, color y textura a definir por D.F., accionamiento motorizado vía cable 230 V, con mando mural, para regulación de la altura; fijado en el techo con anclajes mecánicos. Incluso herrajes y accesorios.
Incluye: Replanteo. Anclaje al paramento de los elementos de fijación. Montaje del estor enrollable. Montaje de los accesorios del accionamiento. Totalmente rematado y puesto en funcionamiento hasta aprobación de D.F.</t>
  </si>
  <si>
    <t>V.21-V.22</t>
  </si>
  <si>
    <t>V.22-V.23</t>
  </si>
  <si>
    <t>Total 05.07.03</t>
  </si>
  <si>
    <t>05.07.04</t>
  </si>
  <si>
    <t>Estor enrollable, de 3600 mm de anchura y 800 mm de altura con guias y motorizado</t>
  </si>
  <si>
    <t>Estor enrollable, de 3600 mm de anchura y 800 mm de altura, con guias laterales y cajón para oscurecimiento total, Sistema ZI-BOX de BANDALUX, con tejido ingnífugo y opaco, BANDALUX BLACKOUT BO, color y textura a definir por D.F., accionamiento motorizado vía cable 230 V, con mando mural, para regulación de la altura; fijado en el techo con anclajes mecánicos. Incluso herrajes y accesorios.
Incluye: Replanteo. Anclaje al paramento de los elementos de fijación. Montaje del estor enrollable. Montaje de los accesorios del accionamiento. Totalmente rematado y puesto en funcionamiento hasta aprobación de D.F.</t>
  </si>
  <si>
    <t>V.30-V.31</t>
  </si>
  <si>
    <t>Total 05.07.04</t>
  </si>
  <si>
    <t>05.07.05</t>
  </si>
  <si>
    <t>Contraventana corredera de tablero DM lacado blanco</t>
  </si>
  <si>
    <t>Contraventana para oscurecimiento, conformado de tablero DM lacado en blanco de 32 mm, con apertura corredera con guía klein Lite 100 con listones necesarios para fijación y oscurecimiento.
Incluye: Replanteo de los soportes. Fijación de los soportes al paramento. Fijación de guías y piezas auxiliares. Totalmente rematado según D.F. y puesta en servicio.</t>
  </si>
  <si>
    <t>dormitorio ppal</t>
  </si>
  <si>
    <t>domritorio niños</t>
  </si>
  <si>
    <t>Total 05.07.05</t>
  </si>
  <si>
    <t>05.07.06</t>
  </si>
  <si>
    <t>Persiana enrollable con cajón (monoblock).</t>
  </si>
  <si>
    <t>Persiana enrollable CORTIZO ISOLATION, de lamas autoblocantes de aluminio extrusionado, con cajón térmico mejorado (monoblock), equipada con eje, discos, cápsulas y todos sus accesorios guías, herrajes de cierre en la lama final de remate, con accionamiento automático con motor eléctrico.
Incluye: Replanteo y nivelación del cajón de persiana sobre la carpintería. Fijación del cajón mediante atornillado.
Criterio de medición de proyecto: Superficie del hueco a cerrar, medida según documentación gráfica de Proyecto.
Criterio de medición de obra: Se medirá, con las dimensiones del hueco, la superficie realmente ejecutada según especificaciones de Proyecto.</t>
  </si>
  <si>
    <t>Total 05.07.06</t>
  </si>
  <si>
    <t>05.07.07</t>
  </si>
  <si>
    <t>Estor enrollable, de 1400 mm de anchura y 2500 mm de altura  motorizado</t>
  </si>
  <si>
    <t>Estor enrollable, de 1400 mm de anchura y 2500 mm de altura, Sistema B-BOX de BANDALUX, con tejido ingnífugo, POLYSCREEN 550, color y textura a definir por D.F., accionamiento motorizado vía cable 230 V, con mando mural, para regulación de la altura; fijado en el techo con anclajes mecánicos. Incluso herrajes y accesorios.
Incluye: Replanteo. Anclaje al paramento de los elementos de fijación. Montaje del estor enrollable. Montaje de los accesorios del accionamiento. Totalmente rematado y puesto en funcionamiento hasta aprobación de D.F.</t>
  </si>
  <si>
    <t>Total 05.07.07</t>
  </si>
  <si>
    <t>Total 05.07</t>
  </si>
  <si>
    <t>05.08</t>
  </si>
  <si>
    <t>Vidrios</t>
  </si>
  <si>
    <t>05.08.01</t>
  </si>
  <si>
    <t>Doble acristalamiento 4+4/14Ar/6 PLANITHERM XN</t>
  </si>
  <si>
    <t>Doble acristalamiento SGG CLIMALIT PLUS PLANITHERM XN F2 44.2/14 argón 90%/6 "SAINT GOBAIN", conjunto formado por vidrio exterior STADIP PROTECT de 4+4 mm, compuesto por dos lunas de vidrio laminar de 4 mm unidas mediante una lámina incolora de butiral de polivinilo, con capa de baja emisividad térmica incorporada en la cara interior, cámara de gas deshidratada con perfil separador de aluminio y doble sellado perimetral, de 14 mm, rellena de gas argón y vidrio interior PLANICLEAR de 6 mm de espesor; 28 mm de espesor total, fijado sobre carpintería con acuñado mediante calzos de apoyo perimetrales y laterales, sellado en frío con silicona Sikasil WS-305-N "SIKA", compatible con el material soporte.
Incluye: Colocación, calzado, montaje y ajuste en la carpintería. Sellado final de estanqueidad. Señalización de las hojas.
Criterio de medición de proyecto: Superficie de carpintería a acristalar, según documentación gráfica de Proyecto, incluyendo en cada hoja vidriera las dimensiones del bastidor.
Criterio de medición de obra: Se medirá la superficie realmente ejecutada según especificaciones de Proyecto, sumando, para cada una de las piezas, la superficie resultante de redondear por exceso cada una de sus aristas a múltiplos de 30 mm.</t>
  </si>
  <si>
    <t>Total 05.08.01</t>
  </si>
  <si>
    <t>05.08.02</t>
  </si>
  <si>
    <t>Doble acristalamiento 4+4/14Ar/6 PLANITHERM 4S</t>
  </si>
  <si>
    <t>Doble acristalamiento SGG CLIMALIT PLUS PLANITHERM 4S F2 44.2/10 aire/6 "SAINT GOBAIN", conjunto formado por vidrio exterior STADIP PROTECT de 4+4 mm, compuesto por dos lunas de vidrio laminar de 4 mm unidas mediante una lámina incolora de butiral de polivinilo, con capa de control solar y baja emisividad térmica incorporada en la cara interior, cámara de aire deshidratada con perfil separador de aluminio y doble sellado perimetral, de 10 mm, y vidrio interior PLANICLEAR de 6 mm de espesor; 28 mm de espesor total, fijado sobre carpintería con acuñado mediante calzos de apoyo perimetrales y laterales, sellado en frío con silicona Sikasil WS-305-N "SIKA", compatible con el material soporte.
Incluye: Colocación, calzado, montaje y ajuste en la carpintería. Sellado final de estanqueidad. Señalización de las hojas.
Criterio de medición de proyecto: Superficie de carpintería a acristalar, según documentación gráfica de Proyecto, incluyendo en cada hoja vidriera las dimensiones del bastidor.
Criterio de medición de obra: Se medirá la superficie realmente ejecutada según especificaciones de Proyecto, sumando, para cada una de las piezas, la superficie resultante de redondear por exceso cada una de sus aristas a múltiplos de 30 mm.</t>
  </si>
  <si>
    <t>Total 05.08.02</t>
  </si>
  <si>
    <t>05.08.03</t>
  </si>
  <si>
    <t>Doble acristalamiento 6/14Ar/4+4 PLANITHERM XN</t>
  </si>
  <si>
    <t>Doble acristalamiento SGG CLIMALIT PLUS PLANITHERM XN F2 6/14 argón 90%/44.2 "SAINT GOBAIN", conjunto formado por vidrio exterior PLANITHERM XN de 6 mm, con capa de baja emisividad térmica incorporada en la cara interior, cámara de gas deshidratada con perfil separador de aluminio y doble sellado perimetral, de 14 mm, rellena de gas argón y vidrio interior STADIP PROTECT de 4+4 mm, compuesto por dos lunas de vidrio laminar de 4 mm unidas mediante dos láminas incoloras de butiral de polivinilo; 28 mm de espesor total, fijado sobre carpintería con acuñado mediante calzos de apoyo perimetrales y laterales, sellado en frío con silicona Sikasil WS-305-N "SIKA", compatible con el material soporte.
Incluye: Colocación, calzado, montaje y ajuste en la carpintería. Sellado final de estanqueidad. Señalización de las hojas.
Criterio de medición de proyecto: Superficie de carpintería a acristalar, según documentación gráfica de Proyecto, incluyendo en cada hoja vidriera las dimensiones del bastidor.
Criterio de medición de obra: Se medirá la superficie realmente ejecutada según especificaciones de Proyecto, sumando, para cada una de las piezas, la superficie resultante de redondear por exceso cada una de sus aristas a múltiplos de 30 mm.</t>
  </si>
  <si>
    <t>Total 05.08.03</t>
  </si>
  <si>
    <t>05.08.04</t>
  </si>
  <si>
    <t>Doble acristalamiento 6/14Ar/4+4 PLANITHERM 4S</t>
  </si>
  <si>
    <t>Doble acristalamiento SGG CLIMALIT PLUS PLANITHERM 4S F2 6/14 argón 90%/44.2 "SAINT GOBAIN", conjunto formado por vidrio exterior PLANITHERM 4S de 6 mm, con capa de baja emisividad térmica incorporada en la cara interior, cámara de gas deshidratada con perfil separador de aluminio y doble sellado perimetral, de 14 mm, rellena de gas argón y vidrio interior STADIP PROTECT de 4+4 mm, compuesto por dos lunas de vidrio laminar de 4 mm unidas mediante dos láminas incoloras de butiral de polivinilo; 28 mm de espesor total, fijado sobre carpintería con acuñado mediante calzos de apoyo perimetrales y laterales, sellado en frío con silicona Sikasil WS-305-N "SIKA", compatible con el material soporte.
Incluye: Colocación, calzado, montaje y ajuste en la carpintería. Sellado final de estanqueidad. Señalización de las hojas.
Criterio de medición de proyecto: Superficie de carpintería a acristalar, según documentación gráfica de Proyecto, incluyendo en cada hoja vidriera las dimensiones del bastidor.
Criterio de medición de obra: Se medirá la superficie realmente ejecutada según especificaciones de Proyecto, sumando, para cada una de las piezas, la superficie resultante de redondear por exceso cada una de sus aristas a múltiplos de 30 mm.</t>
  </si>
  <si>
    <t>Total 05.08.04</t>
  </si>
  <si>
    <t>05.08.05</t>
  </si>
  <si>
    <t>Doble acristalamiento 6+6/14Ar/4+4 PLANITHERM XN</t>
  </si>
  <si>
    <t>Doble acristalamiento SGG CLIMALIT PLUS PLANITHERM XN F2 66.2/14 argón 90%/44.2 "SAINT GOBAIN", conjunto formado por vidrio exterior STADIP de 6+6 mm, compuesto por dos lunas de vidrio laminar de 6 mm unidas mediante una lámina incolora de butiral de polivinilo, con capa de baja emisividad térmica incorporada en la cara interior, cámara de gas deshidratada con perfil separador de aluminio y doble sellado perimetral, de 14 mm, rellena de gas argón y vidrio interior STADIP PROTECT de 4+4 mm, compuesto por dos lunas de vidrio laminar de 4 mm unidas mediante dos láminas incoloras de butiral de polivinilo; 34 mm de espesor total, fijado sobre carpintería con acuñado mediante calzos de apoyo perimetrales y laterales, sellado en frío con silicona Sikasil WS-305-N "SIKA", compatible con el material soporte.
Incluye: Colocación, calzado, montaje y ajuste en la carpintería. Sellado final de estanqueidad. Señalización de las hojas.
Criterio de medición de proyecto: Superficie de carpintería a acristalar, según documentación gráfica de Proyecto, incluyendo en cada hoja vidriera las dimensiones del bastidor.
Criterio de medición de obra: Se medirá la superficie realmente ejecutada según especificaciones de Proyecto, sumando, para cada una de las piezas, la superficie resultante de redondear por exceso cada una de sus aristas a múltiplos de 30 mm.</t>
  </si>
  <si>
    <t>Total 05.08.05</t>
  </si>
  <si>
    <t>05.08.06</t>
  </si>
  <si>
    <t>Doble acristalamiento 6/14Ar/4+4 PLANITHERM 4S (STADIP SILENCE)</t>
  </si>
  <si>
    <t>Doble acristalamiento SGG CLIMALIT PLUS PLANITHERM 4S F2 6/14 argón 90%/44.2 "SAINT GOBAIN", conjunto formado por vidrio exterior PLANITHERM 4S de 6 mm, con capa de baja emisividad térmica incorporada en la cara interior, cámara de gas deshidratada con perfil separador de aluminio y doble sellado perimetral, de 14 mm, rellena de gas argón y vidrio interior STADIP SILENCE de 4+4 mm, compuesto por dos lunas de vidrio laminar de 4 mm unidas mediante dos láminas incoloras de butiral de polivinilo; 28 mm de espesor total, fijado sobre carpintería con acuñado mediante calzos de apoyo perimetrales y laterales, sellado en frío con silicona Sikasil WS-305-N "SIKA", compatible con el material soporte.
Incluye: Colocación, calzado, montaje y ajuste en la carpintería. Sellado final de estanqueidad. Señalización de las hojas.
Criterio de medición de proyecto: Superficie de carpintería a acristalar, según documentación gráfica de Proyecto, incluyendo en cada hoja vidriera las dimensiones del bastidor.
Criterio de medición de obra: Se medirá la superficie realmente ejecutada según especificaciones de Proyecto, sumando, para cada una de las piezas, la superficie resultante de redondear por exceso cada una de sus aristas a múltiplos de 30 mm.</t>
  </si>
  <si>
    <t>Total 05.08.06</t>
  </si>
  <si>
    <t>05.08.07</t>
  </si>
  <si>
    <t>Doble acristalamiento 6/14Ar/4+4 PLANITHERM XN (STADIP SILENCE)</t>
  </si>
  <si>
    <t>Doble acristalamiento SGG CLIMALIT PLUS PLANITHERM XN F2 6/14 argón 90%/44.2 "SAINT GOBAIN", conjunto formado por vidrio exterior PLANITHERM XN de 6 mm, con capa de baja emisividad térmica incorporada en la cara interior, cámara de gas deshidratada con perfil separador de aluminio y doble sellado perimetral, de 14 mm, rellena de gas argón y vidrio interior STADIP SILENCE de 4+4 mm, compuesto por dos lunas de vidrio laminar de 4 mm unidas mediante dos láminas incoloras de butiral de polivinilo; 28 mm de espesor total, fijado sobre carpintería con acuñado mediante calzos de apoyo perimetrales y laterales, sellado en frío con silicona Sikasil WS-305-N "SIKA", compatible con el material soporte.
Incluye: Colocación, calzado, montaje y ajuste en la carpintería. Sellado final de estanqueidad. Señalización de las hojas.
Criterio de medición de proyecto: Superficie de carpintería a acristalar, según documentación gráfica de Proyecto, incluyendo en cada hoja vidriera las dimensiones del bastidor.
Criterio de medición de obra: Se medirá la superficie realmente ejecutada según especificaciones de Proyecto, sumando, para cada una de las piezas, la superficie resultante de redondear por exceso cada una de sus aristas a múltiplos de 30 mm.</t>
  </si>
  <si>
    <t>Total 05.08.07</t>
  </si>
  <si>
    <t>05.08.08</t>
  </si>
  <si>
    <t>Doble acristalamiento 4+4/14Ar/6 PLANITHERM 4S (STADIP SILENCE)</t>
  </si>
  <si>
    <t>Doble acristalamiento SGG CLIMALIT PLUS PLANITHERM 4S F2 44.2/10 aire/6 "SAINT GOBAIN", conjunto formado por vidrio exterior STADIP SILENCE de 4+4 mm, compuesto por dos lunas de vidrio laminar de 4 mm unidas mediante una lámina incolora de butiral de polivinilo, con capa de control solar y baja emisividad térmica incorporada en la cara interior, cámara de aire deshidratada con perfil separador de aluminio y doble sellado perimetral, de 10 mm, y vidrio interior PLANICLEAR de 6 mm de espesor; 28 mm de espesor total, fijado sobre carpintería con acuñado mediante calzos de apoyo perimetrales y laterales, sellado en frío con silicona Sikasil WS-305-N "SIKA", compatible con el material soporte.
Incluye: Colocación, calzado, montaje y ajuste en la carpintería. Sellado final de estanqueidad. Señalización de las hojas.
Criterio de medición de proyecto: Superficie de carpintería a acristalar, según documentación gráfica de Proyecto, incluyendo en cada hoja vidriera las dimensiones del bastidor.
Criterio de medición de obra: Se medirá la superficie realmente ejecutada según especificaciones de Proyecto, sumando, para cada una de las piezas, la superficie resultante de redondear por exceso cada una de sus aristas a múltiplos de 30 mm.</t>
  </si>
  <si>
    <t>Total 05.08.08</t>
  </si>
  <si>
    <t>05.08.09</t>
  </si>
  <si>
    <t>Total 05.08.09</t>
  </si>
  <si>
    <t>05.08.10</t>
  </si>
  <si>
    <t>Doble acristalamiento 6+6/14Ar/4+4 PLANITHERM 4S</t>
  </si>
  <si>
    <t>Doble acristalamiento SGG CLIMALIT PLUS PLANITHERM 4S F2 66.2/14 argón 90%/44.2 "SAINT GOBAIN", conjunto formado por vidrio exterior STADIP de 6+6 mm, compuesto por dos lunas de vidrio laminar de 6 mm unidas mediante una lámina incolora de butiral de polivinilo, con capa de control solar y baja emisividad térmica incorporada en la cara interior, cámara de gas deshidratada con perfil separador de aluminio y doble sellado perimetral, de 14 mm, rellena de gas argón y vidrio interior STADIP PROTECT de 4+4 mm, compuesto por dos lunas de vidrio laminar de 4 mm unidas mediante dos láminas incoloras de butiral de polivinilo; 34 mm de espesor total, fijado sobre carpintería con acuñado mediante calzos de apoyo perimetrales y laterales, sellado en frío con silicona Sikasil WS-305-N "SIKA", compatible con el material soporte.
Incluye: Colocación, calzado, montaje y ajuste en la carpintería. Sellado final de estanqueidad. Señalización de las hojas.
Criterio de medición de proyecto: Superficie de carpintería a acristalar, según documentación gráfica de Proyecto, incluyendo en cada hoja vidriera las dimensiones del bastidor.
Criterio de medición de obra: Se medirá la superficie realmente ejecutada según especificaciones de Proyecto, sumando, para cada una de las piezas, la superficie resultante de redondear por exceso cada una de sus aristas a múltiplos de 30 mm.</t>
  </si>
  <si>
    <t>Total 05.08.10</t>
  </si>
  <si>
    <t>Total 05.08</t>
  </si>
  <si>
    <t>Total 05</t>
  </si>
  <si>
    <t>06</t>
  </si>
  <si>
    <t>Remates y ayudas</t>
  </si>
  <si>
    <t>06.01</t>
  </si>
  <si>
    <t>Remates</t>
  </si>
  <si>
    <t>06.01.01</t>
  </si>
  <si>
    <t>Recercado de huecos con plancha de aluminio anodizado negro mate Cod. 10M, de 0,6 mm de espesor</t>
  </si>
  <si>
    <t>Recercado de huecos con plancha de aluminio anodizado Negro Mate Cod. 10M, de 0,6 mm de espesor, cortada a medida, fijada con tornillos de acero galvanizado, anclada al paramento, con anclajes mecánicos con taco de nylon y tornillo de acero galvanizado, de cabeza avellanada.
Incluye: Preparación y limpieza de la superficie a revestir. Replanteo de juntas, huecos y encuentros. Replanteo de los perfiles sobre el paramento. Fijación de los perfiles sobre el paramento. Corte y preparación del revestimiento. Colocación y fijación del revestimiento. Resolución del perímetro del revestimiento. Limpieza de la superficie.</t>
  </si>
  <si>
    <t>Despacho</t>
  </si>
  <si>
    <t>Entrada</t>
  </si>
  <si>
    <t>Dsitribuidor</t>
  </si>
  <si>
    <t>Salón/Comedor</t>
  </si>
  <si>
    <t>Distribuidor</t>
  </si>
  <si>
    <t>Acceso</t>
  </si>
  <si>
    <t>Dormitorio 1</t>
  </si>
  <si>
    <t>Estancia</t>
  </si>
  <si>
    <t>Dormitorio 2</t>
  </si>
  <si>
    <t>Dormitorio 3</t>
  </si>
  <si>
    <t>Total 06.01.01</t>
  </si>
  <si>
    <t>06.01.02</t>
  </si>
  <si>
    <t>ud</t>
  </si>
  <si>
    <t>Sellado de pasamuros</t>
  </si>
  <si>
    <t>Sellado de hueco pasamuros de entre 20 y 35 mm de diámetro interior para paso de los tensores del encofrado, en muro de hormigón, con cordón de polietileno expandido de celdas cerradas, de sección circular de 20 mm de diámetro, para fondo de junta; masilla elastómera monocomponente a base de poliuretano, de color gris, aplicada con pistola desde el fondo de junta hacia fuera; y posterior revestimiento con mortero tixotrópico monocomponente, modificado con polímeros, reforzado con fibras de nivelación superficial y fraguado rápido (45 minutos), con una resistencia a compresión a 28 días mayor o igual a 25 N/mm² y una resistencia a la abrasión según el método Böhme UNE-EN 13892-3 de 13,6 cm³ / 50 cm², clase R2 según UNE-EN 1504-3, Euroclase F de reacción al fuego, según UNE-EN 13501-1, Euroclase F de reacción al fuego, según UNE-EN 13501-1.
Incluye el remate exterior visto de cualquier tipo a definir por D.F. y propiedad, se realizarán muestras previamente para posterior decisión.</t>
  </si>
  <si>
    <t>totalidad de la obra</t>
  </si>
  <si>
    <t>Total 06.01.02</t>
  </si>
  <si>
    <t>Total 06.01</t>
  </si>
  <si>
    <t>06.02</t>
  </si>
  <si>
    <t>Ayudas de albañilería</t>
  </si>
  <si>
    <t>06.02.01</t>
  </si>
  <si>
    <t>Repercusión por m² de superficie construida de obra, de ayudas de cualquier trabajo de albañilería, necesarias para la correcta</t>
  </si>
  <si>
    <t>Repercusión por m² de superficie construida de obra, de ayudas de cualquier trabajo de albañilería, necesarias para la correcta ejecución de la instalación audiovisual formada por: sistema colectivo de captación de señales de TV y radio, sistema de interfonía y/o vídeo (placa de calle, módulo amplificador, módulo pulsador, alimentador de audio, monitor de teléfono y abrepuerta), mecanismos y accesorios, con un grado de complejidad medio, en edificio de vivienda unifamiliar. Incluso material auxiliar para la correcta ejecución de los trabajos.
Incluye: Trabajos de apertura y tapado de rozas. Apertura de agujeros en paramentos, falsos techos, muros, forjados y losas, para el paso de instalaciones. Colocación de pasamuros. Colocación y recibido de cajas para elementos empotrados. Sellado de agujeros y huecos de paso de instalaciones.</t>
  </si>
  <si>
    <t>06.02.02</t>
  </si>
  <si>
    <t>Repercusión por m² de superficie construida de obra, de ayudas de cualquier trabajo de albañilería, necesarias para la correcta ejecución de la infraestructura de telecomunicaciones formada por: canalizaciones y registro de enlace, registro de terminación de red, canalización interior de usuario, registros de paso y registros de toma, con un grado de complejidad medio, en edificio de vivienda unifamiliar. Incluso material auxiliar para la correcta ejecución de los trabajos.
Incluye: Trabajos de apertura y tapado de rozas. Apertura de agujeros en paramentos, falsos techos, muros, forjados y losas, para el paso de instalaciones. Colocación de pasamuros. Colocación y recibido de cajas para elementos empotrados. Sellado de agujeros y huecos de paso de instalaciones.</t>
  </si>
  <si>
    <t>06.02.03</t>
  </si>
  <si>
    <t>Repercusión por m² de superficie construida de obra, de ayudas de cualquier trabajo de albañilería, necesarias para la correcta ejecución de la instalación de calefacción formada por: caldera, tuberías de distribución de agua, suelo radiante, y cualquier otro elemento componente de la instalación, con un grado de complejidad medio, en edificio de vivienda unifamiliar. Incluso material auxiliar para la correcta ejecución de los trabajos.
Incluye: Trabajos de apertura y tapado de rozas. Apertura de agujeros en paramentos, falsos techos, muros, forjados y losas, para el paso de instalaciones. Colocación de pasamuros. Colocación y recibido de cajas para elementos empotrados. Sellado de agujeros y huecos de paso de instalaciones.</t>
  </si>
  <si>
    <t>06.02.04</t>
  </si>
  <si>
    <t>Repercusión por m² de superficie construida de obra, de ayudas de cualquier trabajo de albañilería, necesarias para la correcta ejecución de la instalación de salubridad formada por: sistema de evacuación (bajantes interiores y exteriores de aguas pluviales y residuales, canalones, botes sifónicos, colectores suspendidos, sistemas de elevación, derivaciones individuales y cualquier otro elemento componente de la instalación), sistema de ventilación (red de conductos de ventilación, rejillas interiores o exteriores de impulsión o retorno, difusores, compuertas y cualquier otro elemento componente de la instalación que deba recibirse en falsos techos, particiones interiores, suelos técnicos o cerramientos de fachada), con un grado de complejidad medio, en edificio de vivienda unifamiliar. Incluso material auxiliar para la correcta ejecución de los trabajos.
Incluye: Trabajos de apertura y tapado de rozas. Apertura de agujeros en paramentos, falsos techos, muros, forjados y losas, para el paso de instalaciones. Colocación de pasamuros. Colocación y recibido de cajas para elementos empotrados. Tapado de agujeros y huecos de paso de instalaciones.</t>
  </si>
  <si>
    <t>06.02.05</t>
  </si>
  <si>
    <t>Repercusión por m² de superficie construida de obra, de ayudas de cualquier trabajo de albañilería, necesarias para la correcta ejecución de la instalación de fontanería formada por: acometida, tubo de alimentación, contador individual, grupo de presión, depósito, montantes, instalación interior, cualquier otro elemento componente de la instalación, accesorios y piezas especiales, con un grado de complejidad medio, en edificio de vivienda unifamiliar. Incluso material auxiliar para la correcta ejecución de los trabajos.
Incluye: Trabajos de apertura y tapado de rozas. Apertura de agujeros en paramentos, falsos techos, muros, forjados y losas, para el paso de instalaciones. Colocación de pasamuros. Colocación y recibido de cajas para elementos empotrados. Sellado de agujeros y huecos de paso de instalaciones.</t>
  </si>
  <si>
    <t>06.02.06</t>
  </si>
  <si>
    <t>Repercusión por m² de superficie construida de obra, de ayudas de cualquier trabajo de albañilería, necesarias para la correcta ejecución de la instalación de apliques y luminarias para iluminación, con un grado de complejidad medio, en edificio de vivienda unifamiliar. Incluso material auxiliar para la correcta ejecución de los trabajos.
Incluye: Trabajos de apertura y tapado de rozas. Apertura de agujeros en paramentos, falsos techos, muros, forjados y losas, para el paso de instalaciones. Colocación de pasamuros. Colocación y recibido de cajas para elementos empotrados. Sellado de agujeros y huecos de paso de instalaciones.</t>
  </si>
  <si>
    <t>06.02.07</t>
  </si>
  <si>
    <t>Repercusión por m² de superficie construida de obra, de ayudas de cualquier trabajo de albañilería, necesarias para la correcta ejecución de la instalación de ascensor formada por: equipos de montaje, ventilación, alumbrado, extinción de incendios y alarma a realizar sobre paredes, techo, foso del hueco, cuarto de máquinas y poleas, con un grado de complejidad medio, en edificio de vivienda unifamiliar. Incluso material auxiliar para la correcta ejecución de los trabajos.
Incluye: Trabajos de fijación de soporte de guías. Recibido de puertas, luces de alumbrado del hueco, ganchos de fijación y línea telefónica. Apertura y tapado de rozas. Apertura de agujeros en paramentos, forjados y losas, para el paso de instalaciones. Colocación de pasamuros. Colocación y recibido de cajas para elementos empotrados. Sellado de agujeros y huecos de paso de instalaciones.</t>
  </si>
  <si>
    <t>06.02.08</t>
  </si>
  <si>
    <t>Repercusión por m² de superficie construida de obra, de ayudas de cualquier trabajo de albañilería, necesarias para la correcta ejecución de la instalación de protección contra incendios formada por: equipos de detección y alarma, alumbrado de emergencia, equipos de extinción, ventilación, mecanismos y accesorios, con un grado de complejidad medio, en edificio de vivienda unifamiliar. Incluso material auxiliar para la correcta ejecución de los trabajos.
Incluye: Trabajos de apertura y tapado de rozas. Apertura de agujeros en paramentos, falsos techos, muros, forjados y losas, para el paso de instalaciones. Colocación de pasamuros. Colocación y recibido de cajas para elementos empotrados. Sellado de agujeros y huecos de paso de instalaciones.</t>
  </si>
  <si>
    <t>Total 06.02</t>
  </si>
  <si>
    <t>06.03</t>
  </si>
  <si>
    <t>Forrados</t>
  </si>
  <si>
    <t>06.03.01</t>
  </si>
  <si>
    <t>Forrado de conductos para instalaciones, en cubierta inclinada, de 0,25 m² de sección y 1 m de altura, realizado con fábrica de</t>
  </si>
  <si>
    <t>Forrado de conductos para instalaciones, en cubierta inclinada, de 0,25 m² de sección y 1 m de altura, realizado con fábrica de ladrillo cerámico hueco para revestir, recibida y enfoscada exteriormente con mortero de cemento, industrial, M-5.
Incluye: Replanteo y trazado en el forjado de los tabiques a realizar. Colocación y aplomado de miras de referencia. Colocación de los ladrillos, previamente humedecidos, por hiladas enteras. Repaso de juntas y limpieza. Enfoscado de la superficie.</t>
  </si>
  <si>
    <t>Total 06.03</t>
  </si>
  <si>
    <t>06.04</t>
  </si>
  <si>
    <t>Recibidos</t>
  </si>
  <si>
    <t>06.04.01</t>
  </si>
  <si>
    <t>Recibido de plato de ducha de cualquier medida, mediante formación de meseta de elevación con ladrillo cerámico hueco sencillo,</t>
  </si>
  <si>
    <t>Recibido de plato de ducha de obra cualquier medida, mediante formación de meseta
Incluye: Replanteo. Apertura de rozas. Colocación y nivelación del plato de ducha. Protección con tablero aglomerado de madera. Limpieza y eliminación del material sobrante.</t>
  </si>
  <si>
    <t>Total 06.04.01</t>
  </si>
  <si>
    <t>06.04.02</t>
  </si>
  <si>
    <t>Recibido de carpintería de aluminio, acero o PVC, con patillas de anclaje, de hasta 2 m² de superficie, con mortero de cemento,</t>
  </si>
  <si>
    <t>Recibido de carpintería de aluminio, acero o PVC, con patillas de anclaje, de hasta 2 m² de superficie, con mortero de cemento, industrial, con aditivo hidrófugo, M-5.
Incluye: Replanteo. Apertura de huecos para embutir los anclajes. Nivelación y aplomado. Apuntalamiento. Tapado de huecos con mortero.</t>
  </si>
  <si>
    <t>HEA020</t>
  </si>
  <si>
    <t>Recibido de bañera.</t>
  </si>
  <si>
    <t>Recibido de bañera y  formación de faldones con ladrillo cerámico hueco sencillo, recibido con mortero de cemento, industrial, M-5, con enforcado mediante mortero hidrófugo.
Incluye: Replanteo. Apertura de rozas. Retacado con arena. Colocación y nivelación de la bañera. Ejecución de los faldones. Protección con tablero aglomerado de madera. Limpieza y eliminación del material sobrante.
Criterio de medición de proyecto: Número de unidades previstas, según documentación gráfica de Proyecto.
Criterio de medición de obra: Se medirá el número de unidades realmente ejecutadas según especificaciones de Proyecto.</t>
  </si>
  <si>
    <t>Total HEA020</t>
  </si>
  <si>
    <t>Total 06.04</t>
  </si>
  <si>
    <t>06.05</t>
  </si>
  <si>
    <t>Recrecido</t>
  </si>
  <si>
    <t>06.05.01</t>
  </si>
  <si>
    <t>Recrecido pisos mortero cemento</t>
  </si>
  <si>
    <t>Recrecido de pisos para formación de pendiente de espesor mínima de 5 cm con mortero seco para recrecido de suelos, con resistencia a compresión M10, i/maestreado, formación de pendiente mín 5%  y acabado para aplicación de impermeabilizante.</t>
  </si>
  <si>
    <t>cubierta de cuarto de instalaciones</t>
  </si>
  <si>
    <t>Total 06.05.01</t>
  </si>
  <si>
    <t>Total 06.05</t>
  </si>
  <si>
    <t>06.06</t>
  </si>
  <si>
    <t>Limpieza de muro de HA visto</t>
  </si>
  <si>
    <t>06.06.01</t>
  </si>
  <si>
    <t>Limpieza manual de muros de HA</t>
  </si>
  <si>
    <t>Limpieza de superficies de hormigón visto en paramentos verticales y horizontales por medios manuales, mediante un cepillo de púas metálicas, hasta que las superficies queden sólidas y libres de material disgregado y de sustancias tales como aceites, grasas, polvo y cualquier tipo de suciedad que pueda deteriorar la adherencia. Incluyendo todo tipo de medios auxiliares y hasta aprobación de D.F.</t>
  </si>
  <si>
    <t>FACHADAS</t>
  </si>
  <si>
    <t>Lateral 1</t>
  </si>
  <si>
    <t>Lateral 2</t>
  </si>
  <si>
    <t>Frontal 3</t>
  </si>
  <si>
    <t>Frontal 4</t>
  </si>
  <si>
    <t>INTERIORES</t>
  </si>
  <si>
    <t>Muro Tipo 1</t>
  </si>
  <si>
    <t>Muro Tipo 2</t>
  </si>
  <si>
    <t>TECHO DE LOSA</t>
  </si>
  <si>
    <t>PILARES</t>
  </si>
  <si>
    <t>P1</t>
  </si>
  <si>
    <t>P2</t>
  </si>
  <si>
    <t>Total 06.06.01</t>
  </si>
  <si>
    <t>Total 06.06</t>
  </si>
  <si>
    <t>Total 06</t>
  </si>
  <si>
    <t>07</t>
  </si>
  <si>
    <t>Instalaciones</t>
  </si>
  <si>
    <t>07.01</t>
  </si>
  <si>
    <t>Infraestructura de telecomunicaciones</t>
  </si>
  <si>
    <t>07.01.01</t>
  </si>
  <si>
    <t>Suministro e instalación enterrada de canalización externa, entre la arqueta de entrada y el registro de enlace inferior en el i</t>
  </si>
  <si>
    <t>Suministro e instalación enterrada de canalización externa, entre la arqueta de entrada y el registro de enlace inferior en el interior del edificio o directamente en el RITI o RITU, en edificación de hasta 4 PAU, formada por 3 tubos (2 TBA+STDP, 1 reserva) de polietileno de 63 mm de diámetro, suministrado en rollo, resistencia a la compresión 450 N, resistencia al impacto 20 julios, ejecutada en zanja de 45x75 cm, con los tubos embebidos en un prisma de hormigón en masa HM-20/B/20/I con 6 cm de recubrimiento superior e inferior y 5,5 cm de recubrimiento lateral. Incluso soportes separadores de tubos de PVC colocados cada 100 cm e hilo guía.
Incluye: Replanteo del recorrido de la canalización. Refinado de fondos y laterales a mano, con extracción de las tierras. Vertido y compactación del hormigón en formación de solera. Presentación en seco de los tubos. Vertido y compactación del hormigón para formación del prisma.</t>
  </si>
  <si>
    <t>07.01.02</t>
  </si>
  <si>
    <t>Suministro e instalación empotrada de canalización de enlace superior entre el punto de entrada general superior de la vivienda</t>
  </si>
  <si>
    <t>Suministro e instalación empotrada de canalización de enlace superior entre el punto de entrada general superior de la vivienda y el registro de terminación de red, para vivienda unifamiliar, formada por 2 tubos de polipropileno flexible, corrugados de 40 mm de diámetro, resistencia a la compresión 320 N, resistencia al impacto 2 julios. Incluso accesorios, elementos de sujeción e hilo guía.
Incluye: Replanteo del recorrido de la canalización. Colocación y fijación de los tubos. Colocación del hilo guía.</t>
  </si>
  <si>
    <t>07.01.03</t>
  </si>
  <si>
    <t>Suministro e instalación empotrada de canalización secundaria en tramo comunitario, entre el registro secundario y el registro d</t>
  </si>
  <si>
    <t>Suministro e instalación empotrada de canalización secundaria en tramo comunitario, entre el registro secundario y el registro de terminación de red en el interior de la vivienda, en edificación de hasta 2 PAU, formada por 4 tubos (1 RTV, 1 cable de pares o cable de pares trenzados, 1 cable coaxial, 1 cable de fibra óptica) de PVC flexible, corrugados, reforzados de 32 mm de diámetro, resistencia a la compresión 320 N, resistencia al impacto 2 julios. Incluso accesorios, elementos de sujeción e hilo guía.
Incluye: Replanteo del recorrido de la canalización. Colocación y fijación de los tubos. Colocación del hilo guía.</t>
  </si>
  <si>
    <t>07.01.04</t>
  </si>
  <si>
    <t>Suministro e instalación empotrada de registro de terminación de red, formado por caja de plástico para disposición del equipami</t>
  </si>
  <si>
    <t>Suministro e instalación empotrada de registro de terminación de red, formado por caja de plástico para disposición del equipamiento principalmente en vertical, de 500x600x80 mm. Incluso tapa, accesorios, piezas especiales y fijaciones.
Incluye: Replanteo. Colocación y fijación de la caja.</t>
  </si>
  <si>
    <t>Total 07.01</t>
  </si>
  <si>
    <t>07.02</t>
  </si>
  <si>
    <t>Audiovisuales</t>
  </si>
  <si>
    <t>07.02.01</t>
  </si>
  <si>
    <t>Mástil para fijación de 3 antenas, de tubo de acero con tratamiento anticorrosión, de 3 m de altura, 40 mm de diámetro y 2 mm de</t>
  </si>
  <si>
    <t>Mástil para fijación de 3 antenas, de tubo de acero con tratamiento anticorrosión, de 3 m de altura, 40 mm de diámetro y 2 mm de espesor. Incluso anclajes y cuantos accesorios sean necesarios para su correcta instalación.
Incluye: Replanteo. Montaje.</t>
  </si>
  <si>
    <t>07.02.02</t>
  </si>
  <si>
    <t>Antena exterior FM, circular, para captación de señales de radiodifusión sonora analógica procedentes de emisiones terrenales, d</t>
  </si>
  <si>
    <t>Antena exterior FM, circular, para captación de señales de radiodifusión sonora analógica procedentes de emisiones terrenales, de 0 dB de ganancia y 500 mm de longitud. Incluso anclajes y cuantos accesorios sean necesarios para su correcta instalación.
Incluye: Replanteo.</t>
  </si>
  <si>
    <t>07.02.03</t>
  </si>
  <si>
    <t>Antena exterior DAB para captación de señales de radiodifusión sonora digital procedentes de emisiones terrenales, de 1 elemento</t>
  </si>
  <si>
    <t>Antena exterior DAB para captación de señales de radiodifusión sonora digital procedentes de emisiones terrenales, de 1 elemento, 0 dB de ganancia, 15 dB de relación D/A y 555 mm de longitud. Incluso anclajes y cuantos accesorios sean necesarios para su correcta instalación.
Incluye: Replanteo.</t>
  </si>
  <si>
    <t>07.02.04</t>
  </si>
  <si>
    <t>Antena exterior UHF para captación de señales de televisión analógica, televisión digital terrestre (TDT) y televisión de alta d</t>
  </si>
  <si>
    <t>Antena exterior UHF para captación de señales de televisión analógica, televisión digital terrestre (TDT) y televisión de alta definición (HDTV) procedentes de emisiones terrenales, canales del 21 al 60, de 13 elementos, 13 dB de ganancia, 25 dB de relación D/A. Incluso anclajes y cuantos accesorios sean necesarios para su correcta instalación.
Incluye: Replanteo.</t>
  </si>
  <si>
    <t>07.02.05</t>
  </si>
  <si>
    <t>Amplificador de mástil, de 3 entradas, BI/FM/BIII-UHF-FI, de 35 dB de ganancia máxima. Incluso conectores tipo "F", fuente de al</t>
  </si>
  <si>
    <t>Amplificador de mástil, de 3 entradas, BI/FM/BIII-UHF-FI, de 35 dB de ganancia máxima. Incluso conectores tipo "F", fuente de alimentación, carga resistiva y cuantos accesorios sean necesarios para su correcta instalación.
Incluye: Montaje, conexionado y comprobación de su correcto funcionamiento.</t>
  </si>
  <si>
    <t>07.02.06</t>
  </si>
  <si>
    <t>Cable coaxial RG-6 de 75 Ohm de impedancia característica media, reacción al fuego clase Eca, con conductor central de cobre de</t>
  </si>
  <si>
    <t>Cable coaxial RG-6 de 75 Ohm de impedancia característica media, reacción al fuego clase Eca, con conductor central de cobre de 1,15 mm de diámetro, dieléctrico de polietileno celular, pantalla de cinta de aluminio/polipropileno/aluminio, malla de hilos trenzados de cobre y cubierta exterior de PVC de 6,9 mm de diámetro de color blanco. Incluso accesorios y elementos de sujeción.
Incluye: Tendido de cables.</t>
  </si>
  <si>
    <t>07.02.07</t>
  </si>
  <si>
    <t>Cable coaxial RG-6 de 75 Ohm de impedancia característica media, reacción al fuego clase Fca, con conductor central de cobre de</t>
  </si>
  <si>
    <t>Cable coaxial RG-6 de 75 Ohm de impedancia característica media, reacción al fuego clase Fca, con conductor central de cobre de 1,15 mm de diámetro, dieléctrico de polietileno celular, pantalla de cinta de aluminio/polipropileno/aluminio, malla de hilos trenzados de cobre y cubierta exterior de PE de 6,9 mm de diámetro de color negro. Incluso accesorios y elementos de sujeción.
Incluye: Tendido de cables.</t>
  </si>
  <si>
    <t>Red exterior</t>
  </si>
  <si>
    <t>Total 07.02.07</t>
  </si>
  <si>
    <t>07.02.08</t>
  </si>
  <si>
    <t>Distribuidor de 5-2400 MHz de 6 salidas con punto de acceso a usuario (PAU), de 11,5 dB de pérdidas de inserción a 850 MHz y 14</t>
  </si>
  <si>
    <t>Distribuidor de 5-2400 MHz de 6 salidas con punto de acceso a usuario (PAU), de 11,5 dB de pérdidas de inserción a 850 MHz y 14 dB de pérdidas de inserción a 2150 MHz.
Incluye: Colocación del distribuidor. Conexionado y comprobación de su correcto funcionamiento.</t>
  </si>
  <si>
    <t>07.02.09</t>
  </si>
  <si>
    <t>Toma separadora doble, TV/R-SAT, de 5-2400 MHz, con embellecedor.</t>
  </si>
  <si>
    <t>Toma separadora doble, TV/R-SAT, de 5-2400 MHz, con embellecedor.
Incluye: Montaje, conexionado y comprobación de su correcto funcionamiento.</t>
  </si>
  <si>
    <t>07.02.10</t>
  </si>
  <si>
    <t>Cable rígido U/UTP no propagador de la llama de 4 pares trenzados de cobre, categoría 6, reacción al fuego clase Dca-s2,d2,a2 se</t>
  </si>
  <si>
    <t>Cable rígido U/UTP no propagador de la llama de 4 pares trenzados de cobre, categoría 6, reacción al fuego clase Dca-s2,d2,a2 según UNE-EN 50575, con conductor unifilar de cobre, aislamiento de polietileno y vaina exterior de poliolefina termoplástica LSFH libre de halógenos, con baja emisión de humos y gases corrosivos, de 6,2 mm de diámetro. Incluso accesorios y elementos de sujeción.
Incluye: Tendido de cables.</t>
  </si>
  <si>
    <t>Total 07.02.10</t>
  </si>
  <si>
    <t>07.02.11</t>
  </si>
  <si>
    <t>Toma simple con conector tipo RJ-45 de 8 contactos, categoría 6, marco y embellecedor.</t>
  </si>
  <si>
    <t>Toma simple con conector tipo RJ-45 de 8 contactos, categoría 6, marco y embellecedor.
Incluye: Montaje, conexionado y comprobación de su correcto funcionamiento.</t>
  </si>
  <si>
    <t>07.02.12</t>
  </si>
  <si>
    <t>Instalación de kit de videoportero convencional B/N antivandálico para vivienda unifamiliar compuesto de: placa exterior de call</t>
  </si>
  <si>
    <t>Instalación de kit de videoportero convencional B/N antivandálico para vivienda unifamiliar compuesto de: placa exterior de calle antivandálica con pulsador de llamada y telecámara, fuente de alimentación y monitor con base de conexión. Incluso abrepuertas, visera, cableado y cajas. Integrado en buzon exterior de acero galvanizado en caliente, y empotrado en muro de cierre. Según diseño e indicaciones de D.F.
Incluye: Replanteo y trazado. Colocación y fijación de tubos y cajas. Tendido de cables. Montaje, conexionado y comprobación de su correcto funcionamiento.</t>
  </si>
  <si>
    <t>Total 07.02</t>
  </si>
  <si>
    <t>07.03</t>
  </si>
  <si>
    <t>Calefacción, climatización y A.C.S.</t>
  </si>
  <si>
    <t>07.03.01</t>
  </si>
  <si>
    <t>Punto de llenado formado por 2 m de tubo de polietileno reticulado (PE-Xa), con barrera de oxígeno (EVOH), de 16 mm de diámetro</t>
  </si>
  <si>
    <t>Punto de llenado formado por 2 m de tubo de polietileno reticulado (PE-Xa), con barrera de oxígeno (EVOH), de 16 mm de diámetro exterior y 2 mm de espesor, PN=6 atm, para climatización, colocado superficialmente, con aislamiento mediante coquilla flexible de espuma elastomérica.
Incluye: Replanteo del recorrido de las tuberías, accesorios y piezas especiales. Colocación y fijación de tuberías, accesorios y piezas especiales. Colocación del aislamiento. Realización de pruebas de servicio.</t>
  </si>
  <si>
    <t>Vivienda</t>
  </si>
  <si>
    <t>Total 07.03.01</t>
  </si>
  <si>
    <t>07.03.02</t>
  </si>
  <si>
    <t>Punto de vaciado formado por 2 m de tubo de polietileno reticulado (PE-Xa), con barrera de oxígeno (EVOH), de 25 mm de diámetro</t>
  </si>
  <si>
    <t>Punto de vaciado formado por 2 m de tubo de polietileno reticulado (PE-Xa), con barrera de oxígeno (EVOH), de 25 mm de diámetro exterior y 2,3 mm de espesor, PN=6 atm, para climatización, colocado superficialmente.
Incluye: Replanteo del recorrido de las tuberías, accesorios y piezas especiales. Colocación y fijación de tuberías, accesorios y piezas especiales. Realización de pruebas de servicio.</t>
  </si>
  <si>
    <t>Total 07.03.02</t>
  </si>
  <si>
    <t>07.03.03</t>
  </si>
  <si>
    <t>Bomba circuladora doble, de rotor húmedo, de hierro fundido, con motores de imán permanente, con variadores de frecuencia incorp</t>
  </si>
  <si>
    <t>Bomba circuladora doble, de rotor húmedo, de hierro fundido, con motores de imán permanente, con variadores de frecuencia incorporados y ventilación automática, con cuatro modos de funcionamiento seleccionables desde el panel de control (modo automático, presión proporcional, presión constante y velocidad constante), modelo Ego T 80 "EBARA".
Incluye: Replanteo. Colocación de la bomba de circulación. Conexión a la red de distribución.</t>
  </si>
  <si>
    <t>07.03.04</t>
  </si>
  <si>
    <t>Vaso de expansión, capacidad 5 l.</t>
  </si>
  <si>
    <t>Vaso de expansión, capacidad 5 l.
Incluye: Replanteo del vaso de expansión. Colocación del vaso de expansión. Conexión del vaso de expansión a la red de distribución.</t>
  </si>
  <si>
    <t>Total 07.03.04</t>
  </si>
  <si>
    <t>07.03.05</t>
  </si>
  <si>
    <t>Válvula de 3 vías de 1/2", mezcladora, con actuador de 230 V.</t>
  </si>
  <si>
    <t>Válvula de 3 vías de 1/2", mezcladora, con actuador de 230 V.
Incluye: Replanteo. Colocación de la válvula. Conexión de la válvula a los tubos.</t>
  </si>
  <si>
    <t>07.03.06</t>
  </si>
  <si>
    <t>Purgador automático de aire con boya y rosca de 1/2" de diámetro, cuerpo y tapa de latón.</t>
  </si>
  <si>
    <t>Purgador automático de aire con boya y rosca de 1/2" de diámetro, cuerpo y tapa de latón.
Incluye: Replanteo. Colocación del purgador. Conexionado.</t>
  </si>
  <si>
    <t>07.03.07</t>
  </si>
  <si>
    <t>Sistema de calefacción por suelo radiante compuesto por banda de espuma de polietileno (PE), de 150x10 mm con autonivelante</t>
  </si>
  <si>
    <t>Sistema de calefacción por suelo radiante compuesto por banda de espuma de polietileno (PE), de 150x10 mm, panel portatubos aislante de poliestireno expandido (EPS), de 30 kg/m³ de densidad, de 1450x850 mm y 33 mm de espesor, tubo de polietileno reticulado (PE-Xa) con barrera de oxígeno y capa de protección de polietileno (PE) modificado, de 17 mm de diámetro exterior y 2 mm de espesor, y mortero autonivelante, CA - C20 - F4 según UNE-EN 13813, de 40 a 70 mm de espesor según estancia.
Incluye: Preparación y limpieza de la superficie de apoyo. Replanteo de la instalación. Fijación del zócalo perimetral. Colocación de los paneles. Replanteo de la tubería. Colocación y fijación de las tuberías. Vertido y extendido de la capa de mortero autonivelante. Realización de pruebas de servicio.</t>
  </si>
  <si>
    <t>Total 07.03.07</t>
  </si>
  <si>
    <t>07.03.08</t>
  </si>
  <si>
    <t>Sistema de calefacción por suelo radiante compuesto por banda de espuma de polietileno (PE), de 150x10 mm sin autonivelante</t>
  </si>
  <si>
    <t>Total 07.03.08</t>
  </si>
  <si>
    <t>07.03.09</t>
  </si>
  <si>
    <t>Sistema de regulación de la temperatura para colector, para calefacción, compuesto de centralita, para un máximo de 6 termostato</t>
  </si>
  <si>
    <t>Sistema de regulación de la temperatura para colector, para calefacción, compuesto de centralita, para un máximo de 6 termostatos de control y 8 cabezales electrotérmicos, con comunicación bidireccional vía radio con los termostatos y las sondas, unidad de control con comunicación vía radio y pantalla táctil retroiluminada, para un máximo de 4 centralitas, termostatos digitales, y cabezales electrotérmicos, a 24 V.
Incluye: Colocación, fijación y conexionado eléctrico y de comunicación con todos los elementos que lo demanden en la instalación.</t>
  </si>
  <si>
    <t>Total 07.03.09</t>
  </si>
  <si>
    <t>07.03.10</t>
  </si>
  <si>
    <t>Sistema de regulación de la temperatura para colector, para calefacción, compuesto de centralita, para un máximo de 6 termostatos de control y 8 cabezales electrotérmicos, con comunicación bidireccional vía radio con los termostatos y las sondas, módulo de ampliación para centralita, para un máximo de 6 termostatos de control y 6 cabezales electrotérmicos, unidad de control con comunicación vía radio y pantalla táctil retroiluminada, para un máximo de 4 centralitas, termostatos digitales, y cabezales electrotérmicos, a 24 V.
Incluye: Colocación, fijación y conexionado eléctrico y de comunicación con todos los elementos que lo demanden en la instalación.</t>
  </si>
  <si>
    <t>CC 1</t>
  </si>
  <si>
    <t>Total 07.03.10</t>
  </si>
  <si>
    <t>07.03.11</t>
  </si>
  <si>
    <t>Electrobomba centrífuga, de hierro fundido, de tres velocidades, con una potencia de 0,071 kW.</t>
  </si>
  <si>
    <t>Electrobomba centrífuga, de hierro fundido, de tres velocidades, con una potencia de 0,071 kW.
Incluye: Replanteo. Colocación de la bomba de circulación. Conexión a la red de distribución.</t>
  </si>
  <si>
    <t>07.03.12</t>
  </si>
  <si>
    <t>Chimenea de acero inoxidable de doble pared, diámetro interior de 150 mm, aislamiento de 25 mm y acabado encamisado mediante tub</t>
  </si>
  <si>
    <t>Chimenea de acero inoxidable de doble pared, diámetro interior de 150 mm, aislamiento de 25 mm y acabado encamisado mediante tubi de acero galvanizado de 2 mm.
Incluye: Replanteo . Presentación de los elementos. Montaje y sus accesorios. Conexión al conducto de evacuación.</t>
  </si>
  <si>
    <t>07.03.13</t>
  </si>
  <si>
    <t>Colector para calefacción y refrigeración por suelo radiante.</t>
  </si>
  <si>
    <t>Colector premontado de poliamida reforzada, para 9 circuitos, compuesto de conexiones principales de 1", derivaciones de 3/4", termómetros, purgadores manuales, llave de llenado, llave de vaciado, caudalímetros, tapones terminales y soportes, racores hembra de 16 mm x 3/4" eurocono, válvulas de esfera para cierre del circuito del colector, curvatubos de plástico, montado en armario de acero galvanizado, de 80x850x730 mm con puerta. Totalmente montado, conexionado y probado.
Incluye: Replanteo del emplazamiento del colector. Colocación del armario para el colector. Colocación del colector. Conexión de las tuberías al colector. Conexión del colector a la red de distribución interior o a la caldera. Realización de pruebas de servicio.
Criterio de medición de proyecto: Número de unidades previstas, según documentación gráfica de Proyecto.
Criterio de medición de obra: Se medirá el número de unidades realmente ejecutadas según especificaciones de Proyecto.</t>
  </si>
  <si>
    <t>VIVIENDA</t>
  </si>
  <si>
    <t>Total 07.03.13</t>
  </si>
  <si>
    <t>07.03.14</t>
  </si>
  <si>
    <t>Fancoil de techo con distribución por conductos. Sistema de 2 tubos. Modelo: SD 4-020 ND</t>
  </si>
  <si>
    <t>Fancoil de techo con distribución por conductos. Sistema de 2 tubos. Modelo: SD 4-020 ND. Casa comercial: Saunier Duval. Incluye: Replanteo de la unidad. Fijación y nivelación. Montaje, conexionado y comprobación de su correcto funcionamiento. Criterio de medición de proyecto: Número de unidades previstas, según documentación gráfica de Proyecto. Criterio de medición de obra: Se medirá el número de unidades realmente ejecutadas según especificaciones de Proyecto.</t>
  </si>
  <si>
    <t>Total 07.03.14</t>
  </si>
  <si>
    <t>07.03.15</t>
  </si>
  <si>
    <t>Conducto de lana mineral.</t>
  </si>
  <si>
    <t>Conducto rectangular para la distribución de aire climatizado formado por panel rígido de alta densidad de lana de vidrio, según UNE-EN 14303, revestido por sus dos caras, la exterior con un complejo de aluminio visto + malla de fibra de vidrio + kraft y la interior con un velo de vidrio, de 25 mm de espesor, resistencia térmica 0,75 m²K/W, conductividad térmica 0,032 W/(mK). Incluso codos, derivaciones, embocaduras, soportes metálicos galvanizados, elementos de fijación, sellado de tramos y uniones con cinta autoadhesiva de aluminio, accesorios de montaje y piezas especiales.
Incluye: Replanteo del recorrido de los conductos. Marcado y posterior anclaje de los soportes de los conductos. Montaje y fijación de conductos. Sellado de las uniones. Comprobación de su correcto funcionamiento. Limpieza final.
Criterio de medición de proyecto: Superficie proyectada, según documentación gráfica de Proyecto, calculada como producto del perímetro exterior por la longitud del tramo, medida entre los ejes de los elementos o de los puntos a conectar, sin descontar las piezas especiales.
Criterio de medición de obra: Se medirá la superficie realmente ejecutada según especificaciones de Proyecto.</t>
  </si>
  <si>
    <t>07.03.16</t>
  </si>
  <si>
    <t>Rejilla de impulsión.</t>
  </si>
  <si>
    <t>Rejilla de impulsión, de aluminio extruido, anodizado color natural E6-C-0, con lamas horizontales regulables individualmente, de 225x125 mm, con parte posterior de chapa de acero pintada en color blanco RAL 9005, formada por lamas verticales regulables individualmente y mecanismo de regulación del caudal con lamas acopladas en oposición, accionables desde la parte frontal, fijación mediante tornillos vistos (con marco de montaje de chapa de acero galvanizado), montada en conducto rectangular no metálico. Incluso accesorios de montaje y elementos de fijación.
Incluye: Replanteo. Montaje y fijación de la rejilla.
Criterio de medición de proyecto: Número de unidades previstas, según documentación gráfica de Proyecto.
Criterio de medición de obra: Se medirá el número de unidades realmente ejecutadas según especificaciones de Proyecto.</t>
  </si>
  <si>
    <t>DISTRIBUIDOR 1</t>
  </si>
  <si>
    <t>DESPACHO</t>
  </si>
  <si>
    <t>DORMITORIO PPAL</t>
  </si>
  <si>
    <t>DORMITORIO ANEXO PRINCIPAL</t>
  </si>
  <si>
    <t>Total 07.03.16</t>
  </si>
  <si>
    <t>07.03.17</t>
  </si>
  <si>
    <t>Tubería de distribución de agua fría y caliente de climatización formada por tubo de polietileno reticulado (PE-Xa)</t>
  </si>
  <si>
    <t>Tubería general de distribución de agua fría y caliente de climatización formada por tubo de polietileno reticulado (PE-Xa), con barrera de oxígeno (EVOH), de 20 mm de diámetro exterior y 2 mm de espesor, PN=6 atm, suministrado en rollos, empotrado en la pared, con aislamiento mediante coquilla flexible de espuma elastomérica. Incluso material auxiliar para montaje y sujeción a la obra, accesorios y piezas especiales.
Incluye: Replanteo. Colocación y fijación de tuberías, accesorios y piezas especiales. Colocación del aislamiento. Realización de pruebas de servicio.
Criterio de medición de proyecto: Longitud medida según documentación gráfica de Proyecto.
Criterio de medición de obra: Se medirá la longitud realmente ejecutada según especificaciones de Proyecto.</t>
  </si>
  <si>
    <t>Planta baja</t>
  </si>
  <si>
    <t>Planta 1</t>
  </si>
  <si>
    <t>Total 07.03.17</t>
  </si>
  <si>
    <t>07.03.18</t>
  </si>
  <si>
    <t>Tubería de distribución de agua fría y caliente de climatización formada por tubo de polietileno reticulado (PE-Xa), con barrera de oxígeno (EVOH), de 32 mm de diámetro exterior y 2,9 mm de espesor, PN=6 atm, suministrado en rollos, empotrado en la pared, con aislamiento mediante coquilla flexible de espuma elastomérica. Incluso material auxiliar para montaje y sujeción a la obra, accesorios y piezas especiales.
Incluye: Replanteo. Colocación y fijación de tuberías, accesorios y piezas especiales. Colocación del aislamiento. Realización de pruebas de servicio.
Criterio de medición de proyecto: Longitud medida según documentación gráfica de Proyecto.
Criterio de medición de obra: Se medirá la longitud realmente ejecutada según especificaciones de Proyecto.</t>
  </si>
  <si>
    <t>Planta 2</t>
  </si>
  <si>
    <t>Total 07.03.18</t>
  </si>
  <si>
    <t>07.03.19</t>
  </si>
  <si>
    <t>Tubería de distribución de agua fría y caliente de climatización formada por tubo de polietileno reticulado (PE-Xa), con barrera de oxígeno (EVOH), de 40 mm de diámetro exterior y 3,7 mm de espesor, PN=6 atm, suministrado en rollos, empotrado en la pared, con aislamiento mediante coquilla flexible de espuma elastomérica. Incluso material auxiliar para montaje y sujeción a la obra, accesorios y piezas especiales.
Incluye: Replanteo. Colocación y fijación de tuberías, accesorios y piezas especiales. Colocación del aislamiento. Realización de pruebas de servicio.
Criterio de medición de proyecto: Longitud medida según documentación gráfica de Proyecto.
Criterio de medición de obra: Se medirá la longitud realmente ejecutada según especificaciones de Proyecto.</t>
  </si>
  <si>
    <t>Total 07.03.19</t>
  </si>
  <si>
    <t>07.03.20</t>
  </si>
  <si>
    <t>Tubería de distribución de agua fría y caliente de climatización formada por tubo de polietileno reticulado (PE-Xa), con barrera de oxígeno (EVOH), de 20 mm de diámetro exterior y 2 mm de espesor, PN=6 atm, suministrado en rollos, colocado superficialmente en el exterior del edificio, con aislamiento mediante coquilla de lana de vidrio protegida con emulsión asfáltica recubierta con pintura protectora para aislamiento de color blanco. Incluso material auxiliar para montaje y sujeción a la obra, accesorios y piezas especiales.
Incluye: Replanteo. Colocación y fijación de tuberías, accesorios y piezas especiales. Colocación del aislamiento. Aplicación del revestimiento superficial del aislamiento. Realización de pruebas de servicio.
Criterio de medición de proyecto: Longitud medida según documentación gráfica de Proyecto.
Criterio de medición de obra: Se medirá la longitud realmente ejecutada según especificaciones de Proyecto.</t>
  </si>
  <si>
    <t>Total 07.03.20</t>
  </si>
  <si>
    <t>07.03.21</t>
  </si>
  <si>
    <t>Tubería de distribución de agua fría y caliente de climatización formada por tubo de polietileno reticulado (PE-Xa), con barrera de oxígeno (EVOH), de 40 mm de diámetro exterior y 3,7 mm de espesor, PN=6 atm, suministrado en rollos, colocado superficialmente en el exterior del edificio, con aislamiento mediante coquilla de lana de vidrio protegida con emulsión asfáltica recubierta con pintura protectora para aislamiento de color blanco. Incluso material auxiliar para montaje y sujeción a la obra, accesorios y piezas especiales.
Incluye: Replanteo. Colocación y fijación de tuberías, accesorios y piezas especiales. Colocación del aislamiento. Aplicación del revestimiento superficial del aislamiento. Realización de pruebas de servicio.
Criterio de medición de proyecto: Longitud medida según documentación gráfica de Proyecto.
Criterio de medición de obra: Se medirá la longitud realmente ejecutada según especificaciones de Proyecto.</t>
  </si>
  <si>
    <t>Total 07.03.21</t>
  </si>
  <si>
    <t>07.03.22</t>
  </si>
  <si>
    <t>Equipo aire-agua, bomba de calor aerotérmica, para producción de A.C.S., calefacción y refrigeración.</t>
  </si>
  <si>
    <t>Equipo aire-agua, bomba de calor aerotérmica, para producción de A.C.S., calefacción y refrigeración, modelo Pack Genia Set Max 12 "SAUNIER DUVAL", para gas R-290, alimentación monofásica a 230 V, potencia calorífica 14 kW (temperatura seca de entrada del aire 7°C, temperatura de salida del agua 35°C, salto térmico 5°C), potencia frigorífica 10 kW (temperatura seca de entrada del aire 35°C, temperatura de salida del agua 7°C, salto térmico 5°C), COP 5,38, EER 3,52, SCOP 6,48, SEER 4,61, clase de eficiencia energética A+++, formado por: bomba de calor reversible Genia Air Max HA 12-6 O B3 230V, potencia sonora 58 dBA, dimensiones 1565x1100x450 mm, peso 194 kg, comunicación a dos hilos a través del protocolo Ebus; interacumulador de A.C.S. FW 200-6 de 185 litros de capacidad, perfil de consumo XL, clase de eficiencia energética en A.C.S. A+, potencia sonora 30 dBA, dimensiones 1880x595x693 mm, peso 143 kg, con intercambiador de calor y aislamiento térmico; control MiPro Sense Radio (SRC 720f), vía radio, con control desde smartphone o tablet mediante aplicación para IOS (iPhone e iPad) y Android, regulación de la temperatura de impulsión por curva de calefacción y sonda de temperatura exterior, posibilidad de gestión de una instalación con varios generadores de energía y varios circuitos o zonas de calefacción con módulos adicionales y programación de la climatización mediante esquemas predefinidos utilizando un asistente de configuración; y módulo de conectividad MiGo Link (SR 940f), para control desde smartphone mediante la App MiGo Link y control desde el servicio técnico oficial, de 143x115x26 mm, montaje en pared. Accesorios: acumulador de inercia de 18 l para calefacción; kit de válvulas para la unidad interior; kit hidráulico formado por desacoplador hidráulico y bomba de circulación, para un circuito de calefacción, Kit L10; kit hidráulico con bomba de circulación y válvula mezcladora, para un circuito adicional de calefacción, Kit L11; juego de 2 soportes antivibratorios, de caucho, para la unidad exterior. Totalmente montado, conexionado y puesto en marcha por la empresa instaladora para la comprobación de su correcto funcionamiento.
Incluye: Replanteo de la unidad. Colocación y fijación de la unidad y sus accesorios. Conexionado con las redes de conducción de agua, eléctrica y de recogida de condensados. Puesta en marcha.
Criterio de medición de proyecto: Número de unidades previstas, según documentación gráfica de Proyecto.
Criterio de medición de obra: Se medirá el número de unidades realmente ejecutadas según especificaciones de Proyecto.</t>
  </si>
  <si>
    <t>Total 07.03</t>
  </si>
  <si>
    <t>07.04</t>
  </si>
  <si>
    <t>Eléctricas</t>
  </si>
  <si>
    <t>07.04.01</t>
  </si>
  <si>
    <t>Red de toma de tierra para estructura de hormigón del edificio con 58 m de conductor de cobre desnudo de 35 mm².</t>
  </si>
  <si>
    <t>Red de toma de tierra para estructura de hormigón del edificio con 58 m de conductor de cobre desnudo de 35 mm².
Incluye: Replanteo. Conexionado del electrodo y la línea de enlace. Montaje del punto de puesta a tierra. Trazado de la línea principal de tierra. Sujeción. Trazado de derivaciones de tierra. Conexionado de las derivaciones. Conexión a masa de la red. Realización de pruebas de servicio.</t>
  </si>
  <si>
    <t>07.04.02</t>
  </si>
  <si>
    <t>Red de equipotencialidad en cuarto húmedo.</t>
  </si>
  <si>
    <t>Red de equipotencialidad en cuarto húmedo.
Incluye: Replanteo. Conexionado del electrodo y la línea de enlace. Montaje del punto de puesta a tierra. Trazado de la línea principal de tierra. Sujeción. Trazado de derivaciones de tierra. Conexionado de las derivaciones. Conexión a masa de la red.</t>
  </si>
  <si>
    <t>07.04.03</t>
  </si>
  <si>
    <t>Suministro e instalación fija en superficie de canalización de tubo de PVC, serie B, de 32 mm de diámetro y 3 mm de espesor. Inc</t>
  </si>
  <si>
    <t>Suministro e instalación fija en superficie de canalización de tubo de PVC, serie B, de 32 mm de diámetro y 3 mm de espesor. Incluso accesorios y piezas especiales.
Incluye: Replanteo. Colocación y fijación del tubo.</t>
  </si>
  <si>
    <t>Instalación interior ( (Cuadro de vivienda))</t>
  </si>
  <si>
    <t>Derivación preinstalación coche electrico</t>
  </si>
  <si>
    <t>Total 07.04.03</t>
  </si>
  <si>
    <t>07.04.04</t>
  </si>
  <si>
    <t>Suministro e instalación fija en superficie de canalización de tubo de PVC, serie B, de 40 mm de diámetro y 3 mm de espesor. Inc</t>
  </si>
  <si>
    <t>Suministro e instalación fija en superficie de canalización de tubo de PVC, serie B, de 40 mm de diámetro y 3 mm de espesor. Incluso accesorios y piezas especiales.
Incluye: Replanteo. Colocación y fijación del tubo.</t>
  </si>
  <si>
    <t>Derivación individual ( (Cuadro de vivienda))</t>
  </si>
  <si>
    <t>Total 07.04.04</t>
  </si>
  <si>
    <t>07.04.05</t>
  </si>
  <si>
    <t>Suministro e instalación empotrada en elemento de construcción de obra de fábrica de canalización de tubo curvable de PVC, corru</t>
  </si>
  <si>
    <t>Suministro e instalación empotrada en elemento de construcción de obra de fábrica de canalización de tubo curvable de PVC, corrugado, de color negro, de 16 mm de diámetro nominal, con grado de protección IP545.
Incluye: Replanteo. Colocación y fijación del tubo.</t>
  </si>
  <si>
    <t>Total 07.04.05</t>
  </si>
  <si>
    <t>07.04.06</t>
  </si>
  <si>
    <t>Suministro e instalación empotrada en elemento de construcción de obra de fábrica de canalización de tubo curvable de PVC, corrugado, de color negro, de 20 mm de diámetro nominal, con grado de protección IP545.
Incluye: Replanteo. Colocación y fijación del tubo.</t>
  </si>
  <si>
    <t>Preinstalación seguridad y cámaras de vigilancia</t>
  </si>
  <si>
    <t>Total 07.04.06</t>
  </si>
  <si>
    <t>07.04.07</t>
  </si>
  <si>
    <t>Suministro e instalación empotrada en elemento de construcción de obra de fábrica de canalización de tubo curvable de PVC, corrugado, de color negro, de 25 mm de diámetro nominal, con grado de protección IP545.
Incluye: Replanteo. Colocación y fijación del tubo.</t>
  </si>
  <si>
    <t>Total 07.04.07</t>
  </si>
  <si>
    <t>07.04.08</t>
  </si>
  <si>
    <t>Suministro e instalación en conducto de obra de fábrica (no incluido en este precio) de canalización de tubo curvable, suministr</t>
  </si>
  <si>
    <t>Suministro e instalación en conducto de obra de fábrica (no incluido en este precio) de canalización de tubo curvable, suministrado en rollo, de polietileno de doble pared (interior lisa y exterior corrugada), de color naranja, de 40 mm de diámetro nominal, resistencia a la compresión 450 N.
Incluye: Replanteo. Colocación y fijación del tubo.</t>
  </si>
  <si>
    <t>Total 07.04.08</t>
  </si>
  <si>
    <t>07.04.09</t>
  </si>
  <si>
    <t>Cable unipolar ES07Z1-K (AS), reacción al fuego clase Cca-s1b,d1,a1, con conductor multifilar de cobre clase 5 (-K) de 10 mm² de</t>
  </si>
  <si>
    <t>Cable unipolar ES07Z1-K (AS), reacción al fuego clase Cca-s1b,d1,a1, con conductor multifilar de cobre clase 5 (-K) de 10 mm² de sección, con aislamiento de compuesto termoplástico a base de poliolefina libre de halógenos con baja emisión de humos y gases corrosivos (Z1).
Incluye: Tendido del cable. Conexionado.</t>
  </si>
  <si>
    <t>Total 07.04.09</t>
  </si>
  <si>
    <t>07.04.10</t>
  </si>
  <si>
    <t>Cable unipolar H07V-K, siendo su tensión asignada de 450/750 V, reacción al fuego clase Eca, con conductor multifilar de cobre c</t>
  </si>
  <si>
    <t>Cable unipolar H07V-K, siendo su tensión asignada de 450/750 V, reacción al fuego clase Eca, con conductor multifilar de cobre clase 5 (-K) de 1,5 mm² de sección, con aislamiento de PVC (V).
Incluye: Tendido del cable. Conexionado.</t>
  </si>
  <si>
    <t>Total 07.04.10</t>
  </si>
  <si>
    <t>07.04.11</t>
  </si>
  <si>
    <t>Cable unipolar H07V-K, siendo su tensión asignada de 450/750 V, reacción al fuego clase Eca, con conductor multifilar de cobre clase 5 (-K) de 2,5 mm² de sección, con aislamiento de PVC (V).
Incluye: Tendido del cable. Conexionado.</t>
  </si>
  <si>
    <t>Total 07.04.11</t>
  </si>
  <si>
    <t>07.04.12</t>
  </si>
  <si>
    <t>Cable unipolar H07V-K, siendo su tensión asignada de 450/750 V, reacción al fuego clase Eca, con conductor multifilar de cobre clase 5 (-K) de 4 mm² de sección, con aislamiento de PVC (V).
Incluye: Tendido del cable. Conexionado.</t>
  </si>
  <si>
    <t>Total 07.04.12</t>
  </si>
  <si>
    <t>07.04.13</t>
  </si>
  <si>
    <t>Cable unipolar H07V-K, siendo su tensión asignada de 450/750 V, reacción al fuego clase Eca, con conductor multifilar de cobre clase 5 (-K) de 6 mm² de sección, con aislamiento de PVC (V).
Incluye: Tendido del cable. Conexionado.</t>
  </si>
  <si>
    <t>Total 07.04.13</t>
  </si>
  <si>
    <t>07.04.14</t>
  </si>
  <si>
    <t>Caja de protección y medida CPM1-S2, de hasta 63 A de intensidad, para 1 contador monofásico, instalada en el interior de hornac</t>
  </si>
  <si>
    <t>Caja de protección y medida CPM1-S2, de hasta 63 A de intensidad, para 1 contador monofásico, instalada en el interior de hornacina mural, en vivienda unifamiliar o local.
Incluye: Replanteo de la situación de los conductos y anclajes de la caja. Fijación. Colocación de tubos y piezas especiales. Conexionado.</t>
  </si>
  <si>
    <t>CPM-1</t>
  </si>
  <si>
    <t>Total 07.04.14</t>
  </si>
  <si>
    <t>07.04.15</t>
  </si>
  <si>
    <t>Cuadro de vivienda formado por caja de material aislante y los dispositivos de mando y protección.</t>
  </si>
  <si>
    <t>Cuadro de vivienda formado por caja de material aislante y los dispositivos de mando y protección.
dejar previsión para circuito de carga de coche electrico.
Incluye: Replanteo. Colocación de la caja para el cuadro. Conexionado. Montaje de los componentes.</t>
  </si>
  <si>
    <t xml:space="preserve"> (Cuadro de vivienda)</t>
  </si>
  <si>
    <t>Total 07.04.15</t>
  </si>
  <si>
    <t>07.04.16</t>
  </si>
  <si>
    <t>Componentes para la red eléctrica de distribución interior de vivienda: mecanismos jung 990ls blanco</t>
  </si>
  <si>
    <t>Componentes para la red eléctrica de distribución interior de vivienda: mecanismos jung 990ls; cajas de empotrar con tornillos de fijación, cajas de derivación con tapas y regletas de conexión.
Incluye: Colocación de cajas de derivación y de empotrar. Colocación de mecanismos.</t>
  </si>
  <si>
    <t>Total 07.04.16</t>
  </si>
  <si>
    <t>07.04.17</t>
  </si>
  <si>
    <t>Canalización para cableado de televisión oculto en trasdosado de yeso laminado</t>
  </si>
  <si>
    <t>Canalización de PVC, para ocultación de cableado de televisión en trasdosado de yeso laminado, resistencia a la compresión 750 N, resistencia al impacto 2 julios, con grado de protección IP44. Instalación fija en superficie.
Incluye: Embellecedor pasacables, Replanteo. Colocación y fijación del tubo. 
Totalmente ramatado.</t>
  </si>
  <si>
    <t>ocultación yeso laminado</t>
  </si>
  <si>
    <t>Total 07.04.17</t>
  </si>
  <si>
    <t>Total 07.04</t>
  </si>
  <si>
    <t>07.05</t>
  </si>
  <si>
    <t>Fontanería</t>
  </si>
  <si>
    <t>07.05.01</t>
  </si>
  <si>
    <t>Acometida enterrada de abastecimiento de agua potable de 6,69 m de longitud, formada por tubo de polietileno PE 100, de 25 mm de</t>
  </si>
  <si>
    <t>Acometida enterrada de abastecimiento de agua potable de 6,69 m de longitud, formada por tubo de polietileno PE 100, de 25 mm de diámetro exterior, PN=16 atm y 2,3 mm de espesor y llave de corte alojada en arqueta prefabricada de polipropileno.
Incluye: Replanteo y trazado de la acometida, coordinado con el resto de instalaciones o elementos que puedan tener interferencias. Rotura del pavimento con compresor. Eliminación de las tierras sueltas del fondo de la excavación. Vertido y compactación del hormigón en formación de solera. Colocación de la arqueta prefabricada. Vertido de la arena en el fondo de la zanja. Colocación de la tubería. Montaje de la llave de corte. Colocación de la tapa. Ejecución del relleno envolvente. Empalme de la acometida con la red general del municipio. Realización de pruebas de servicio.</t>
  </si>
  <si>
    <t>07.05.02</t>
  </si>
  <si>
    <t>Alimentación de agua potable, de 9,43 m de longitud, enterrada, formada por tubo de polietileno PE 100, de color negro con banda</t>
  </si>
  <si>
    <t>Alimentación de agua potable, de 9,43 m de longitud, enterrada, formada por tubo de polietileno PE 100, de color negro con bandas de color azul, de 25 mm de diámetro exterior y 2,3 mm de espesor, SDR11, PN=16 atm.
Incluye: Replanteo y trazado. Eliminación de las tierras sueltas del fondo de la excavación. Vertido de la arena en el fondo de la zanja. Colocación de la tubería. Ejecución del relleno envolvente. Realización de pruebas de servicio.</t>
  </si>
  <si>
    <t>Tubería de agua fría</t>
  </si>
  <si>
    <t>Total 07.05.02</t>
  </si>
  <si>
    <t>07.05.03</t>
  </si>
  <si>
    <t>Preinstalación de contador general de agua de 1" DN 25 mm, colocado en hornacina, con llave de corte general de compuerta.</t>
  </si>
  <si>
    <t>Preinstalación de contador general de agua de 1" DN 25 mm, colocado en hornacina, con llave de corte general de compuerta.
Incluye: Replanteo. Colocación y fijación de accesorios y piezas especiales. Conexionado.</t>
  </si>
  <si>
    <t>07.05.04</t>
  </si>
  <si>
    <t>Tubería para instalación interior de fontanería, colocada superficialmente, formada por tubo de polietileno reticulado (PE-Xa),</t>
  </si>
  <si>
    <t>Tubería para instalación interior de fontanería, colocada superficialmente, formada por tubo de polietileno reticulado (PE-Xa), serie 5, de 16 mm de diámetro exterior, PN=6 atm.
Incluye: Replanteo y trazado. Colocación y fijación de tubo y accesorios. Realización de pruebas de servicio.</t>
  </si>
  <si>
    <t>Tubería de agua caliente</t>
  </si>
  <si>
    <t>Total 07.05.04</t>
  </si>
  <si>
    <t>07.05.05</t>
  </si>
  <si>
    <t>Tubería para instalación interior de fontanería, colocada superficialmente, formada por tubo de polietileno reticulado (PE-Xa), serie 5, de 20 mm de diámetro exterior, PN=6 atm.
Incluye: Replanteo y trazado. Colocación y fijación de tubo y accesorios. Realización de pruebas de servicio.</t>
  </si>
  <si>
    <t>Tubería de retorno de agua caliente sanitaria</t>
  </si>
  <si>
    <t>Total 07.05.05</t>
  </si>
  <si>
    <t>07.05.06</t>
  </si>
  <si>
    <t>Tubería para instalación interior de fontanería, colocada superficialmente, formada por tubo de polietileno reticulado (PE-Xa), serie 5, de 25 mm de diámetro exterior, PN=6 atm.
Incluye: Replanteo y trazado. Colocación y fijación de tubo y accesorios. Realización de pruebas de servicio.</t>
  </si>
  <si>
    <t>Total 07.05.06</t>
  </si>
  <si>
    <t>07.05.07</t>
  </si>
  <si>
    <t>Tubería para instalación interior de fontanería, colocada superficialmente, formada por tubo de polietileno reticulado (PE-Xa), serie 5, de 32 mm de diámetro exterior, PN=6 atm.
Incluye: Replanteo y trazado. Colocación y fijación de tubo y accesorios. Realización de pruebas de servicio.</t>
  </si>
  <si>
    <t>Total 07.05.07</t>
  </si>
  <si>
    <t>07.05.08</t>
  </si>
  <si>
    <t>Válvula de asiento de latón, de 3/4" de diámetro, con maneta y embellecedor de acero inoxidable.</t>
  </si>
  <si>
    <t>Válvula de asiento de latón, de 3/4" de diámetro, con maneta y embellecedor de acero inoxidable.
Incluye: Replanteo. Conexión de la válvula a los tubos.</t>
  </si>
  <si>
    <t>Llave de local húmedo</t>
  </si>
  <si>
    <t>Total 07.05.08</t>
  </si>
  <si>
    <t>07.05.09</t>
  </si>
  <si>
    <t>Válvula de asiento de latón, de 1" de diámetro, con maneta y embellecedor de acero inoxidable.</t>
  </si>
  <si>
    <t>Válvula de asiento de latón, de 1" de diámetro, con maneta y embellecedor de acero inoxidable.
Incluye: Replanteo. Conexión de la válvula a los tubos.</t>
  </si>
  <si>
    <t>Válvula de corte</t>
  </si>
  <si>
    <t>Total 07.05.09</t>
  </si>
  <si>
    <t>Total 07.05</t>
  </si>
  <si>
    <t>07.06</t>
  </si>
  <si>
    <t>Contra incendios</t>
  </si>
  <si>
    <t>07.06.01</t>
  </si>
  <si>
    <t>Extintor portátil de polvo químico ABC polivalente antibrasa, con presión incorporada, de eficacia 21A-144B-C, con 6 kg de agent</t>
  </si>
  <si>
    <t>Extintor portátil de polvo químico ABC polivalente antibrasa, con presión incorporada, de eficacia 21A-144B-C, con 6 kg de agente extintor, con manómetro y manguera con boquilla difusora. Incluso soporte y accesorios de montaje.
Incluye: Replanteo. Colocación y fijación del soporte. Colocación del extintor.</t>
  </si>
  <si>
    <t>Total 07.06.01</t>
  </si>
  <si>
    <t>07.06.02</t>
  </si>
  <si>
    <t>Suministro e instalación en superficie en garaje de luminaria de emergencia estanca, con tubo lineal fluorescente, 8 W - G5, flu</t>
  </si>
  <si>
    <t>Suministro e instalación en superficie en garaje de luminaria de emergencia estanca, con tubo lineal fluorescente, 8 W - G5, flujo luminoso 100 lúmenes, carcasa de 405x134x134 mm, clase I, IP65, con baterías de Ni-Cd de alta temperatura, autonomía de 1 h, alimentación a 230 V, tiempo de carga 24 h. Incluso accesorios y elementos de fijación.
Incluye: Replanteo. Fijación y nivelación. Montaje, conexionado y comprobación de su correcto funcionamiento.</t>
  </si>
  <si>
    <t>Total 07.06</t>
  </si>
  <si>
    <t>07.07</t>
  </si>
  <si>
    <t>Evacuación de aguas</t>
  </si>
  <si>
    <t>07.07.01</t>
  </si>
  <si>
    <t>Bajante interior de la red de evacuación de aguas residuales, formada por tubo de PVC, serie B, de 110 mm de diámetro y 3,2 mm d</t>
  </si>
  <si>
    <t>Bajante interior de la red de evacuación de aguas residuales, formada por tubo de PVC, serie B, de 110 mm de diámetro y 3,2 mm de espesor; unión pegada con adhesivo. Incluso líquido limpiador, adhesivo para tubos y accesorios de PVC, material auxiliar para montaje y sujeción a la obra, accesorios y piezas especiales.
Incluye: Replanteo del recorrido de la bajante y de la situación de los elementos de sujeción. Presentación en seco de los tubos. Fijación del material auxiliar para montaje y sujeción a la obra. Montaje, conexionado y comprobación de su correcto funcionamiento. Realización de pruebas de servicio.</t>
  </si>
  <si>
    <t>07.07.02</t>
  </si>
  <si>
    <t>Sombrerete de ventilación de PVC, de 110 mm de diámetro, para tubería de ventilación, conectado al extremo superior de la bajant</t>
  </si>
  <si>
    <t>Sombrerete de ventilación de PVC, de 110 mm de diámetro, para tubería de ventilación, conectado al extremo superior de la bajante con unión pegada con adhesivo. Incluso líquido limpiador y adhesivo para tubos y accesorios de PVC.
Incluye: Replanteo. Montaje y conexionado.</t>
  </si>
  <si>
    <t>07.07.03</t>
  </si>
  <si>
    <t>Canalón cuadrado de zinctitanio, natural, de desarrollo 470 mm, 0,65 mm de espesor y recorte de baquetón.</t>
  </si>
  <si>
    <t>Canalón cuadrado de zinctitanio, natural, de desarrollo 470 mm, 0,65 mm de espesor y recorte de baquetón.
Incluye: Replanteo del recorrido del canalón y de la situación de los elementos de sujeción. Fijación del material auxiliar para montaje y sujeción a la obra. Montaje, conexionado y comprobación de su correcto funcionamiento.</t>
  </si>
  <si>
    <t>07.07.04</t>
  </si>
  <si>
    <t>Red de pequeña evacuación, empotrada, de PVC, serie B, de 32 mm de diámetro, unión pegada con adhesivo.</t>
  </si>
  <si>
    <t>Red de pequeña evacuación, empotrada, de PVC, serie B, de 32 mm de diámetro, unión pegada con adhesivo.
Incluye: Replanteo del recorrido de la tubería y de la situación de los elementos de sujeción. Presentación de tubos. Fijación del material auxiliar para montaje y sujeción a la obra. Montaje, conexionado y comprobación de su correcto funcionamiento. Realización de pruebas de servicio.</t>
  </si>
  <si>
    <t>07.07.05</t>
  </si>
  <si>
    <t>Red de pequeña evacuación, empotrada, de PVC, serie B, de 40 mm de diámetro, unión pegada con adhesivo.</t>
  </si>
  <si>
    <t>Red de pequeña evacuación, empotrada, de PVC, serie B, de 40 mm de diámetro, unión pegada con adhesivo.
Incluye: Replanteo del recorrido de la tubería y de la situación de los elementos de sujeción. Presentación de tubos. Fijación del material auxiliar para montaje y sujeción a la obra. Montaje, conexionado y comprobación de su correcto funcionamiento. Realización de pruebas de servicio.</t>
  </si>
  <si>
    <t>07.07.06</t>
  </si>
  <si>
    <t>Red de pequeña evacuación, empotrada, de PVC, serie B, de 75 mm de diámetro, unión pegada con adhesivo.</t>
  </si>
  <si>
    <t>Red de pequeña evacuación, empotrada, de PVC, serie B, de 75 mm de diámetro, unión pegada con adhesivo.
Incluye: Replanteo del recorrido de la tubería y de la situación de los elementos de sujeción. Presentación de tubos. Fijación del material auxiliar para montaje y sujeción a la obra. Montaje, conexionado y comprobación de su correcto funcionamiento. Realización de pruebas de servicio.</t>
  </si>
  <si>
    <t>07.07.07</t>
  </si>
  <si>
    <t>Red de pequeña evacuación, empotrada, de PVC, serie B, de 110 mm de diámetro, unión pegada con adhesivo.</t>
  </si>
  <si>
    <t>Red de pequeña evacuación, empotrada, de PVC, serie B, de 110 mm de diámetro, unión pegada con adhesivo.
Incluye: Replanteo del recorrido de la tubería y de la situación de los elementos de sujeción. Presentación de tubos. Fijación del material auxiliar para montaje y sujeción a la obra. Montaje, conexionado y comprobación de su correcto funcionamiento. Realización de pruebas de servicio.</t>
  </si>
  <si>
    <t>07.07.08</t>
  </si>
  <si>
    <t>Bote sifónico de PVC, de 110 mm de diámetro, con tapa ciega de acero inoxidable, empotrado.</t>
  </si>
  <si>
    <t>Bote sifónico de PVC, de 110 mm de diámetro, con tapa ciega de acero inoxidable, empotrado.
Incluye: Montaje, conexionado y comprobación de su correcto funcionamiento. Realización de pruebas de servicio.</t>
  </si>
  <si>
    <t>Total 07.07</t>
  </si>
  <si>
    <t>07.08</t>
  </si>
  <si>
    <t>Transporte</t>
  </si>
  <si>
    <t>07.08.01</t>
  </si>
  <si>
    <t>Ascensor eléctrico (potencia 850W) sin cuarto de máquinas de frecuencia variable de 0,15 m/s de velocidad, 3 paradas, 320 kg de</t>
  </si>
  <si>
    <t>Ascensor eléctrico (potencia 850W) sin cuarto de máquinas de frecuencia variable de 0,15 m/s de velocidad, 3 paradas, 320 kg de carga nominal, con capacidad para 4 personas, acabado en cabina de 780x1200x2200 mm mediante suelo vinílico o granito y pasamanos frente al mandador, maniobra universal simple, puertas interiores automáticas de acero inoxidable y puertas exteriores automáticas en acero inoxidable de 800x2000 mm.
Incluye: Replanteo de guías y niveles. Colocación de los puntos de fijación. Instalación de las lámparas de alumbrado del hueco. Montaje de guías, cables de tracción y pasacables. Colocación de los amortiguadores de foso. Colocación de contrapesos. Presentación de las puertas de acceso. Montaje del grupo tractor. Montaje del cuadro y conexión del cable de maniobra. Montaje del bastidor, el chasis y las puertas de cabina con sus acabados. Instalación del limitador de velocidad y el paracaídas. Instalación de las botoneras de piso y de cabina. Instalación del selector de paradas. Conexionado con la red eléctrica. Instalación de la línea telefónica y de los sistemas de seguridad. Comprobación de su correcto funcionamiento.</t>
  </si>
  <si>
    <t>Total 07.08</t>
  </si>
  <si>
    <t>07.09</t>
  </si>
  <si>
    <t>Ventilación</t>
  </si>
  <si>
    <t>07.09.01</t>
  </si>
  <si>
    <t>Suministro y montaje de aireador de admisión graduable, de aluminio lacado en color a elegir de la carta RAL, caudal máximo 10 l</t>
  </si>
  <si>
    <t>Suministro y montaje de aireador de admisión graduable, de aluminio lacado en color a elegir de la carta RAL, caudal máximo 10 l/s, de 1200x80x12 mm, con abertura de 800x12 mm, aislamiento acústico de 39 dBA y filtro antipolución. Incluso elementos de fijación.
Incluye: Replanteo. Montaje. Colocación y fijación del aireador encima de la carpintería.</t>
  </si>
  <si>
    <t>SALÓN/COMEDOR</t>
  </si>
  <si>
    <t>DORMITORIO 1</t>
  </si>
  <si>
    <t>DORMITORIO 2</t>
  </si>
  <si>
    <t>DORMITORIO 3</t>
  </si>
  <si>
    <t>Total 07.09.01</t>
  </si>
  <si>
    <t>07.09.02</t>
  </si>
  <si>
    <t>Suministro y montaje de boca de extracción, autorregulable, caudal máximo 21 l/s, aislamiento acústico de 39,8 dBA formada por r</t>
  </si>
  <si>
    <t>Suministro y montaje de boca de extracción, autorregulable, caudal máximo 21 l/s, aislamiento acústico de 39,8 dBA formada por rejilla color blanco, cuerpo de plástico color blanco de 150x33x150 mm con cuello de conexión de 125 mm de diámetro, junta de caucho y regulador de plástico con membrana de silicona y muelle de recuperación. Incluso elementos de fijación.
Incluye: Replanteo. Montaje. Colocación y fijación del elemento al conducto de extracción.</t>
  </si>
  <si>
    <t>ASEO</t>
  </si>
  <si>
    <t>LAVADERO/DESPENSA</t>
  </si>
  <si>
    <t>BAÑO D1</t>
  </si>
  <si>
    <t>BAÑO GENERAL</t>
  </si>
  <si>
    <t>Total 07.09.02</t>
  </si>
  <si>
    <t>07.09.03</t>
  </si>
  <si>
    <t>Suministro y montaje de boca de extracción, autorregulable, caudal máximo 25 l/s, aislamiento acústico de 56 dBA formada por rej</t>
  </si>
  <si>
    <t>Suministro y montaje de boca de extracción, autorregulable, caudal máximo 25 l/s, aislamiento acústico de 56 dBA formada por rejilla, cuerpo de plástico color blanco de 170 mm de diámetro exterior con cuello de conexión de 125 mm de diámetro y regulador de plástico. Incluso elementos de fijación.
Incluye: Replanteo. Montaje. Colocación y fijación del elemento al conducto de extracción.</t>
  </si>
  <si>
    <t>COCINA</t>
  </si>
  <si>
    <t>Total 07.09.03</t>
  </si>
  <si>
    <t>07.09.04</t>
  </si>
  <si>
    <t>Suministro e instalación en el extremo exterior del conducto de extracción (boca de expulsión) de ventilador helicoidal para tej</t>
  </si>
  <si>
    <t>Suministro e instalación en el extremo exterior del conducto de extracción (boca de expulsión) de ventilador helicoidal para tejado, con hélice de plástico reforzada con fibra de vidrio, cuerpo y sombrerete de aluminio, base de acero galvanizado y motor para alimentación monofásica a 230 V y 50 Hz de frecuencia, con protección térmica, aislamiento clase F, grado de protección IP65, de 835 r.p.m., potencia absorbida 0,22 kW, caudal máximo 3900 m³/h, nivel de presión sonora 52 dBA, con malla de protección contra la entrada de hojas y pájaros, para conducto de extracción de 450 mm de diámetro. Incluso accesorios y elementos de fijación.
Incluye: Replanteo. Colocación y fijación. Conexionado y comprobación de su correcto funcionamiento.</t>
  </si>
  <si>
    <t>1-VEM</t>
  </si>
  <si>
    <t>Total 07.09.04</t>
  </si>
  <si>
    <t>07.09.05</t>
  </si>
  <si>
    <t>Suministro e instalación de campana extractora convencional con 1 motor de aspiración, con tramo de conexión de tubo flexible de</t>
  </si>
  <si>
    <t>Suministro e instalación de campana extractora convencional con 1 motor de aspiración, con tramo de conexión de tubo flexible de aluminio a conducto de extracción para salida de humos. Incluso elementos de fijación.
Incluye: Replanteo mediante plantilla. Colocación y fijación. Conexionado y comprobación de su correcto funcionamiento.</t>
  </si>
  <si>
    <t>Total 07.09.05</t>
  </si>
  <si>
    <t>07.09.06</t>
  </si>
  <si>
    <t>Suministro y montaje en el extremo exterior del conducto de extracción (boca de expulsión) de aspirador giratorio con sombrero d</t>
  </si>
  <si>
    <t>Suministro y montaje en el extremo exterior del conducto de extracción (boca de expulsión) de aspirador giratorio con sombrero dinámico, de aluminio (Dureza H-24), para conducto de salida de 250 mm de diámetro exterior, para ventilación de cocinas. Incluso elementos de fijación.
Incluye: Replanteo. Montaje. Colocación y fijación.</t>
  </si>
  <si>
    <t>2-VEK</t>
  </si>
  <si>
    <t>Total 07.09.06</t>
  </si>
  <si>
    <t>07.09.07</t>
  </si>
  <si>
    <t>Conducto circular de ventilación formado por tubo de chapa de acero galvanizado de pared simple helicoidal, de 100 mm de diámetr</t>
  </si>
  <si>
    <t>Conducto circular de ventilación formado por tubo de chapa de acero galvanizado de pared simple helicoidal, de 100 mm de diámetro y 0,5 mm de espesor, colocado en posición vertical. Incluso material auxiliar para montaje y sujeción a la obra, accesorios y piezas especiales.
Incluye: Replanteo del recorrido del conducto y de la situación de los elementos de sujeción. Presentación de tubos, accesorios y piezas especiales. Fijación del material auxiliar para montaje y sujeción a la obra. Montaje, conexionado y comprobación de su correcto funcionamiento. Realización de pruebas de servicio.</t>
  </si>
  <si>
    <t>Total 07.09.07</t>
  </si>
  <si>
    <t>07.09.08</t>
  </si>
  <si>
    <t>Conducto circular de ventilación formado por tubo de chapa de acero galvanizado de pared simple helicoidal, de 125 mm de diámetr</t>
  </si>
  <si>
    <t>Conducto circular de ventilación formado por tubo de chapa de acero galvanizado de pared simple helicoidal, de 125 mm de diámetro y 0,5 mm de espesor, colocado en posición vertical. Incluso material auxiliar para montaje y sujeción a la obra, accesorios y piezas especiales.
Incluye: Replanteo del recorrido del conducto y de la situación de los elementos de sujeción. Presentación de tubos, accesorios y piezas especiales. Fijación del material auxiliar para montaje y sujeción a la obra. Montaje, conexionado y comprobación de su correcto funcionamiento. Realización de pruebas de servicio.</t>
  </si>
  <si>
    <t>Total 07.09.08</t>
  </si>
  <si>
    <t>07.09.09</t>
  </si>
  <si>
    <t>Conducto circular de ventilación formado por tubo de chapa de acero galvanizado de pared simple helicoidal, de 135 mm de diámetr</t>
  </si>
  <si>
    <t>Conducto circular de ventilación formado por tubo de chapa de acero galvanizado de pared simple helicoidal, de 135 mm de diámetro y 0,5 mm de espesor, colocado en posición vertical. Incluso material auxiliar para montaje y sujeción a la obra, accesorios y piezas especiales.
Incluye: Replanteo del recorrido del conducto y de la situación de los elementos de sujeción. Presentación de tubos, accesorios y piezas especiales. Fijación del material auxiliar para montaje y sujeción a la obra. Montaje, conexionado y comprobación de su correcto funcionamiento. Realización de pruebas de servicio.</t>
  </si>
  <si>
    <t>Total 07.09.09</t>
  </si>
  <si>
    <t>07.09.10</t>
  </si>
  <si>
    <t>Conducto circular de ventilación formado por tubo de chapa de acero galvanizado de pared simple helicoidal, de 100 mm de diámetro y 0,5 mm de espesor, colocado en posición horizontal. Incluso material auxiliar para montaje y sujeción a la obra, accesorios y piezas especiales.
Incluye: Replanteo del recorrido del conducto y de la situación de los elementos de sujeción. Presentación de tubos, accesorios y piezas especiales. Fijación del material auxiliar para montaje y sujeción a la obra. Montaje, conexionado y comprobación de su correcto funcionamiento. Realización de pruebas de servicio.</t>
  </si>
  <si>
    <t>Total 07.09.10</t>
  </si>
  <si>
    <t>07.09.11</t>
  </si>
  <si>
    <t>Conducto de ventilación, formado por tubo liso de PVC, de 125 mm de diámetro exterior, pegado mediante adhesivo, colocado en pos</t>
  </si>
  <si>
    <t>Conducto de ventilación, formado por tubo liso de PVC, de 125 mm de diámetro exterior, pegado mediante adhesivo, colocado en posición vertical. Incluso material auxiliar para montaje y sujeción a la obra, accesorios y piezas especiales.
Incluye: Replanteo del recorrido del conducto y de la situación de los elementos de sujeción. Presentación en seco de tubos y piezas especiales. Fijación del material auxiliar para montaje y sujeción a la obra. Montaje, conexionado y comprobación de su correcto funcionamiento.</t>
  </si>
  <si>
    <t>Total 07.09.11</t>
  </si>
  <si>
    <t>07.09.12</t>
  </si>
  <si>
    <t>Rejilla de plástico, con lamas horizontales fijas, salida de aire perpendicular a la rejilla, color blanco RAL 9010, para conduc</t>
  </si>
  <si>
    <t>Rejilla de plástico, con lamas horizontales fijas, salida de aire perpendicular a la rejilla, color blanco RAL 9010, para conducto de admisión o extracción, de 125 mm de diámetro. Incluso elementos de fijación.
Incluye: Replanteo. Colocación y fijación.</t>
  </si>
  <si>
    <t>07.09.13</t>
  </si>
  <si>
    <t>Conducto circular de ventilación formado por tubo de chapa de acero galvanizado de pared simple helicoidal, de 150 mm de diámetr</t>
  </si>
  <si>
    <t>Conducto circular de ventilación formado por tubo de chapa de acero galvanizado de pared simple helicoidal, de 150 mm de diámetro y 0,5 mm de espesor, para preinstalación de ventilación de secadora. Incluso material auxiliar para montaje y sujeción a la obra, accesorios y piezas especiales.
Incluye: Replanteo del recorrido del conducto y de la situación de los elementos de sujeción. Presentación de tubos, accesorios y piezas especiales. Fijación del material auxiliar para montaje y sujeción a la obra. Montaje, conexionado y comprobación de su correcto funcionamiento.</t>
  </si>
  <si>
    <t>Total 07.09</t>
  </si>
  <si>
    <t>07.10</t>
  </si>
  <si>
    <t>Iluminación</t>
  </si>
  <si>
    <t>07.10.17</t>
  </si>
  <si>
    <t>Luminaria exterior drop 28 Performance in lighting</t>
  </si>
  <si>
    <t>Luminaria exterior drop 28 Performance in lighting para pared y techo, color blanco con todos los componentes, instalado en techo o pared incluso en pasatubos de muros según planos y D.F. Totalmente rematado y puesta en funcionamiento contemplando cualquier tipo de pieza para el perfecto funcionamiento.</t>
  </si>
  <si>
    <t>Total 07.10.17</t>
  </si>
  <si>
    <t>07.10.18</t>
  </si>
  <si>
    <t>Luminaria interior drop 28 Performance in lighting</t>
  </si>
  <si>
    <t>Luminaria interior drop 28 Performance in lighting para pared y techo, color blanco con todos los componentes, instalado en techo o pared incluso en pasatubos según planos y D.F. Totalmente rematado y puesta en funcionamiento contemplando cualquier tipo de pieza para el perfecto funcionamiento.</t>
  </si>
  <si>
    <t>planta sótano</t>
  </si>
  <si>
    <t>planta 1º</t>
  </si>
  <si>
    <t>Total 07.10.18</t>
  </si>
  <si>
    <t>07.10.19</t>
  </si>
  <si>
    <t>Luminaria estanca airfal tr3</t>
  </si>
  <si>
    <t>Luminaria estanca airfal tr3, con todos los componentes y cable, instalado en techo o pared según planos y D.F. Totalmente rematado y puesta en funcionamiento contemplando cualquier tipo de pieza para el perfecto funcionamiento.</t>
  </si>
  <si>
    <t>Total 07.10.19</t>
  </si>
  <si>
    <t>Total 07.10</t>
  </si>
  <si>
    <t>Total 07</t>
  </si>
  <si>
    <t>08</t>
  </si>
  <si>
    <t>Aislamientos e impermeabilizaciones</t>
  </si>
  <si>
    <t>08.01</t>
  </si>
  <si>
    <t>Aislamientos térmicos</t>
  </si>
  <si>
    <t>08.01.01</t>
  </si>
  <si>
    <t>Aislamiento térmico bajo forjado, formado por panel semirrígido de lana mineral, según UNE-EN 13162, no revestido, de 70 mm de e</t>
  </si>
  <si>
    <t>Aislamiento térmico bajo forjado, formado por panel semirrígido de lana mineral, según UNE-EN 13162, no revestido, de 70 mm de espesor, resistencia térmica 1,7 m²K/W, conductividad térmica 0,035 W/(mK), colocado a tope y fijado mecánicamente.
Incluye: Limpieza y preparación de la superficie soporte. Replanteo y corte del aislamiento. Colocación del aislamiento. Fijación del aislamiento.</t>
  </si>
  <si>
    <t>Planta Baja (T2)</t>
  </si>
  <si>
    <t>Planta Sótano (T3)</t>
  </si>
  <si>
    <t>Garaje</t>
  </si>
  <si>
    <t>Escaleras</t>
  </si>
  <si>
    <t>Ascensor</t>
  </si>
  <si>
    <t>Planta Baja (T3)</t>
  </si>
  <si>
    <t>Exteriores (T5)</t>
  </si>
  <si>
    <t>Porche trasero</t>
  </si>
  <si>
    <t>Balcón</t>
  </si>
  <si>
    <t>Total 08.01.01</t>
  </si>
  <si>
    <t>08.01.02</t>
  </si>
  <si>
    <t>Aislamiento térmico bajo forjado, formado por panel semirrígido de lana de roca volcánica Alpharock -E- 225 "ROCKWOOL", según UN</t>
  </si>
  <si>
    <t>Aislamiento térmico bajo forjado, formado por panel semirrígido de lana de roca volcánica Alpharock -E- 225 "ROCKWOOL", según UNE-EN 13162, no revestido, de 120 mm de espesor, resistencia térmica 1,75 m²K/W, conductividad térmica 0,034 W/(mK), colocado en falso techo.
Incluye: Limpieza y preparación de la superficie soporte. Replanteo y corte del aislamiento. Colocación del aislamiento. Fijación del aislamiento.</t>
  </si>
  <si>
    <t>Planta Alta (T4)</t>
  </si>
  <si>
    <t>Faldones</t>
  </si>
  <si>
    <t>Total 08.01.02</t>
  </si>
  <si>
    <t>08.01.03</t>
  </si>
  <si>
    <t>Aislamiento térmico entre los montantes de la estructura portante del trasdosado autoportante de placas, formado por panel semir</t>
  </si>
  <si>
    <t>Aislamiento térmico entre los montantes de la estructura portante del trasdosado autoportante de placas, formado por panel semirrígido de lana de roca volcánica Alpharock -E- 225 "ROCKWOOL", según UNE-EN 13162, no revestido, de 70 mm de espesor, resistencia térmica 1,75 m²K/W, conductividad térmica 0,034 W/(mK), colocado entre los montantes de la estructura portante.
Incluye: Corte del aislamiento. Colocación del aislamiento entre los montantes.</t>
  </si>
  <si>
    <t>Planta Alta  hidrófugo</t>
  </si>
  <si>
    <t>Total 08.01.03</t>
  </si>
  <si>
    <t>08.01.04</t>
  </si>
  <si>
    <t>Aislamiento térmico de recercados de ventana, formado por panel rígido de lana de roca, no revestido, según UNE-EN 13162, de 20</t>
  </si>
  <si>
    <t>Aislamiento térmico de recercados de ventana, formado por panel rígido de lana de roca, no revestido, según UNE-EN 13162, de 20 mm de espesor, resistencia térmica 0,55 m²K/W, conductividad térmica 0,036 W/(mK), colocado a tope y fijado mecánicamente sobre la estructura desencofrada. Incluso tacos de expansión de plástico para la fijación del aislante.
Incluye: Replanteo y corte del aislante. Fijación del aislante.</t>
  </si>
  <si>
    <t>Total 08.01.04</t>
  </si>
  <si>
    <t>08.01.05</t>
  </si>
  <si>
    <t>Aislamiento térmico del tramo que conecta la tubería general con la unidad terminal, de menos de 5 m de longitud en instalación</t>
  </si>
  <si>
    <t>Aislamiento térmico del tramo que conecta la tubería general con la unidad terminal, de menos de 5 m de longitud en instalación interior de A.C.S., empotrada en la pared, para la distribución de fluidos calientes (de +40°C a +60°C), formado por coquilla de espuma elastomérica, con un elevado factor de resistencia a la difusión del vapor de agua, de 16,0 mm de diámetro interior y 9,5 mm de espesor, a base de caucho sintético flexible, de estructura celular cerrada, con adhesivo para las uniones.
Incluye: Preparación de la superficie soporte. Replanteo y corte del aislamiento. Colocación del aislamiento.</t>
  </si>
  <si>
    <t>Total 08.01.05</t>
  </si>
  <si>
    <t>08.01.06</t>
  </si>
  <si>
    <t>Aislamiento térmico del tramo que conecta la tubería general con la unidad terminal, de menos de 5 m de longitud en instalación interior de A.C.S., empotrada en la pared, para la distribución de fluidos calientes (de +40°C a +60°C), formado por coquilla de espuma elastomérica, con un elevado factor de resistencia a la difusión del vapor de agua, de 23,0 mm de diámetro interior y 10,0 mm de espesor, a base de caucho sintético flexible, de estructura celular cerrada, con adhesivo para las uniones.
Incluye: Preparación de la superficie soporte. Replanteo y corte del aislamiento. Colocación del aislamiento.</t>
  </si>
  <si>
    <t>Total 08.01.06</t>
  </si>
  <si>
    <t>08.01.07</t>
  </si>
  <si>
    <t>Aislamiento térmico de tubería en instalación interior de A.C.S., colocada superficialmente, para la distribución de fluidos cal</t>
  </si>
  <si>
    <t>Aislamiento térmico de tubería en instalación interior de A.C.S., colocada superficialmente, para la distribución de fluidos calientes (de +60°C a +100°C), formado por coquilla de espuma elastomérica, de 19 mm de diámetro interior y 25 mm de espesor, a base de caucho sintético flexible, de estructura celular cerrada, con adhesivo para las uniones.
Incluye: Preparación de la superficie soporte. Replanteo y corte del aislamiento. Colocación del aislamiento.</t>
  </si>
  <si>
    <t>Total 08.01.07</t>
  </si>
  <si>
    <t>08.01.08</t>
  </si>
  <si>
    <t>Aislamiento térmico de tubería en instalación interior de A.C.S., colocada superficialmente, para la distribución de fluidos calientes (de +60°C a +100°C), formado por coquilla de espuma elastomérica, de 23 mm de diámetro interior y 25 mm de espesor, a base de caucho sintético flexible, de estructura celular cerrada, con adhesivo para las uniones.
Incluye: Preparación de la superficie soporte. Replanteo y corte del aislamiento. Colocación del aislamiento.</t>
  </si>
  <si>
    <t>Total 08.01.08</t>
  </si>
  <si>
    <t>08.01.09</t>
  </si>
  <si>
    <t>Aislamiento térmico de tubería en instalación interior de A.C.S., colocada superficialmente, para la distribución de fluidos calientes (de +60°C a +100°C), formado por coquilla de espuma elastomérica, de 26 mm de diámetro interior y 25 mm de espesor, a base de caucho sintético flexible, de estructura celular cerrada, con adhesivo para las uniones.
Incluye: Preparación de la superficie soporte. Replanteo y corte del aislamiento. Colocación del aislamiento.</t>
  </si>
  <si>
    <t>Total 08.01.09</t>
  </si>
  <si>
    <t>08.01.10</t>
  </si>
  <si>
    <t>Aislamiento térmico de tubería en instalación interior de A.C.S., colocada superficialmente, para la distribución de fluidos calientes (de +60°C a +100°C), formado por coquilla de espuma elastomérica, de 36 mm de diámetro interior y 25 mm de espesor, a base de caucho sintético flexible, de estructura celular cerrada, con adhesivo para las uniones.
Incluye: Preparación de la superficie soporte. Replanteo y corte del aislamiento. Colocación del aislamiento.</t>
  </si>
  <si>
    <t>Total 08.01.10</t>
  </si>
  <si>
    <t>Total 08.01</t>
  </si>
  <si>
    <t>08.02</t>
  </si>
  <si>
    <t>Impermeabilizaciones</t>
  </si>
  <si>
    <t>08.02.01</t>
  </si>
  <si>
    <t>Impermeabilización de galerías y balcones, realizada con lámina de betún modificado con elastómero SBS, LBM(SBS)-40-FP, con arma</t>
  </si>
  <si>
    <t>Impermeabilización de galerías y balcones, realizada con lámina de betún modificado con elastómero SBS, LBM(SBS)-40-FP, con armadura de fieltro de poliéster no tejido de 160 g/m², de superficie no protegida, adherida con emulsión asfáltica aniónica con cargas tipo EB al soporte, y protegida con capa separadora de lámina drenante de polietileno pòr ambas caras, de 7 mm de espesor.
Incluye: Colocación de la capa separadora. Colocación de la impermeabilización. Resolución de los puntos singulares. Colocación de la capa separadora.</t>
  </si>
  <si>
    <t>Terraza</t>
  </si>
  <si>
    <t>Cubierta instalaciones</t>
  </si>
  <si>
    <t>Balcón planta baja</t>
  </si>
  <si>
    <t>Total 08.02.01</t>
  </si>
  <si>
    <t>08.02.02</t>
  </si>
  <si>
    <t>Impermeabilización de fachada con lámina impermeabilizante, desolidarizante y difusora de vapor de agua de polietileno con estru</t>
  </si>
  <si>
    <t>Impermeabilización de fachada con lámina impermeabilizante, desolidarizante y difusora de vapor de agua de polietileno con estructura nervada y cavidades cuadradas en forma de cola de milano, de 3 mm de espesor, Schlüter-DITRA 25 30M "SCHLÜTER-SYSTEMS", revestida de geotextil no tejido en una de sus caras, suministrada en rollos de 30 m de longitud, tipo monocapa, totalmente adherida al soporte con adhesivo cementoso de fraguado normal, C1 gris, preparada para recibir directamente sobre ella el revestimiento cerámico y resolución de encuentros con paramentos verticales mediante colocación de adhesivo bicomponente, Schlüter-KERDI-COLL-L "SCHLÜTER-SYSTEMS", banda de refuerzo Schlüter-KERDI-KEBA 100/125 y masilla adhesiva elástica monocomponente, Schlüter-KERDI-FIX "SCHLÜTER-SYSTEMS".
Incluye: Limpieza y preparación de la superficie. Aplicación del adhesivo cementoso. Colocación de la impermeabilización. Resolución de encuentros y puntos singulares.</t>
  </si>
  <si>
    <t>Total 08.02.02</t>
  </si>
  <si>
    <t>08.02.03</t>
  </si>
  <si>
    <t>Impermeabilización de muro de hormigón en contacto con el terreno, por su cara exterior, con emulsión bituminosa aniónica monoco</t>
  </si>
  <si>
    <t>Impermeabilización de muro de hormigón en contacto con el terreno, por su cara exterior, con emulsión bituminosa aniónica monocomponente, a base de betunes y resinas, aplicada en dos manos, (rendimiento: 1 kg/m² cada mano).
Incluye: Preparación de la superficie soporte. Aplicación de la primera mano. Aplicación de la segunda mano.</t>
  </si>
  <si>
    <t>Total 08.02.03</t>
  </si>
  <si>
    <t>08.02.04</t>
  </si>
  <si>
    <t>Impermeabilización de cornisa o alero con lámina de betún modificado con elastómero SBS, LBM(SBS)-50/G-FP, con armadura de fielt</t>
  </si>
  <si>
    <t>Impermeabilización de cornisa o alero con lámina de betún modificado con elastómero SBS, LBM(SBS)-50/G-FP, con armadura de fieltro de poliéster reforzado y estabilizado de 150 g/m², con autoprotección mineral de color gris, tipo monocapa, totalmente adherida al soporte con soplete, previa imprimación con emulsión asfáltica aniónica con cargas tipo EB y resolución de encuentros con paramentos verticales mediante colocación de perfil de chapa de acero galvanizado, banda de refuerzo y banda de terminación. Incluso masilla de poliuretano para el sellado del espacio entre el perfil metálico y el paramento.
Incluye: Limpieza y preparación de la superficie. Imprimación de la superficie a impermeabilizar. Colocación de la banda de refuerzo. Colocación de la impermeabilización. Colocación de la banda de terminación. Colocación de los perfiles metálicos. Aplicación del cordón de sellado entre el perfil y el paramento vertical.</t>
  </si>
  <si>
    <t>Gárgolas</t>
  </si>
  <si>
    <t>Total 08.02.04</t>
  </si>
  <si>
    <t>08.02.05</t>
  </si>
  <si>
    <t>Impermeabilización de ducha de obra con canaleta de drenaje</t>
  </si>
  <si>
    <t>Impermeabilización de paramentos verticales y horizontales de ducha de obra con canaleta de drenaje, sistema tipo Dry50 "REVESTECH" o equivalente, compuesta por, kit Dry50 Lineal Premier 60, formado por lámina impermeabilizante flexible tipo EVAC de 1200x2000 mm compuesta de una doble hoja de poliolefina termoplástica con acetato de vinil etileno, con ambas caras revestidas de fibras de poliéster no tejidas, de 0,52 mm de espesor y 335 g/m², según UNE-EN 13956, con unión termosellada a el sumidero sifónico de PVC de 82 mm de altura, salida horizontal de 40 mm de diámetro, con rejilla para empotrar de acero inoxidable, modelo Liso Acero de 591x88 mm y canaleta de drenaje de acero inoxidable, de 596x93 mm, y lámina impermeabilizante flexible tipo EVAC, Dry50 30, compuesta de una doble hoja de poliolefina termoplástica con acetato de vinil etileno, con ambas caras revestidas de fibras de poliéster no tejidas, de 0,52 mm de espesor y 335 g/m², fijada al soporte con adhesivo cementoso mejorado, deformable y tixotrópico, C2 TE S1. Incluso complementos de refuerzo en tratamiento de puntos singulares mediante el uso de piezas especiales "REVESTECH" para la resolución de ángulos internos (Dry50 Cornerin), resolución de uniones y sellado de juntas elásticas (puntos de penetración de tuberías en el revestimiento, encuentros entre el paramento y la ducha de obra, etc.).
Criterio de valoración económica: El precio no incluye la formación de pendientes ni el revestimiento.
Incluye: Corte y preparación de las láminas de poliolefinas. Extendido del adhesivo cementoso. Colocación de la impermeabilización. Colocación y fijación del kit. Ejecución de refuerzos en puntos singulares. Resolución de uniones. Sellado de juntas elásticas. Colocación de la rejilla. Formación de pendientes del hormigón (vertido hormigón en otra partida).
Criterio de medición de proyecto: Número de unidades previstas, según documentación gráfica de Proyecto.
Criterio de medición de obra: Se medirá el número de unidades realmente ejecutadas según especificaciones de Proyecto.</t>
  </si>
  <si>
    <t>SPC-01</t>
  </si>
  <si>
    <t>Duchas de obra</t>
  </si>
  <si>
    <t>Total 08.02.05</t>
  </si>
  <si>
    <t>Total 08.02</t>
  </si>
  <si>
    <t>08.03</t>
  </si>
  <si>
    <t>Estanqueidad</t>
  </si>
  <si>
    <t>08.03.01</t>
  </si>
  <si>
    <t>Barrera de vapor con estanqueidad al aire, de polipropileno, con armadura, de 0,15 mm de espesor y 100 g/m², de 107 m de espesor</t>
  </si>
  <si>
    <t>Barrera de vapor con estanqueidad al aire, de polipropileno, con armadura, de 0,15 mm de espesor y 100 g/m², de 107 m de espesor de aire equivalente frente a la difusión de vapor de agua, según UNE-EN 1931, (Euroclase E de reacción al fuego según UNE-EN 13501-1); colocada por el interior del cerramiento vertical. Incluso grapas, cinta autoadhesiva para sellado de juntas.
Incluye: Limpieza y preparación de la superficie. Corte y preparación. Fijación. Corte de la cinta de sellado. Colocación de la cinta de sellado.</t>
  </si>
  <si>
    <t>Total 08.03.01</t>
  </si>
  <si>
    <t>08.03.02</t>
  </si>
  <si>
    <t>Barrera de vapor con estanqueidad al aire, de polipropileno, con armadura, de 0,15 mm de espesor y 100 g/m², de 107 m de espesor de aire equivalente frente a la difusión de vapor de agua, según UNE-EN 1931, (Euroclase E de reacción al fuego según UNE-EN 13501-1); colocada por el interior de la cubierta y voladizos. Incluso grapas, cinta autoadhesiva para sellado de juntas.
Incluye: Limpieza y preparación de la superficie. Corte y preparación. Fijación. Corte de la cinta de sellado. Colocación de la cinta de sellado.</t>
  </si>
  <si>
    <t>Exteriroes (T5)</t>
  </si>
  <si>
    <t>Total 08.03.02</t>
  </si>
  <si>
    <t>Total 08.03</t>
  </si>
  <si>
    <t>08.04</t>
  </si>
  <si>
    <t>Drenajes</t>
  </si>
  <si>
    <t>08.04.01</t>
  </si>
  <si>
    <t>Drenaje de muro de hormigón en contacto con el terreno, por su cara exterior, con lámina drenante y filtrante de estructura nodu</t>
  </si>
  <si>
    <t>Drenaje de muro de hormigón en contacto con el terreno, por su cara exterior, con lámina drenante y filtrante de estructura nodular de polietileno de alta densidad (PEAD/HDPE), con nódulos de 8 mm de altura, con geotextil de polipropileno incorporado, resistencia a la compresión 150 kN/m² según UNE-EN ISO 604, capacidad de drenaje 5 l/(s·m) y masa nominal 0,7 kg/m²; colocada con solapes, con los nódulos contra el muro previamente impermeabilizado, fijada con clavos de acero de 62 mm de longitud, con arandela blanda de polietileno de 36 mm de diámetro (2 ud/m²). Incluso perfil metálico para remate superior y.
Incluye: Realización de trabajos auxiliares en la superficie soporte (conformado de ángulos, paso de tubos, etc.). Limpieza y preparación de la superficie. Colocación de la lámina drenante y filtrante. Resolución de puntos singulares.</t>
  </si>
  <si>
    <t>Total 08.04.01</t>
  </si>
  <si>
    <t>Total 08.04</t>
  </si>
  <si>
    <t>08.05</t>
  </si>
  <si>
    <t>Aislamientos Acústico</t>
  </si>
  <si>
    <t>NBA020</t>
  </si>
  <si>
    <t>Aislamiento acústico a ruido aéreo de bajante, con complejos multicapa.</t>
  </si>
  <si>
    <t>Aislamiento acústico a ruido aéreo de bajante de 110 mm de diámetro, realizado con complejo multicapa, de 4 mm de espesor, 3,6 kg/m² de masa superficial, formado por una lámina de poliolefinas y una lámina viscoelástica de alta densidad; dispuesto en torno a la bajante a modo de coquilla. Incluso cinta viscoelástica autoadhesiva, para sellado de juntas.
Incluye: Limpieza de la superficie soporte. Corte del rollo en tramos. Forrado de la bajante. Sellado de juntas.
Criterio de medición de proyecto: Longitud medida según documentación gráfica de Proyecto.
Criterio de medición de obra: Se medirá la longitud realmente ejecutada según especificaciones de Proyecto.</t>
  </si>
  <si>
    <t>Ailamiento bajantes cocina</t>
  </si>
  <si>
    <t>Total NBA020</t>
  </si>
  <si>
    <t>Total 08.05</t>
  </si>
  <si>
    <t>Total 08</t>
  </si>
  <si>
    <t>09</t>
  </si>
  <si>
    <t>Cubiertas</t>
  </si>
  <si>
    <t>09.01</t>
  </si>
  <si>
    <t>Planas</t>
  </si>
  <si>
    <t>09.01.01</t>
  </si>
  <si>
    <t>Cubierta plana no transitable</t>
  </si>
  <si>
    <t>Cubierta plana no transitable, no ventilada, con grava, tipo convencional, pendiente del 1% al 5%, compuesta de: formación de pendientes: hormigón ligero, de resistencia a compresión 2,0 MPa y 690 kg/m³ de densidad, confeccionado en obra con arcilla expandida y cemento gris, con espesor medio de 10 cm, acabado con capa de regularización de mortero de cemento, industrial, M-5 de 2 cm de espesor; aislamiento térmico: panel rígido de poliestireno extruido, de superficie lisa y mecanizado lateral a media madera, de 80 mm de espesor, resistencia a compresión &gt;= 300 kPa; capa separadora bajo impermeabilización: geotextil no tejido compuesto por fibras de poliéster unidas por agujeteado, (150 g/m²); impermeabilización monocapa no adherida: lámina de betún modificado con elastómero SBS, LBM(SBS)-40-FP; capa separadora bajo protección: geotextil no tejido compuesto por fibras de poliéster unidas por agujeteado, (200 g/m²); capa de mortero protector de 2 cm; capa de protección: 10 cm de canto rodado de 16 a 32 mm de diámetro.
Incluye: Replanteo de los puntos singulares. Replanteo de las pendientes y trazado de limatesas, limahoyas y juntas. Formación de pendientes mediante encintado de limatesas, limahoyas y juntas con maestras de ladrillo. Relleno de juntas con poliestireno expandido. Vertido y regleado del hormigón ligero hasta alcanzar el nivel de coronación de las maestras. Vertido, extendido y regleado de la capa de mortero de regularización. Revisión de la superficie base en la que se realiza la fijación del aislamiento de acuerdo con las exigencias de la técnica a emplear. Corte, ajuste y colocación del aislamiento. Colocación de la capa separadora bajo impermeabilización. Limpieza y preparación de la superficie. Colocación de la impermeabilización. Colocación de la capa separadora bajo protección. Vertido y extendido de las capas de protección primero una capa de motero y después otra de grava.</t>
  </si>
  <si>
    <t>Patios</t>
  </si>
  <si>
    <t>Total 09.01.01</t>
  </si>
  <si>
    <t>Total 09.01</t>
  </si>
  <si>
    <t>09.02</t>
  </si>
  <si>
    <t>Inclinadas</t>
  </si>
  <si>
    <t>09.02.01</t>
  </si>
  <si>
    <t>Tablero de panel sándwich realizado in situ, compuesto de: cara superior de tablero de contrachapado fenólico hidrófugo de 32 mm</t>
  </si>
  <si>
    <t>Tablero de panel sándwich realizado in situ, compuesto de: cara superior de tablero de contrachapado fenólico hidrófugo de 32 mm de espesor, núcleo aislante de espuma de poliestireno extruido de 20 mm de espesor con rastreles hidrófugos intermedios y cara inferior de tablero de aglomerado hidrófugo de 10 mm de espesor, fijado mecánicamente sobre soporte discontinuo metálico; para formación de faldón en cubierta inclinada. Incluso tornillos autotaladrantes para fijación sobre soporte; banda impermeabilizante autoadhesiva para impermeabilización y sellado de juntas.
Incluye: Replanteo. Corte de las piezas. Colocación de los paneles que forman el tablero. Fijación mecánica de las piezas al soporte. Sellado de juntas y uniones.</t>
  </si>
  <si>
    <t>A descontar</t>
  </si>
  <si>
    <t>Total 09.02.01</t>
  </si>
  <si>
    <t>09.02.02</t>
  </si>
  <si>
    <t>Cubierta inclinada de zinc</t>
  </si>
  <si>
    <t>Cubierta inclinada formada por estructura portante. Impermeabilización con lámina de caucho EPDM, tipo II, UNE-EN 13956. Cobertura compuesta por bandeja de zinctitanio "RHEINZINK", acabado natural, de 0,7 mm de espesor, de 10 m de longitud máxima, fabricada según el sistema de junta alzada de 25 mm de altura, a partir de material en banda de 650 mm de desarrollo y 580 mm entre ejes, unión longitudinal de bandejas mediante engatillado simple, fijada mecánicamente sobre panel sandwich realizado in situ (no incluido en este precio).
Incluye: Limpieza y preparación del soporte. Colocación de la barrera de vapor. Replanteo y colocación de los cabios de madera. Corte, extendido y ajuste del aislamiento térmico. Colocación de la impermeabilización. Fijación del enrastrelado a intervalos regulares. Disposición del entablado de madera. Extendido y fijación de las bandejas. Realización de las juntas transversales y longitudinales. Resolución de puntos singulares con piezas de remate.</t>
  </si>
  <si>
    <t>Total 09.02.02</t>
  </si>
  <si>
    <t>Total 09.02</t>
  </si>
  <si>
    <t>09.03</t>
  </si>
  <si>
    <t>09.03.01</t>
  </si>
  <si>
    <t>Forrado de chimeneas y encuentro con faldón de tejado mediante chapa de zinc y banda ajustable compuesta por aleación de alumini</t>
  </si>
  <si>
    <t>Forrado de chimeneas y encuentro con faldón de tejado mediante chapa de zinc y banda ajustable, formando doble babero, fijada con perfil de acero inoxidable.
Incluye: Replanteo. Forrado de chimeneas. Formación del encuentro. Remates.</t>
  </si>
  <si>
    <t>09.03.02</t>
  </si>
  <si>
    <t>Borde lateral de cubierta revestido con perfil vierteaguas de zinc, de 70 mm de altura.</t>
  </si>
  <si>
    <t>Borde lateral de cubierta revestido con perfil vierteaguas de zinc, de 70 mm de altura.
Incluye: Limpieza y preparación de la superficie. Replanteo. Corte, colocación y fijación del perfil.</t>
  </si>
  <si>
    <t>09.03.03</t>
  </si>
  <si>
    <t>Borde lateral de cubierta revestido con perfil vierteaguas de zinc, de 40 mm de altura.</t>
  </si>
  <si>
    <t>Borde lateral de cubierta revestido con perfil vierteaguas de zinc, de 40 mm de altura.
Incluye: Limpieza y preparación de la superficie. Replanteo. Corte, colocación y fijación del perfil.</t>
  </si>
  <si>
    <t>09.03.04</t>
  </si>
  <si>
    <t>Gárgola de zinctitanio, natural, de desarrollo 470 mm, 0,65 mm de espesor y recorte de baquetón y vuelo de 300 mm.</t>
  </si>
  <si>
    <t>Gárgola de zinctitanio, natural, de desarrollo 470 mm, 0,65 mm de espesor y recorte de baquetón y vuelo de 300 mm. Según detalle constructivo de planos
Incluye: Replanteo del recorrido de la gárgola y de la situación de los elementos de sujeción. Fijación del material auxiliar para montaje y sujeción a la obra. Montaje, conexionado y comprobación de su correcto funcionamiento.</t>
  </si>
  <si>
    <t>Total 09.03</t>
  </si>
  <si>
    <t>Total 09</t>
  </si>
  <si>
    <t>10</t>
  </si>
  <si>
    <t>Revestimientos y trasdosados</t>
  </si>
  <si>
    <t>10.01</t>
  </si>
  <si>
    <t>Alicatados</t>
  </si>
  <si>
    <t>10.01.01</t>
  </si>
  <si>
    <t>Alicatado, capacidad de absorción de agua E&gt;10%, grupo BIII, resistencia al deslizamiento Rd&lt;</t>
  </si>
  <si>
    <t>Alicatado, dimensiones 120x60 cm color gris claro con capacidad de absorción de agua E&gt;10%, grupo BIII, resistencia al deslizamiento Rd&lt;=15, clase 0, colocado sobre una superficie soporte de mortero de cemento o placas de yeso, en paramentos interiores, recibido con adhesivo cementoso de uso exclusivo para interiores, Ci gris, sin junta (separación entre 1,5 y 3 mm); formación de ingletes. Se estima un precio de material de 45€/m2.
Incluye: Preparación de la superficie soporte. Replanteo de niveles y disposición de baldosas. Colocación de maestras o reglas. Preparación y aplicación del adhesivo. Formación de juntas de movimiento. Colocación de las baldosas. Ejecución de esquinas y rincones. Rejuntado de baldosas. Acabado y limpieza final.</t>
  </si>
  <si>
    <t>Cocina</t>
  </si>
  <si>
    <t>baño planta baja</t>
  </si>
  <si>
    <t>Baño D1</t>
  </si>
  <si>
    <t>Baño General</t>
  </si>
  <si>
    <t>Total 10.01.01</t>
  </si>
  <si>
    <t>Total 10.01</t>
  </si>
  <si>
    <t>10.02</t>
  </si>
  <si>
    <t>10.02.01</t>
  </si>
  <si>
    <t>Peldaño de madera.</t>
  </si>
  <si>
    <t>Peldaño de madera maciza de roble (Quercus robur), con certificado PEFC, de 800x280x22 mm, formado por tablero alistonado de lama continua, barnizado en taller con barniz al agua con acabado mate cero (poco brillo, similar al acabado de pavimento madera), resistencia al deslizamiento 15&lt;Rd&lt;=35, clase 1, colocado mediante sistema de fijación oculta en zanca de escalera. Incluso accesorios y elementos para fijación del peldaño.
Incluye: Replanteo. Colocación y fijación de los peldaños. Limpieza final.
Criterio de medición de proyecto: Número de unidades previstas, según documentación gráfica de Proyecto.
Criterio de medición de obra: Se medirá el número de unidades realmente ejecutadas según especificaciones de Proyecto.</t>
  </si>
  <si>
    <t>Total 10.02.01</t>
  </si>
  <si>
    <t>10.02.02</t>
  </si>
  <si>
    <t>Alfeizar de madera maciza de roble</t>
  </si>
  <si>
    <t>Alfeizar de madera maciza de roble (Quercus robur), con certificado PEFC, de 1350x410x32 mm, formado por tablero alistonado de lama continua, barnizado en taller con barniz al agua con acabado mate cero (poco brillo, similar al acabado de pavimento madera), resistencia al deslizamiento 15&lt;Rd&lt;=35, clase 1, colocado mediante sistema de fijación oculta en zanca de escalera. Incluso accesorios y elementos para fijación del peldaño.
Incluye: Replanteo. Colocación y fijación de los peldaños. Limpieza final.
Criterio de medición de proyecto: Número de unidades previstas, según documentación gráfica de Proyecto.
Criterio de medición de obra: Se medirá el número de unidades realmente ejecutadas según especificaciones de Proyecto.</t>
  </si>
  <si>
    <t>Alfeizar ventanal dormitorio principal</t>
  </si>
  <si>
    <t>Total 10.02.02</t>
  </si>
  <si>
    <t>Total 10.02</t>
  </si>
  <si>
    <t>10.03</t>
  </si>
  <si>
    <t>Pinturas en paramentos interiores</t>
  </si>
  <si>
    <t>10.03.01</t>
  </si>
  <si>
    <t>Aplicación manual de dos manos de pintura plástica color blanco, acabado mate, textura lisa, la primera mano diluida con un 20%</t>
  </si>
  <si>
    <t>Aplicación manual de dos manos de pintura plástica color blanco, acabado mate, textura lisa, la primera mano diluida con un 20% de agua y la siguiente sin diluir, (rendimiento: 0,1 l/m² cada mano); previa aplicación de una mano de imprimación a base de copolímeros acrílicos en suspensión acuosa, sobre paramento interior de yeso proyectado o placas de yeso laminado, vertical.
Incluye: Preparación del soporte. Aplicación de una mano de fondo. Aplicación de dos manos de acabado.</t>
  </si>
  <si>
    <t>Total 10.03.01</t>
  </si>
  <si>
    <t>10.03.02</t>
  </si>
  <si>
    <t>Total 10.03.02</t>
  </si>
  <si>
    <t>10.03.03</t>
  </si>
  <si>
    <t>Aplicación manual de dos manos de pintura plástica color blanco, acabado mate, textura lisa, la primera mano diluida con un 20% de agua y la siguiente sin diluir, (rendimiento: 0,1 l/m² cada mano); previa aplicación de una mano de imprimación a base de copolímeros acrílicos en suspensión acuosa, sobre paramento interior de yeso proyectado o placas de yeso laminado, horizontal.
Incluye: Preparación del soporte. Aplicación de una mano de fondo. Aplicación de dos manos de acabado.</t>
  </si>
  <si>
    <t>Tabicas</t>
  </si>
  <si>
    <t>distribuidor</t>
  </si>
  <si>
    <t>Total 10.03.03</t>
  </si>
  <si>
    <t>Total 10.03</t>
  </si>
  <si>
    <t>10.04</t>
  </si>
  <si>
    <t>Tratamientos superficiales de protección</t>
  </si>
  <si>
    <t>10.04.01</t>
  </si>
  <si>
    <t>Tratamiento superficial de protección hidrófuga para fachadas de hormigón</t>
  </si>
  <si>
    <t>Tratamiento superficial de protección hidrófuga para fachadas de hormigón, mediante impregnación acuosa, incolora, hidrófuga, con propiedades tixotrópicas, aplicada en manos sucesivas hasta la saturación del elemento (rendimiento: 0,2 l/m²).
Incluye: Limpieza general del paramento soporte. Aplicación del hidrofugante.</t>
  </si>
  <si>
    <t>Total 10.04.01</t>
  </si>
  <si>
    <t>Total 10.04</t>
  </si>
  <si>
    <t>10.06</t>
  </si>
  <si>
    <t>Pavimentos</t>
  </si>
  <si>
    <t>10.06.01</t>
  </si>
  <si>
    <t>Pavimento laminado QuickStep AC6</t>
  </si>
  <si>
    <t>Pavimento laminado QuickStep AC6 modelo IM3105 ó EL915 de Clase 23: Doméstico intenso, resistencia a la abrasión AC3, formado por tablero base de HDF laminado decorativo en roble, acabado con capa superficial de protección plástica, ensamblado sin adhesivo, tipo 'Clic'. COLOCACIÓN: sistema flotante machihembrado sobre lámina de espuma de polietileno de alta densidad de 3 mm de espesor. Incluso cinta autoadhesiva para sellado de juntas.
Incluye: Colocación de la base de polietileno. Colocación y recorte de la primera hilada por una esquina de la habitación. Colocación y recorte de las siguientes hiladas. Ensamblado de las tablas mediante sistema 'Clic'. Colocación y recorte de la última hilada. Corte de las piezas para empalmes, esquinas y rincones. Fijación de las piezas sobre el paramento. Ocultación de la fijación por enmasillado.
Criterio de medición de proyecto: Superficie útil, medida según documentación gráfica de Proyecto.
Criterio de medición de obra: Se medirá la superficie realmente ejecutada según especificaciones de Proyecto.</t>
  </si>
  <si>
    <t>Pavimento (S3)</t>
  </si>
  <si>
    <t>Total 10.06.01</t>
  </si>
  <si>
    <t>10.06.02</t>
  </si>
  <si>
    <t>Pavimento continio de hormigón pulido barnizado</t>
  </si>
  <si>
    <t>Pavimento continuo de hormigón de 10 cm de espesor, realizado con hormigón HA-25/B/12/IIa, fabricado en central, acabado natural y tratado superficialmente mediante fratasadora y pulidora mecánicas; con aplicación superficial de densificador liquido de mezcla de silicatos de litio en base agua para el endurecimiento y densificación de la superficie tipo Sikafloor CureHard LI de Sika. Acabado superficial barnizado mediante barniz bicomponente transparente mate de poliuretano resistente a ralladuras que no modifique el color del hormigón (composición "low sheen" o "non-darkening"), a realizar pruebas para aceptación e la D.F. y propiedad.
Incluyendo: plancha de poliestireno extruido  de 10 mm de espesor para formación de encuentros con paramentos verticales.Preparación de la superficie de apoyo del hormigón. Replanteo de las juntas de construcción y de dilatación. Tendido de niveles mediante toques, maestras de hormigón o reglas. Riego de la superficie base. Vertido, extendido y vibrado del hormigón. Conexión de los elementos exteriores. Aplicación del líquido de curado y posterior tratamiento encerado.</t>
  </si>
  <si>
    <t>Pavimento (S4)</t>
  </si>
  <si>
    <t>Total 10.06.02</t>
  </si>
  <si>
    <t>10.06.03</t>
  </si>
  <si>
    <t>Rodapié MDM lacado blanco</t>
  </si>
  <si>
    <t>Rodapié de MDF, de 90x18 mm, lacado blanco, con sección para alojamiento de clips, fijado al paramento mediante clips.
Incluye: Replanteo. Corte de las piezas. Fijación de las piezas sobre el paramento. Resolución de esquinas y encuentros.
Criterio de medición de proyecto: Longitud medida según documentación gráfica de Proyecto, sin incluir huecos de puertas.
Criterio de medición de obra: Se medirá la longitud realmente ejecutada según especificaciones de Proyecto.</t>
  </si>
  <si>
    <t>Total 10.06.03</t>
  </si>
  <si>
    <t>10.06.05</t>
  </si>
  <si>
    <t>Encachado 20 mm en terrazas</t>
  </si>
  <si>
    <t>Encachado de piedra silícea  color gris de diámetro 20 mm y 10 cm de espesor, i/extendido y compactado.</t>
  </si>
  <si>
    <t>Terrazas</t>
  </si>
  <si>
    <t>4.08</t>
  </si>
  <si>
    <t>Total 10.06.05</t>
  </si>
  <si>
    <t>Total 10.06</t>
  </si>
  <si>
    <t>10.07</t>
  </si>
  <si>
    <t>Trasdosados</t>
  </si>
  <si>
    <t>10.07.01</t>
  </si>
  <si>
    <t>Trasdosado autoportante libre, perfil 70 mm y placa de yeso laminado 13 normal</t>
  </si>
  <si>
    <t>Trasdosado autoportante libre, de perfil 70 mm y con placa de yeso laminado 13 normal, anclada a los forjados mediante estructura formada por canales y montantes; 85 mm de espesor total; separación entre montantes 600 mm. 
Incluye: Replanteo y trazado en el forjado inferior y en el superior de los perfiles. Colocación de banda de estanqueidad y canales inferiores, sobre solado terminado o base de asiento. Colocación de banda de estanqueidad y canales superiores, bajo forjados. Colocación y fijación de los montantes sobre los elementos horizontales. Corte de las placas. Fijación de las placas. Replanteo de las cajas para alojamiento de mecanismos eléctricos y de paso de instalaciones, y posterior perforación de las placas. Tratamiento de juntas. Recibido de las cajas para alojamiento de mecanismos eléctricos y de paso de instalaciones.</t>
  </si>
  <si>
    <t>Total 10.07.01</t>
  </si>
  <si>
    <t>10.07.02</t>
  </si>
  <si>
    <t>Trasdosado autoportante libre, perfil 70 mm  y placa de yeso laminado 13 hidrofugo</t>
  </si>
  <si>
    <t>Trasdosado autoportante libre, de perfil 70 mm y con placa de yeso laminado 13 hidrofugo, anclada a los forjados mediante estructura formada por canales y montantes; 85 mm de espesor total; separación entre montantes 600 mm. 
Incluye: Replanteo y trazado en el forjado inferior y en el superior de los perfiles. Colocación de banda de estanqueidad y canales inferiores, sobre solado terminado o base de asiento. Colocación de banda de estanqueidad y canales superiores, bajo forjados. Colocación y fijación de los montantes sobre los elementos horizontales. Corte de las placas. Fijación de las placas. Replanteo de las cajas para alojamiento de mecanismos eléctricos y de paso de instalaciones, y posterior perforación de las placas. Tratamiento de juntas. Recibido de las cajas para alojamiento de mecanismos eléctricos y de paso de instalaciones.</t>
  </si>
  <si>
    <t>Total 10.07.02</t>
  </si>
  <si>
    <t>Total 10.07</t>
  </si>
  <si>
    <t>10.08</t>
  </si>
  <si>
    <t>Falsos techos</t>
  </si>
  <si>
    <t>10.08.01</t>
  </si>
  <si>
    <t>Falso techo continuo suspendido, liso, con estructura metálica con placa de 15</t>
  </si>
  <si>
    <t>Falso techo continuo suspendido, situado a una altura menor de 4 m, liso, con estructura metálica, formado por una placa de yeso laminado A / UNE-EN 520 - 1200 / 3000 / 15 / con los bordes longitudinales afinados.
Incluye: Replanteo de los ejes de la estructura metálica. Colocación de la banda acústica de dilatación. Fijación del perfil perimetral. Señalización de los puntos de anclaje al forjado o elemento soporte. Nivelación y suspensión de los perfiles primarios de la estructura. Corte de las placas. Fijación de las placas. Tratamiento de juntas.</t>
  </si>
  <si>
    <t>Total 10.08.01</t>
  </si>
  <si>
    <t>10.08.02</t>
  </si>
  <si>
    <t>Falso techo continuo suspendido, situado a una altura menor de 4 m, liso, con estructura metálica, formado por una placa de yeso laminado A / UNE-EN 520 - 1200 / longitud / 15 / con los bordes longitudinales afinados.
Incluye: Replanteo de los ejes de la estructura metálica. Fijación del perfil perimetral. Señalización de los puntos de anclaje al forjado o elemento soporte. Nivelación y suspensión de los perfiles primarios de la estructura. Corte de las placas. Fijación de las placas. Tratamiento de juntas.</t>
  </si>
  <si>
    <t>Baño planta baja</t>
  </si>
  <si>
    <t>Distribuidor planta baja</t>
  </si>
  <si>
    <t>Total 10.08.02</t>
  </si>
  <si>
    <t>10.08.03</t>
  </si>
  <si>
    <t>Falso techo continuo suspendido, para exterior, formado por lamas de madera termotratada Therrmopine Finsa de 120 mm, con borde</t>
  </si>
  <si>
    <t>Falso techo continuo suspendido, para exterior, formado por lamas de madera termotratada Therrmopine Finsa de 120 mm, con borde machihembrado y acanaladuras en la cara oculta, acabado lasur incoloro, fijadas con clips a una estructura metálica de acero galvanizado de perfiles T 24 24x15x3700 mm separados cada 600 mm entre ejes.
Incluye: Trazado en los muros del nivel del falso techo. Replanteo de los perfiles primarios de la trama. Señalización de los puntos de anclaje al forjado o elemento soporte. Colocación de los clips de fijación. Nivelación y suspensión de los perfiles primarios de la trama. Colocación de los perfiles distanciadores, perpendiculares a los perfiles primarios. Corte de las lamas de madera. Fijación de las lamas de madera.</t>
  </si>
  <si>
    <t>Total 10.08.03</t>
  </si>
  <si>
    <t>10.08.04</t>
  </si>
  <si>
    <t>Falso techo liso, formado por una placa de yeso laminado A / UNE-EN 520 - 1200 / longitud / 15 / con los bordes longitudinales afinados.
Incluye: Replanteo de los ejes de la estructura metálica. Colocación de la banda acústica de dilatación. Fijación del perfil perimetral. Señalización de los puntos de anclaje al forjado o elemento soporte. Nivelación de los perfiles primarios. Corte de las placas. Fijación de las placas. Tratamiento de juntas.</t>
  </si>
  <si>
    <t>terraza</t>
  </si>
  <si>
    <t>Total 10.08.04</t>
  </si>
  <si>
    <t>10.08.05</t>
  </si>
  <si>
    <t>Tabica vertical en cambio de nivel de falso techo continuo, formada con placas de yeso laminado, para cerrar un espacio de 20 cm</t>
  </si>
  <si>
    <t>Tabica vertical en cambio de nivel de falso techo continuo, formada con placas de yeso laminado, para cerrar un espacio de 20 cm de altura.
Incluye: Replanteo y trazado en los paramentos de la situación de la tabica. Presentación y corte de las piezas. Extendido de la pasta de agarre. Fijación de las placas. Tratamiento de juntas.</t>
  </si>
  <si>
    <t>Total 10.08.05</t>
  </si>
  <si>
    <t>10.08.06</t>
  </si>
  <si>
    <t>Techo acústico de virutas  de madera Heraklith</t>
  </si>
  <si>
    <t>Techo de paneles acústicos de viruta de madera gruesa mezclada con magnesita o cemento, de dimensiones 60x120 cm y 25 mm de espesor, con una densidad de 440 kg/m2, en color natural claro y cantos vivos colocado a rompejunta, y perfilería suspendida oculta de acero galvanizado con clips de sujección o atornillado según definiciñon de D.F. y previas pruebas de acabado, s/NTE-RTP-12.</t>
  </si>
  <si>
    <t>planta sótano-garaje</t>
  </si>
  <si>
    <t>Total 10.08.06</t>
  </si>
  <si>
    <t>Total 10.08</t>
  </si>
  <si>
    <t>Total 10</t>
  </si>
  <si>
    <t>11</t>
  </si>
  <si>
    <t>Señalización y equipamiento</t>
  </si>
  <si>
    <t>11.01</t>
  </si>
  <si>
    <t>Aparatos sanitarios</t>
  </si>
  <si>
    <t>11.01.01</t>
  </si>
  <si>
    <t>Conjunto de aparatos sanitarios en baño planta baja</t>
  </si>
  <si>
    <t>Conjunto de aparatos sanitarios en aseo formado por: 
-Inodoro suspendido Roca serie The Gap Square Rimless referencia A34647A000 con tapa amortiguada de supralit, incluso bastidor con cisterna empotrable en tabique de pladur, placas de accionamiento y accesorios necesarios para la instalación.
-Lavabo mural compacto blanco de Roca serie Tura referencia A327690000 con griferia Zesis S Mezclador monomando de lavabo 100 CoolStart sin vaciador automático Referencia 74721000.
-Griferia de ducha mediante columna de ducha Tizona REF: G3781100
Incluso desagües, llaves de regulación, enlaces de alimentación flexibles y sellado con silicona.
Incluye: Replanteo. Colocación y fijación de los aparatos. Montaje del desagüe. Conexión a la red de evacuación. Montaje de la grifería. Conexión a las redes de agua fría y caliente. Comprobación de su correcto funcionamiento. Sellado de juntas.</t>
  </si>
  <si>
    <t>baño p baja</t>
  </si>
  <si>
    <t>Total 11.01.01</t>
  </si>
  <si>
    <t>11.01.02</t>
  </si>
  <si>
    <t>Conjunto de aparatos sanitarios en baño planta primera habitación principal</t>
  </si>
  <si>
    <t>Conjunto de aparatos sanitarios en aseo formado por: 
-Inodoro suspendido Roca serie The Gap Square Rimless referencia A34647A000 con tapa amortiguada de supralit, incluso bastidor con cisterna empotrable en tabique de pladur, placas de accionamiento y accesorios necesarios para la instalación.
-Lavabo sobre encimera de Roca serie The Gap Round referencia A3270MJ000 con griferia Zesis S Mezclador monomando de lavabo 230 CoolStart sin vaciador automático Referencia 74731000.
-Griferia de ducha mediante griferia Roca Pack Basic empotrado monomando L20 para baño-ducha Ref: A5D1809C00
Incluso desagües, llaves de regulación, enlaces de alimentación flexibles y sellado con silicona.
Incluye: Replanteo. Colocación y fijación de los aparatos. Montaje del desagüe. Conexión a la red de evacuación. Montaje de la grifería. Conexión a las redes de agua fría y caliente. Comprobación de su correcto funcionamiento. Sellado de juntas.</t>
  </si>
  <si>
    <t>Total 11.01.02</t>
  </si>
  <si>
    <t>11.01.03</t>
  </si>
  <si>
    <t>Conjunto de aparatos sanitarios en baño general</t>
  </si>
  <si>
    <t>Conjunto de aparatos sanitarios en aseo formado por: 
-Inodoro Gala serie Emmasquare BTW referencia G2726001, incluso placas de accionamiento y accesorios necesarios para la instalación.
-Lavabo bajo encimera compacto blanco de Roca serie The Gap referencia A3270YF000 con griferia Zesis S Mezclador monomando de lavabo 100 CoolStart sin vaciador automático Referencia 74721000.
-Bañera acrílica rectangular de Gala seríe MITTA ref G6266101 con Griferia Zesis S Mezclador monomando de bañera visto Referencia 74420000 y Vernis Blend Teleducha 100 Vario EcoSmart+ Referencia 26090000
Incluso desagües, llaves de regulación, enlaces de alimentación flexibles y sellado con silicona.
Incluye: Replanteo. Colocación y fijación de los aparatos. Montaje del desagüe. Conexión a la red de evacuación. Montaje de la grifería. Conexión a las redes de agua fría y caliente. Comprobación de su correcto funcionamiento. Sellado de juntas.</t>
  </si>
  <si>
    <t>Baño  Gral</t>
  </si>
  <si>
    <t>Total 11.01.03</t>
  </si>
  <si>
    <t>Total 11.01</t>
  </si>
  <si>
    <t>11.02</t>
  </si>
  <si>
    <t>Cocinas/galerías</t>
  </si>
  <si>
    <t>11.02.01</t>
  </si>
  <si>
    <t>Fregadero de acero inoxidable para instalación en encimera</t>
  </si>
  <si>
    <t>Fregadero de acero inoxidable para instalación en encimera, de 1 cubeta, de 450x490 mm, equipado con grifería monomando con cartucho cerámico para fregadero, gama media, acabado cromado.
Incluye: Replanteo y trazado en el paramento soporte de la situación del aparato. Colocación, nivelación y fijación de los elementos de soporte. Nivelación, aplomado y colocación del aparato. Conexión a la red de evacuación. Montaje de la grifería. Conexión a las redes de agua fría y caliente. Montaje de accesorios y complementos. Sellado de juntas.</t>
  </si>
  <si>
    <t>11.02.02</t>
  </si>
  <si>
    <t>Lavadero de porcelana sanitaria</t>
  </si>
  <si>
    <t>Lavadero de porcelana sanitaria, color blanco, de 600x390x360 mm, con mueble soporte de tablero aglomerado, de 378x555x786 mm, equipado con grifería, gama básica, con caño giratorio superior, con aireador.
Incluye: Replanteo y trazado en el paramento soporte de la situación del aparato. Colocación, nivelación y fijación de los elementos de soporte. Nivelación, aplomado y colocación del aparato. Conexión a la red de evacuación. Montaje de la grifería. Conexión a las redes de agua fría y caliente. Montaje de accesorios y complementos. Sellado de juntas.</t>
  </si>
  <si>
    <t>11.02.03</t>
  </si>
  <si>
    <t>Mobiliario completo en cocina</t>
  </si>
  <si>
    <t>Mobiliario completo en cocina compuesto por 3,40 m de muebles bajos con zócalo inferior, isla de 2,10 x 1,30 m  y 2,20 m de muebles de suelo a techo, realizado con frentes de cocina revestidos en sus caras y cantos con varias capas de laca de poliuretano de color blanco, con acabado mate y núcleo tablero de fibras tipo MDF.H (tablero de DM para utilización general en ambiente húmedo), y cuerpos de los muebles constituidos por núcleo de tablero de partículas tipo P3 no estructural (tablero aglomerado para ambiente húmedo), con recubrimiento melamínico acabado mate con papel decorativo de color blanco, impregnado con resina melamínica y cantos termoplásticos de ABS; cajones y baldas del mismo material que el cuerpo, bisagras, patas regulables para muebles bajos, guías de cajones, herrajes de cuelgue y otros herrajes de calidad básica, instalados en los cuerpos de los muebles y tiradores, pomos, sistemas de apertura automática, y otros herrajes de cierre de la serie básica, fijados en los frentes de cocina.
Incluye: Replanteo de la posición y de los puntos de sujeción. Colocación, fijación y nivelación de los cuerpos de los muebles. Colocación y fijación de bisagras y baldas. Colocación de frentes y cajones. Colocación de los tiradores en frentes y cajones. Colocación del zócalo. Limpieza y retirada de restos a contenedor.</t>
  </si>
  <si>
    <t>11.02.04</t>
  </si>
  <si>
    <t>Encimera de aglomerado de cuarzo, acabado pulido, canto simple recto,</t>
  </si>
  <si>
    <t>Encimera de aglomerado de cuarzo, acabado pulido, 2 cm de espesor, canto simple recto, con los bordes ligeramente biselados, y copete perimetral de 5 cm de altura y 2 cm de espesor, con el borde recto.
Incluye: Replanteo y trazado de la encimera formación de hueco para fegadero/lavabo. Colocación y fijación de los soportes y anclajes. Colocación, ajuste y fijación de las piezas que componen la encimera. Colocación de copete perimetral.</t>
  </si>
  <si>
    <t>Cocina lineal (formación huecos fregadero y vitro)</t>
  </si>
  <si>
    <t>Cocina isla central</t>
  </si>
  <si>
    <t>mueble baño habitación principal (formación hueco)</t>
  </si>
  <si>
    <t>mueble baño general</t>
  </si>
  <si>
    <t>Total 11.02.04</t>
  </si>
  <si>
    <t>11.02.05</t>
  </si>
  <si>
    <t>Grifería monomando para fregadero.</t>
  </si>
  <si>
    <t>Grifería monomando formada por grifo mezclador monomando de repisa para fregadero, de 1/2", con caño alto giratorio 150° y ducha teléfono extraíble con dos tipos de chorro (laminar y concentrado), inversor, válvula antirretorno, serie Eurosmart Cosmopolitan, modelo 31 481 001 "GROHE", acabado cromado, con palanca metálica, cartucho cerámico de 35 mm de diámetro, limitador de caudal y aireador. Incluso enlaces de alimentación flexibles con conexión de entrada de 3/8" de diámetro.
Incluye: Replanteo. Colocación. Conexionado. Comprobación de su correcto funcionamiento.
Criterio de medición de proyecto: Número de unidades previstas, según documentación gráfica de Proyecto.
Criterio de medición de obra: Se medirá el número de unidades realmente colocadas según especificaciones de Proyecto.</t>
  </si>
  <si>
    <t>Total 11.02.05</t>
  </si>
  <si>
    <t>Total 11.02</t>
  </si>
  <si>
    <t>11.03</t>
  </si>
  <si>
    <t>Buzones</t>
  </si>
  <si>
    <t>11.03.01</t>
  </si>
  <si>
    <t>Buzón integrado con video portero</t>
  </si>
  <si>
    <t>Buzón  metálico para exterior, vertical para integrar con vido porteno en portal de acceso y según diseño de D.F., de dimensiones 240x350x120 mm con acabado inox mate según EAN 13724, i/ tornillería de fijación y de unión, tarjetero, cerradura y llaves. Totalmente instalado</t>
  </si>
  <si>
    <t>Total 11.03.01</t>
  </si>
  <si>
    <t>Total 11.03</t>
  </si>
  <si>
    <t>Total 11</t>
  </si>
  <si>
    <t>12</t>
  </si>
  <si>
    <t>Urbanización interior de la parcela</t>
  </si>
  <si>
    <t>12.01</t>
  </si>
  <si>
    <t>Contenciones</t>
  </si>
  <si>
    <t>12.01.01</t>
  </si>
  <si>
    <t>Muro de contención de tierras de superficie plana, con puntera y talón, de hormigón armado, de hasta 3 m de altura, realizado co</t>
  </si>
  <si>
    <t>Muro de contención de tierras de superficie plana, con puntera y talón, de hormigón armado, de hasta 3 m de altura, realizado con hormigón HA-30/B/20/IIIa fabricado en central, y vertido con cubilote, y acero UNE-EN 10080 B 500 S, con una cuantía aproximada de 22 kg/m³. Incluso tubos de PVC para drenaje, alambre de atar y separadores. Acabado visto por el exterior, mediante malla de ocultación de media caña de bambú clavado a tablero soporte de encofrado, colocándolo según indicaciones de la DF.
Incluye: Replanteo de la cimentación del muro. Colocación de las armaduras con separadores homologados. Disposición de los tubos de drenaje. Resolución de juntas de construcción. Vertido y compactación del hormigón. Curado del hormigón. Reparación de defectos superficiales, si procede.</t>
  </si>
  <si>
    <t>Accesos</t>
  </si>
  <si>
    <t>Zapatas</t>
  </si>
  <si>
    <t>Total 12.01.01</t>
  </si>
  <si>
    <t>12.01.02</t>
  </si>
  <si>
    <t>Muro de contención de tierras, sin puntera, de hormigón armado, de hasta 3 m de altura, realizado con hormigón HA-30/B/20/IIIa f</t>
  </si>
  <si>
    <t>Muro de contención de tierras, sin puntera, de hormigón armado, de hasta 3 m de altura, realizado con hormigón HA-30/B/20/IIIa fabricado en central, y vertido con cubilote, y acero UNE-EN 10080 B 500 S, con una cuantía aproximada de 22 kg/m³. Incluso tubos de PVC para drenaje, alambre de atar y separadores. Acabado visto por el exterior, mediante malla de ocultación de media caña de bambú clavado a tablero soporte de encofrado, colocándolo según indicaciones de la DF.
Incluye: Replanteo de la cimentación del muro. Colocación de las armaduras con separadores homologados. Disposición de los tubos de drenaje. Resolución de juntas de construcción. Vertido y compactación del hormigón. Curado del hormigón. Reparación de defectos superficiales, si procede.</t>
  </si>
  <si>
    <t>Frente parcela</t>
  </si>
  <si>
    <t>Lateral Parcela</t>
  </si>
  <si>
    <t>Total 12.01.02</t>
  </si>
  <si>
    <t>12.01.03</t>
  </si>
  <si>
    <t>Muretes de contención de urbanización</t>
  </si>
  <si>
    <t>Muro de contención de tierras de superficie plana, previo relleno y compactación para apoyo de cimentación de muretes, con conexión a muros y piedra del terreno mediante pertoraciones y resina con la cuantía necesaría, con puntera y talón, de hormigón armado, de hasta 3 m de altura, realizado con hormigón HA-25/B/20/IIa fabricado en central, y vertido con cubilote, y acero UNE-EN 10080 B 500 S, con una cuantía aproximada de 22 kg/m³. Incluso tubos de PVC para drenaje, alambre de atar y separadores.
Incluye: Replanteo de la cimentación del muro. Colocación de las armaduras con separadores homologados. Disposición de los tubos de drenaje. Resolución de juntas de construcción. Vertido y compactación del hormigón. Curado del hormigón. Reparación de defectos superficiales, si procede.</t>
  </si>
  <si>
    <t>Muretes graderíos</t>
  </si>
  <si>
    <t>Total 12.01.03</t>
  </si>
  <si>
    <t>12.01.04</t>
  </si>
  <si>
    <t>Relleno en trasdós de muro de hormigón</t>
  </si>
  <si>
    <t>Relleno en trasdós de muro de hormigón, con tierra seleccionada procedente de la propia excavación, y compactación en tongadas sucesivas de 30 cm de espesor máximo con bandeja vibrante de guiado manual, hasta alcanzar una densidad seca no inferior al 95% de la máxima obtenida en el ensayo Proctor Modificado, realizado según UNE 103501.
Incluye: Transporte y descarga del material de relleno a pie de tajo. Extendido del material de relleno en tongadas de espesor uniforme. Humectación o desecación de cada tongada. Compactación.</t>
  </si>
  <si>
    <t>Total 12.01.04</t>
  </si>
  <si>
    <t>Total 12.01</t>
  </si>
  <si>
    <t>12.02</t>
  </si>
  <si>
    <t>Pavimentos exteriores</t>
  </si>
  <si>
    <t>12.02.01</t>
  </si>
  <si>
    <t>Peldaño de hormigón prefabricado de 21x30x100 cm, colocado sobre terreno compactado.</t>
  </si>
  <si>
    <t>Peldaño de hormigón prefabricado de 21x30x100 cm, colocado sobre terreno compactado.
Incluye: Replanteo de alineaciones y niveles. Colocación, recibido y nivelación de las piezas, incluyendo topes o contrafuertes.</t>
  </si>
  <si>
    <t>Total 12.02.01</t>
  </si>
  <si>
    <t>Total 12.02</t>
  </si>
  <si>
    <t>12.03</t>
  </si>
  <si>
    <t>Cerramientos exteriores</t>
  </si>
  <si>
    <t>12.03.01</t>
  </si>
  <si>
    <t>Barandilla en forma recta, de 90 cm de altura, formada por: bastidor compuesto de barandal superior  e inferior (inferior anclado a suelo) de pletina de perfil macizo 50x10 mm de acero inoxidable y montantes de redondo de perfil macizo de acero inoxidable de diámetro 12 mm con una separación de 100 cm entre sí; fijada mediante anclaje mecánico de expansión.
Acabado mediante pavonado quimico (acabado color negro)
Incluye: Marcado de los puntos de fijación del bastidor. Presentación del tramo de barandilla de forma que los puntos de anclaje del bastidor se sitúen en los puntos marcados. Aplomado y nivelación. Resolución de las uniones entre tramos de barandilla. Resolución de las uniones al paramento. Montaje de elementos complementarios.</t>
  </si>
  <si>
    <t>Muro frente parcela</t>
  </si>
  <si>
    <t>Total 12.03.01</t>
  </si>
  <si>
    <t>12.03.02</t>
  </si>
  <si>
    <t>Pa.1 Puerta de acceso a parcela</t>
  </si>
  <si>
    <t>Puerta de acceso a parcela, de acero inoxidable conformada con compuesto de barandal superior  e inferior (inferior anclado a suelo) de pletina de perfil macizo 50x10 mm de acero inoxidable y montantes de redondo de perfil macizo de acero inoxidable de diámetro 12 mm con una separación de 100 cm entre sí; fijada mediante anclaje mecánico de expansión.
Acabado mediante pavonado quimico (acabado color negro)
Dimensiones de 725 cm de largo, y altura variable de 150 cm a 205 cm, de hoja corredera, para acceso de vehículos, apertura automática y motorizada de características y la potencia necesaria, según plano CA 05.
Incluye: Replanteo. Colocación y fijación de los perfiles guía. Instalación de la puerta cancela. Vertido del hormigón. Montaje del sistema de apertura. Montaje del sistema de accionamiento. Conexionado eléctrico. Repaso y engrase de mecanismos y guías. Puesta en marcha.</t>
  </si>
  <si>
    <t>Pa.1</t>
  </si>
  <si>
    <t>Total 12.03.02</t>
  </si>
  <si>
    <t>12.03.03</t>
  </si>
  <si>
    <t>Pa.2 Puerta de acceso a parcela</t>
  </si>
  <si>
    <t>Puerta de acceso a parcela, de acero acero inoxidable conformada con compuesto de barandal superior  e inferior (inferior anclado a suelo) de pletina de perfil macizo 50x10 mm de acero inoxidable y montantes de redondo de perfil macizo de acero inoxidable de diámetro 12 mm con una separación de 100 cm entre sí; fijada mediante anclaje mecánico de expansión.
Acabado mediante pavonado quimico (acabado color negro)
Dimensiones de 105x200 cm de dimensión, de hoja con apertura abatible manual, con sistema de cierre mecánico mediante llave, para acceso de personas, según plano CA 05.
Incluye: Instalación de la puerta cancela. Montaje del sistema de apertura. Montaje del sistema de accionamiento. Repaso y engrase de mecanismos.</t>
  </si>
  <si>
    <t>Pa.2</t>
  </si>
  <si>
    <t>Total 12.03.03</t>
  </si>
  <si>
    <t>Total 12.03</t>
  </si>
  <si>
    <t>Total 12</t>
  </si>
  <si>
    <t>13</t>
  </si>
  <si>
    <t>Gestión de residuos</t>
  </si>
  <si>
    <t>13.01</t>
  </si>
  <si>
    <t>Gestión de residuos inertes</t>
  </si>
  <si>
    <t>13.01.01</t>
  </si>
  <si>
    <t>Transporte de residuos inertes de hormigones, morteros y prefabricados producidos en obras de construcción y/o demolición, con c</t>
  </si>
  <si>
    <t>Transporte de residuos inertes de hormigones, morteros y prefabricados producidos en obras de construcción y/o demolición, con contenedor de 7 m³, a vertedero específico, instalación de tratamiento de residuos de construcción y demolición externa a la obra o centro de valorización o eliminación de residuos. Incluso servicio de entrega, alquiler y recogida en obra del contenedor.
Incluye: Carga a camión del contenedor. Transporte de residuos de construcción a vertedero específico, instalación de tratamiento de residuos de construcción y demolición externa a la obra o centro de valorización o eliminación de residuos.</t>
  </si>
  <si>
    <t>13.01.02</t>
  </si>
  <si>
    <t>Transporte de residuos inertes de ladrillos, tejas y materiales cerámicos, producidos en obras de construcción y/o demolición, c</t>
  </si>
  <si>
    <t>Transporte de residuos inertes de ladrillos, tejas y materiales cerámicos, producidos en obras de construcción y/o demolición, con contenedor de 7 m³, a vertedero específico, instalación de tratamiento de residuos de construcción y demolición externa a la obra o centro de valorización o eliminación de residuos. Incluso servicio de entrega, alquiler y recogida en obra del contenedor.
Incluye: Carga a camión del contenedor. Transporte de residuos de construcción a vertedero específico, instalación de tratamiento de residuos de construcción y demolición externa a la obra o centro de valorización o eliminación de residuos.</t>
  </si>
  <si>
    <t>13.01.03</t>
  </si>
  <si>
    <t>Transporte de residuos inertes de madera producidos en obras de construcción y/o demolición, con contenedor de 7 m³, a vertedero</t>
  </si>
  <si>
    <t>Transporte de residuos inertes de madera producidos en obras de construcción y/o demolición, con contenedor de 7 m³, a vertedero específico, instalación de tratamiento de residuos de construcción y demolición externa a la obra o centro de valorización o eliminación de residuos. Incluso servicio de entrega, alquiler y recogida en obra del contenedor.
Incluye: Carga a camión del contenedor. Transporte de residuos de construcción a vertedero específico, instalación de tratamiento de residuos de construcción y demolición externa a la obra o centro de valorización o eliminación de residuos.</t>
  </si>
  <si>
    <t>13.01.04</t>
  </si>
  <si>
    <t>Transporte de residuos inertes vítreos producidos en obras de construcción y/o demolición, con contenedor de 7 m³, a vertedero e</t>
  </si>
  <si>
    <t>Transporte de residuos inertes vítreos producidos en obras de construcción y/o demolición, con contenedor de 7 m³, a vertedero específico, instalación de tratamiento de residuos de construcción y demolición externa a la obra o centro de valorización o eliminación de residuos. Incluso servicio de entrega, alquiler y recogida en obra del contenedor.
Incluye: Carga a camión del contenedor. Transporte de residuos de construcción a vertedero específico, instalación de tratamiento de residuos de construcción y demolición externa a la obra o centro de valorización o eliminación de residuos.</t>
  </si>
  <si>
    <t>13.01.05</t>
  </si>
  <si>
    <t>Transporte de residuos inertes plásticos producidos en obras de construcción y/o demolición, con contenedor de 7 m³, a vertedero</t>
  </si>
  <si>
    <t>Transporte de residuos inertes plásticos producidos en obras de construcción y/o demolición, con contenedor de 7 m³, a vertedero específico, instalación de tratamiento de residuos de construcción y demolición externa a la obra o centro de valorización o eliminación de residuos. Incluso servicio de entrega, alquiler y recogida en obra del contenedor.
Incluye: Carga a camión del contenedor. Transporte de residuos de construcción a vertedero específico, instalación de tratamiento de residuos de construcción y demolición externa a la obra o centro de valorización o eliminación de residuos.</t>
  </si>
  <si>
    <t>13.01.06</t>
  </si>
  <si>
    <t>Transporte de residuos inertes de papel y cartón, producidos en obras de construcción y/o demolición, con contenedor de 7 m³, a</t>
  </si>
  <si>
    <t>Transporte de residuos inertes de papel y cartón, producidos en obras de construcción y/o demolición, con contenedor de 7 m³, a vertedero específico, instalación de tratamiento de residuos de construcción y demolición externa a la obra o centro de valorización o eliminación de residuos. Incluso servicio de entrega, alquiler y recogida en obra del contenedor.
Incluye: Carga a camión del contenedor. Transporte de residuos de construcción a vertedero específico, instalación de tratamiento de residuos de construcción y demolición externa a la obra o centro de valorización o eliminación de residuos.</t>
  </si>
  <si>
    <t>13.01.07</t>
  </si>
  <si>
    <t>Transporte de residuos inertes metálicos producidos en obras de construcción y/o demolición, con contenedor de 7 m³, a vertedero</t>
  </si>
  <si>
    <t>Transporte de residuos inertes metálicos producidos en obras de construcción y/o demolición, con contenedor de 7 m³, a vertedero específico, instalación de tratamiento de residuos de construcción y demolición externa a la obra o centro de valorización o eliminación de residuos. Incluso servicio de entrega, alquiler y recogida en obra del contenedor.
Incluye: Carga a camión del contenedor. Transporte de residuos de construcción a vertedero específico, instalación de tratamiento de residuos de construcción y demolición externa a la obra o centro de valorización o eliminación de residuos.</t>
  </si>
  <si>
    <t>13.01.08</t>
  </si>
  <si>
    <t>Transporte de mezcla sin clasificar de residuos inertes producidos en obras de construcción y/o demolición, con contenedor de 7</t>
  </si>
  <si>
    <t>Transporte de mezcla sin clasificar de residuos inertes producidos en obras de construcción y/o demolición, con contenedor de 7 m³, a vertedero específico, instalación de tratamiento de residuos de construcción y demolición externa a la obra o centro de valorización o eliminación de residuos. Incluso servicio de entrega, alquiler y recogida en obra del contenedor.
Incluye: Carga a camión del contenedor. Transporte de residuos de construcción a vertedero específico, instalación de tratamiento de residuos de construcción y demolición externa a la obra o centro de valorización o eliminación de residuos.</t>
  </si>
  <si>
    <t>13.01.09</t>
  </si>
  <si>
    <t>Canon de vertido por entrega de contenedor de 7 m³ con residuos inertes de hormigones, morteros y prefabricados producidos en ob</t>
  </si>
  <si>
    <t>Canon de vertido por entrega de contenedor de 7 m³ con residuos inertes de hormigones, morteros y prefabricados producidos en obras de construcción y/o demolición, en vertedero específico, instalación de tratamiento de residuos de construcción y demolición externa a la obra o centro de valorización o eliminación de residuos.</t>
  </si>
  <si>
    <t>13.01.10</t>
  </si>
  <si>
    <t>Canon de vertido por entrega de contenedor de 7 m³ con residuos inertes de ladrillos, tejas y materiales cerámicos, producidos e</t>
  </si>
  <si>
    <t>Canon de vertido por entrega de contenedor de 7 m³ con residuos inertes de ladrillos, tejas y materiales cerámicos, producidos en obras de construcción y/o demolición, en vertedero específico, instalación de tratamiento de residuos de construcción y demolición externa a la obra o centro de valorización o eliminación de residuos.</t>
  </si>
  <si>
    <t>13.01.11</t>
  </si>
  <si>
    <t>Canon de vertido por entrega de contenedor de 7 m³ con residuos inertes de madera producidos en obras de construcción y/o demoli</t>
  </si>
  <si>
    <t>Canon de vertido por entrega de contenedor de 7 m³ con residuos inertes de madera producidos en obras de construcción y/o demolición, en vertedero específico, instalación de tratamiento de residuos de construcción y demolición externa a la obra o centro de valorización o eliminación de residuos.</t>
  </si>
  <si>
    <t>13.01.12</t>
  </si>
  <si>
    <t>Canon de vertido por entrega de contenedor de 7 m³ con residuos inertes vítreos producidos en obras de construcción y/o demolici</t>
  </si>
  <si>
    <t>Canon de vertido por entrega de contenedor de 7 m³ con residuos inertes vítreos producidos en obras de construcción y/o demolición, en vertedero específico, instalación de tratamiento de residuos de construcción y demolición externa a la obra o centro de valorización o eliminación de residuos.</t>
  </si>
  <si>
    <t>13.01.13</t>
  </si>
  <si>
    <t>Canon de vertido por entrega de contenedor de 7 m³ con residuos inertes plásticos producidos en obras de construcción y/o demoli</t>
  </si>
  <si>
    <t>Canon de vertido por entrega de contenedor de 7 m³ con residuos inertes plásticos producidos en obras de construcción y/o demolición, en vertedero específico, instalación de tratamiento de residuos de construcción y demolición externa a la obra o centro de valorización o eliminación de residuos.</t>
  </si>
  <si>
    <t>13.01.14</t>
  </si>
  <si>
    <t>Canon de vertido por entrega de contenedor de 7 m³ con residuos inertes de papel y cartón, producidos en obras de construcción y</t>
  </si>
  <si>
    <t>Canon de vertido por entrega de contenedor de 7 m³ con residuos inertes de papel y cartón, producidos en obras de construcción y/o demolición, en vertedero específico, instalación de tratamiento de residuos de construcción y demolición externa a la obra o centro de valorización o eliminación de residuos.</t>
  </si>
  <si>
    <t>13.01.15</t>
  </si>
  <si>
    <t>Canon de vertido por entrega de contenedor de 7 m³ con residuos inertes metálicos producidos en obras de construcción y/o demoli</t>
  </si>
  <si>
    <t>Canon de vertido por entrega de contenedor de 7 m³ con residuos inertes metálicos producidos en obras de construcción y/o demolición, en vertedero específico, instalación de tratamiento de residuos de construcción y demolición externa a la obra o centro de valorización o eliminación de residuos.</t>
  </si>
  <si>
    <t>13.01.16</t>
  </si>
  <si>
    <t>Canon de vertido por entrega de contenedor de 7 m³ con mezcla sin clasificar de residuos inertes producidos en obras de construc</t>
  </si>
  <si>
    <t>Canon de vertido por entrega de contenedor de 7 m³ con mezcla sin clasificar de residuos inertes producidos en obras de construcción y/o demolición, en vertedero específico, instalación de tratamiento de residuos de construcción y demolición externa a la obra o centro de valorización o eliminación de residuos.</t>
  </si>
  <si>
    <t>Total 13.01</t>
  </si>
  <si>
    <t>Total 13</t>
  </si>
  <si>
    <t>14</t>
  </si>
  <si>
    <t>Control de calidad y ensayos</t>
  </si>
  <si>
    <t>14.01</t>
  </si>
  <si>
    <t>Estructuras de hormigón</t>
  </si>
  <si>
    <t>14.01.01</t>
  </si>
  <si>
    <t>Ensayo sobre una muestra de barras corrugadas de acero de un mismo lote, con determinación de: sección media equivalente, caract</t>
  </si>
  <si>
    <t>Ensayo sobre una muestra de barras corrugadas de acero de un mismo lote, con determinación de: sección media equivalente, características geométricas del corrugado, doblado/desdoblado.
Incluye: Desplazamiento a obra. Toma de muestras. Realización de ensayos. Redacción de informe de los resultados de los ensayos realizados.</t>
  </si>
  <si>
    <t>B 500 S (Serie fina)</t>
  </si>
  <si>
    <t>B 500 S (Serie media)</t>
  </si>
  <si>
    <t>B 500 S (Serie gruesa)</t>
  </si>
  <si>
    <t>Total 14.01.01</t>
  </si>
  <si>
    <t>14.01.02</t>
  </si>
  <si>
    <t>Ensayo sobre una muestra de barras corrugadas de acero de cada diámetro, con determinación de características mecánicas.</t>
  </si>
  <si>
    <t>Ensayo sobre una muestra de barras corrugadas de acero de cada diámetro, con determinación de características mecánicas.
Incluye: Desplazamiento a obra. Toma de muestras. Realización de ensayos. Redacción de informe de los resultados de los ensayos realizados.</t>
  </si>
  <si>
    <t>14.01.03</t>
  </si>
  <si>
    <t>Ensayo sobre una muestra de mallas electrosoldadas con determinación de: sección media equivalente, características geométricas</t>
  </si>
  <si>
    <t>Ensayo sobre una muestra de mallas electrosoldadas con determinación de: sección media equivalente, características geométricas del corrugado, doblado/desdoblado, carga de despegue.
Incluye: Desplazamiento a obra. Toma de muestras. Realización de ensayos. Redacción de informe de los resultados de los ensayos realizados.</t>
  </si>
  <si>
    <t>Serie fina</t>
  </si>
  <si>
    <t>Total 14.01.03</t>
  </si>
  <si>
    <t>14.01.04</t>
  </si>
  <si>
    <t>Ensayo sobre una muestra de una malla electrosoldada de cada diámetro, con determinación de características mecánicas.</t>
  </si>
  <si>
    <t>Ensayo sobre una muestra de una malla electrosoldada de cada diámetro, con determinación de características mecánicas.
Incluye: Desplazamiento a obra. Toma de muestras. Realización de ensayos. Redacción de informe de los resultados de los ensayos realizados.</t>
  </si>
  <si>
    <t>14.01.05</t>
  </si>
  <si>
    <t>Ensayo sobre una muestra de hormigón sin D.O.R. con determinación de: consistencia del hormigón fresco mediante el método de ase</t>
  </si>
  <si>
    <t>Ensayo sobre una muestra de hormigón sin D.O.R. con determinación de: consistencia del hormigón fresco mediante el método de asentamiento del cono de Abrams y resistencia característica a compresión del hormigón endurecido mediante control estadístico con fabricación de seis probetas, curado, refrentado y rotura a compresión.
Incluye: Desplazamiento a obra. Toma de muestras. Realización de ensayos. Redacción de informe de los resultados de los ensayos realizados.</t>
  </si>
  <si>
    <t>Elementos a compresión (HA-25/B/20/IIa)</t>
  </si>
  <si>
    <t>Elementos a flexión (HA-25/B/20/IIa)</t>
  </si>
  <si>
    <t>Macizos (HA-25/B/20/IIa)</t>
  </si>
  <si>
    <t>Total 14.01.05</t>
  </si>
  <si>
    <t>Total 14.01</t>
  </si>
  <si>
    <t>14.02</t>
  </si>
  <si>
    <t>Estructuras metálicas</t>
  </si>
  <si>
    <t>14.02.01</t>
  </si>
  <si>
    <t>Ensayo sobre una muestra de perfil laminado, con determinación del espesor del recubrimiento.</t>
  </si>
  <si>
    <t>Ensayo sobre una muestra de perfil laminado, con determinación del espesor del recubrimiento.
Incluye: Desplazamiento a obra. Toma de muestras. Realización de ensayos. Redacción de informe de los resultados de los ensayos realizados.</t>
  </si>
  <si>
    <t>14.02.02</t>
  </si>
  <si>
    <t>Inspección visual sobre una unión soldada.</t>
  </si>
  <si>
    <t>Inspección visual sobre una unión soldada.
Incluye: Desplazamiento a obra. Realización del ensayo. Redacción de informe del resultado del ensayo realizado.</t>
  </si>
  <si>
    <t>14.02.03</t>
  </si>
  <si>
    <t>Ensayo no destructivo sobre una unión soldada, mediante partículas magnéticas.</t>
  </si>
  <si>
    <t>Ensayo no destructivo sobre una unión soldada, mediante partículas magnéticas.
Incluye: Desplazamiento a obra. Realización del ensayo. Redacción de informe del resultado del ensayo realizado.</t>
  </si>
  <si>
    <t>Total 14.02</t>
  </si>
  <si>
    <t>Total 14</t>
  </si>
  <si>
    <t>15</t>
  </si>
  <si>
    <t>Seguridad y salud</t>
  </si>
  <si>
    <t>15.01</t>
  </si>
  <si>
    <t>Medidas de seguridad y salud para el conjunto de la obra conforme Estudio Básico de Seguridad y Salud, Normativa en vigor, plan de seguridad y salud e indicaciones del coordinador de seguridad y salud y de la dirección facultativa.</t>
  </si>
  <si>
    <t>15.02</t>
  </si>
  <si>
    <t>Andamio de obra</t>
  </si>
  <si>
    <t>UD. De Montaje y desmontaje de andamio tubular tipo europeo para los trabajos que requieran su uso.</t>
  </si>
  <si>
    <t>Total 15</t>
  </si>
  <si>
    <t>Total 200117LU___314_010</t>
  </si>
</sst>
</file>

<file path=xl/styles.xml><?xml version="1.0" encoding="utf-8"?>
<styleSheet xmlns="http://schemas.openxmlformats.org/spreadsheetml/2006/main">
  <numFmts count="2">
    <numFmt numFmtId="164" formatCode="#,##0.000"/>
    <numFmt numFmtId="165" formatCode="#,##0.0?????????"/>
  </numFmts>
  <fonts count="9">
    <font>
      <sz val="11"/>
      <color theme="1"/>
      <name val="Calibri"/>
      <family val="2"/>
      <scheme val="minor"/>
    </font>
    <font>
      <b/>
      <sz val="10"/>
      <color theme="1"/>
      <name val="Calibri"/>
      <family val="2"/>
      <scheme val="minor"/>
    </font>
    <font>
      <b/>
      <sz val="14"/>
      <color theme="1"/>
      <name val="Calibri"/>
      <family val="2"/>
      <scheme val="minor"/>
    </font>
    <font>
      <b/>
      <sz val="11"/>
      <color indexed="81"/>
      <name val="Tahoma"/>
      <family val="2"/>
    </font>
    <font>
      <b/>
      <i/>
      <sz val="10"/>
      <color theme="1"/>
      <name val="Calibri"/>
      <family val="2"/>
      <scheme val="minor"/>
    </font>
    <font>
      <b/>
      <sz val="8"/>
      <color theme="1"/>
      <name val="Calibri"/>
      <family val="2"/>
      <scheme val="minor"/>
    </font>
    <font>
      <b/>
      <sz val="8"/>
      <color rgb="FFFF40FF"/>
      <name val="Calibri"/>
      <family val="2"/>
      <scheme val="minor"/>
    </font>
    <font>
      <sz val="8"/>
      <color theme="1"/>
      <name val="Calibri"/>
      <family val="2"/>
      <scheme val="minor"/>
    </font>
    <font>
      <sz val="8"/>
      <color rgb="FFFF40FF"/>
      <name val="Calibri"/>
      <family val="2"/>
      <scheme val="minor"/>
    </font>
  </fonts>
  <fills count="6">
    <fill>
      <patternFill patternType="none"/>
    </fill>
    <fill>
      <patternFill patternType="gray125"/>
    </fill>
    <fill>
      <patternFill patternType="solid">
        <fgColor rgb="FFBED2B7"/>
        <bgColor indexed="64"/>
      </patternFill>
    </fill>
    <fill>
      <patternFill patternType="solid">
        <fgColor rgb="FFCADAC4"/>
        <bgColor indexed="64"/>
      </patternFill>
    </fill>
    <fill>
      <patternFill patternType="solid">
        <fgColor rgb="FFFFEDDB"/>
        <bgColor indexed="64"/>
      </patternFill>
    </fill>
    <fill>
      <patternFill patternType="solid">
        <fgColor rgb="FFC0C0C0"/>
        <bgColor indexed="64"/>
      </patternFill>
    </fill>
  </fills>
  <borders count="1">
    <border>
      <left/>
      <right/>
      <top/>
      <bottom/>
      <diagonal/>
    </border>
  </borders>
  <cellStyleXfs count="1">
    <xf numFmtId="0" fontId="0" fillId="0" borderId="0"/>
  </cellStyleXfs>
  <cellXfs count="32">
    <xf numFmtId="0" fontId="0" fillId="0" borderId="0" xfId="0"/>
    <xf numFmtId="0" fontId="1" fillId="0" borderId="0" xfId="0" applyFont="1" applyAlignment="1">
      <alignment vertical="top"/>
    </xf>
    <xf numFmtId="0" fontId="0" fillId="0" borderId="0" xfId="0" applyAlignment="1">
      <alignment vertical="top"/>
    </xf>
    <xf numFmtId="0" fontId="2" fillId="0" borderId="0" xfId="0" applyFont="1" applyAlignment="1">
      <alignment vertical="top"/>
    </xf>
    <xf numFmtId="0" fontId="4" fillId="0" borderId="0" xfId="0" applyFont="1" applyAlignment="1">
      <alignment vertical="top"/>
    </xf>
    <xf numFmtId="49" fontId="5" fillId="2" borderId="0" xfId="0" applyNumberFormat="1" applyFont="1" applyFill="1" applyAlignment="1">
      <alignment vertical="top"/>
    </xf>
    <xf numFmtId="0" fontId="5" fillId="2" borderId="0" xfId="0" applyFont="1" applyFill="1" applyAlignment="1">
      <alignment vertical="top"/>
    </xf>
    <xf numFmtId="3" fontId="6" fillId="2" borderId="0" xfId="0" applyNumberFormat="1" applyFont="1" applyFill="1" applyAlignment="1">
      <alignment vertical="top"/>
    </xf>
    <xf numFmtId="4" fontId="6" fillId="2" borderId="0" xfId="0" applyNumberFormat="1" applyFont="1" applyFill="1" applyAlignment="1">
      <alignment vertical="top"/>
    </xf>
    <xf numFmtId="0" fontId="7" fillId="0" borderId="0" xfId="0" applyFont="1" applyAlignment="1">
      <alignment vertical="top"/>
    </xf>
    <xf numFmtId="49" fontId="7" fillId="0" borderId="0" xfId="0" applyNumberFormat="1" applyFont="1" applyAlignment="1">
      <alignment vertical="top"/>
    </xf>
    <xf numFmtId="49" fontId="5" fillId="3" borderId="0" xfId="0" applyNumberFormat="1" applyFont="1" applyFill="1" applyAlignment="1">
      <alignment vertical="top"/>
    </xf>
    <xf numFmtId="0" fontId="5" fillId="3" borderId="0" xfId="0" applyFont="1" applyFill="1" applyAlignment="1">
      <alignment vertical="top"/>
    </xf>
    <xf numFmtId="164" fontId="6" fillId="3" borderId="0" xfId="0" applyNumberFormat="1" applyFont="1" applyFill="1" applyAlignment="1">
      <alignment vertical="top"/>
    </xf>
    <xf numFmtId="4" fontId="6" fillId="3" borderId="0" xfId="0" applyNumberFormat="1" applyFont="1" applyFill="1" applyAlignment="1">
      <alignment vertical="top"/>
    </xf>
    <xf numFmtId="49" fontId="7" fillId="4" borderId="0" xfId="0" applyNumberFormat="1" applyFont="1" applyFill="1" applyAlignment="1">
      <alignment vertical="top"/>
    </xf>
    <xf numFmtId="164" fontId="8" fillId="0" borderId="0" xfId="0" applyNumberFormat="1" applyFont="1" applyAlignment="1">
      <alignment vertical="top"/>
    </xf>
    <xf numFmtId="4" fontId="8" fillId="0" borderId="0" xfId="0" applyNumberFormat="1" applyFont="1" applyAlignment="1">
      <alignment vertical="top"/>
    </xf>
    <xf numFmtId="49" fontId="7" fillId="0" borderId="0" xfId="0" applyNumberFormat="1" applyFont="1" applyAlignment="1">
      <alignment vertical="top" wrapText="1"/>
    </xf>
    <xf numFmtId="165" fontId="7" fillId="0" borderId="0" xfId="0" applyNumberFormat="1" applyFont="1" applyAlignment="1">
      <alignment vertical="top"/>
    </xf>
    <xf numFmtId="164" fontId="7" fillId="0" borderId="0" xfId="0" applyNumberFormat="1" applyFont="1" applyAlignment="1">
      <alignment vertical="top"/>
    </xf>
    <xf numFmtId="49" fontId="5" fillId="0" borderId="0" xfId="0" applyNumberFormat="1" applyFont="1" applyAlignment="1">
      <alignment vertical="top"/>
    </xf>
    <xf numFmtId="164" fontId="6" fillId="0" borderId="0" xfId="0" applyNumberFormat="1" applyFont="1" applyAlignment="1">
      <alignment vertical="top"/>
    </xf>
    <xf numFmtId="4" fontId="7" fillId="0" borderId="0" xfId="0" applyNumberFormat="1" applyFont="1" applyAlignment="1">
      <alignment vertical="top"/>
    </xf>
    <xf numFmtId="4" fontId="6" fillId="0" borderId="0" xfId="0" applyNumberFormat="1" applyFont="1" applyAlignment="1">
      <alignment vertical="top"/>
    </xf>
    <xf numFmtId="0" fontId="7" fillId="5" borderId="0" xfId="0" applyFont="1" applyFill="1" applyAlignment="1">
      <alignment vertical="top"/>
    </xf>
    <xf numFmtId="3" fontId="7" fillId="0" borderId="0" xfId="0" applyNumberFormat="1" applyFont="1" applyAlignment="1">
      <alignment vertical="top"/>
    </xf>
    <xf numFmtId="0" fontId="4" fillId="0" borderId="0" xfId="0" applyFont="1" applyAlignment="1">
      <alignment vertical="top" wrapText="1"/>
    </xf>
    <xf numFmtId="49" fontId="5" fillId="2" borderId="0" xfId="0" applyNumberFormat="1" applyFont="1" applyFill="1" applyAlignment="1">
      <alignment vertical="top" wrapText="1"/>
    </xf>
    <xf numFmtId="49" fontId="5" fillId="3" borderId="0" xfId="0" applyNumberFormat="1" applyFont="1" applyFill="1" applyAlignment="1">
      <alignment vertical="top" wrapText="1"/>
    </xf>
    <xf numFmtId="0" fontId="7" fillId="0" borderId="0" xfId="0" applyFont="1" applyAlignment="1">
      <alignment vertical="top" wrapText="1"/>
    </xf>
    <xf numFmtId="0" fontId="7" fillId="5" borderId="0" xfId="0" applyFont="1" applyFill="1" applyAlignment="1">
      <alignment vertical="top" wrapText="1"/>
    </xf>
  </cellXfs>
  <cellStyles count="1">
    <cellStyle name="Normal" xfId="0" builtinId="0"/>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dimension ref="A1:M1884"/>
  <sheetViews>
    <sheetView tabSelected="1" workbookViewId="0">
      <pane xSplit="4" ySplit="3" topLeftCell="E4" activePane="bottomRight" state="frozen"/>
      <selection pane="topRight" activeCell="E1" sqref="E1"/>
      <selection pane="bottomLeft" activeCell="A4" sqref="A4"/>
      <selection pane="bottomRight" activeCell="E4" sqref="E4"/>
    </sheetView>
  </sheetViews>
  <sheetFormatPr baseColWidth="10" defaultRowHeight="15"/>
  <cols>
    <col min="1" max="1" width="7" customWidth="1"/>
    <col min="2" max="2" width="6.5703125" customWidth="1"/>
    <col min="3" max="3" width="6.7109375" customWidth="1"/>
    <col min="4" max="4" width="32.85546875" customWidth="1"/>
    <col min="5" max="5" width="47.7109375" bestFit="1" customWidth="1"/>
    <col min="6" max="6" width="11.7109375" bestFit="1" customWidth="1"/>
    <col min="7" max="7" width="8.5703125" customWidth="1"/>
    <col min="8" max="8" width="8.140625" customWidth="1"/>
    <col min="9" max="9" width="6.5703125" customWidth="1"/>
    <col min="10" max="10" width="19.5703125" bestFit="1" customWidth="1"/>
    <col min="11" max="11" width="7.85546875" customWidth="1"/>
    <col min="12" max="12" width="4.85546875" customWidth="1"/>
    <col min="13" max="13" width="7.7109375" customWidth="1"/>
  </cols>
  <sheetData>
    <row r="1" spans="1:13">
      <c r="A1" s="1" t="s">
        <v>0</v>
      </c>
      <c r="B1" s="2"/>
      <c r="C1" s="2"/>
      <c r="D1" s="2"/>
      <c r="E1" s="2"/>
      <c r="F1" s="2"/>
      <c r="G1" s="2"/>
      <c r="H1" s="2"/>
      <c r="I1" s="2"/>
      <c r="J1" s="2"/>
      <c r="K1" s="2"/>
      <c r="L1" s="2"/>
      <c r="M1" s="2"/>
    </row>
    <row r="2" spans="1:13" ht="18.75">
      <c r="A2" s="3" t="s">
        <v>1</v>
      </c>
      <c r="B2" s="2"/>
      <c r="C2" s="2"/>
      <c r="D2" s="2"/>
      <c r="E2" s="2"/>
      <c r="F2" s="2"/>
      <c r="G2" s="2"/>
      <c r="H2" s="2"/>
      <c r="I2" s="2"/>
      <c r="J2" s="2"/>
      <c r="K2" s="2"/>
      <c r="L2" s="2"/>
      <c r="M2" s="2"/>
    </row>
    <row r="3" spans="1:13">
      <c r="A3" s="4" t="s">
        <v>2</v>
      </c>
      <c r="B3" s="4" t="s">
        <v>3</v>
      </c>
      <c r="C3" s="4" t="s">
        <v>4</v>
      </c>
      <c r="D3" s="27" t="s">
        <v>5</v>
      </c>
      <c r="E3" s="4" t="s">
        <v>6</v>
      </c>
      <c r="F3" s="4" t="s">
        <v>7</v>
      </c>
      <c r="G3" s="4" t="s">
        <v>8</v>
      </c>
      <c r="H3" s="4" t="s">
        <v>9</v>
      </c>
      <c r="I3" s="4" t="s">
        <v>10</v>
      </c>
      <c r="J3" s="4" t="s">
        <v>11</v>
      </c>
      <c r="K3" s="4" t="s">
        <v>12</v>
      </c>
      <c r="L3" s="4" t="s">
        <v>13</v>
      </c>
      <c r="M3" s="4" t="s">
        <v>14</v>
      </c>
    </row>
    <row r="4" spans="1:13">
      <c r="A4" s="5" t="s">
        <v>15</v>
      </c>
      <c r="B4" s="5" t="s">
        <v>16</v>
      </c>
      <c r="C4" s="5" t="s">
        <v>17</v>
      </c>
      <c r="D4" s="28" t="s">
        <v>18</v>
      </c>
      <c r="E4" s="6"/>
      <c r="F4" s="6"/>
      <c r="G4" s="6"/>
      <c r="H4" s="6"/>
      <c r="I4" s="6"/>
      <c r="J4" s="6"/>
      <c r="K4" s="7">
        <f>K119</f>
        <v>1</v>
      </c>
      <c r="L4" s="8">
        <f>L119</f>
        <v>0</v>
      </c>
      <c r="M4" s="8">
        <f>M119</f>
        <v>0</v>
      </c>
    </row>
    <row r="5" spans="1:13" ht="56.25">
      <c r="A5" s="9"/>
      <c r="B5" s="9"/>
      <c r="C5" s="9"/>
      <c r="D5" s="18" t="s">
        <v>19</v>
      </c>
      <c r="E5" s="9"/>
      <c r="F5" s="9"/>
      <c r="G5" s="9"/>
      <c r="H5" s="9"/>
      <c r="I5" s="9"/>
      <c r="J5" s="9"/>
      <c r="K5" s="9"/>
      <c r="L5" s="9"/>
      <c r="M5" s="9"/>
    </row>
    <row r="6" spans="1:13">
      <c r="A6" s="11" t="s">
        <v>20</v>
      </c>
      <c r="B6" s="11" t="s">
        <v>16</v>
      </c>
      <c r="C6" s="11" t="s">
        <v>17</v>
      </c>
      <c r="D6" s="29" t="s">
        <v>21</v>
      </c>
      <c r="E6" s="12"/>
      <c r="F6" s="12"/>
      <c r="G6" s="12"/>
      <c r="H6" s="12"/>
      <c r="I6" s="12"/>
      <c r="J6" s="12"/>
      <c r="K6" s="13">
        <f>K40</f>
        <v>1</v>
      </c>
      <c r="L6" s="14">
        <f>L40</f>
        <v>0</v>
      </c>
      <c r="M6" s="14">
        <f>M40</f>
        <v>0</v>
      </c>
    </row>
    <row r="7" spans="1:13">
      <c r="A7" s="15" t="s">
        <v>22</v>
      </c>
      <c r="B7" s="10" t="s">
        <v>23</v>
      </c>
      <c r="C7" s="10" t="s">
        <v>24</v>
      </c>
      <c r="D7" s="18" t="s">
        <v>25</v>
      </c>
      <c r="E7" s="9"/>
      <c r="F7" s="9"/>
      <c r="G7" s="9"/>
      <c r="H7" s="9"/>
      <c r="I7" s="9"/>
      <c r="J7" s="9"/>
      <c r="K7" s="16">
        <f>K10</f>
        <v>40.799999999999997</v>
      </c>
      <c r="L7" s="17">
        <f>L10</f>
        <v>0</v>
      </c>
      <c r="M7" s="17">
        <f>M10</f>
        <v>0</v>
      </c>
    </row>
    <row r="8" spans="1:13">
      <c r="A8" s="9"/>
      <c r="B8" s="9"/>
      <c r="C8" s="9"/>
      <c r="D8" s="18" t="s">
        <v>26</v>
      </c>
      <c r="E8" s="9"/>
      <c r="F8" s="9"/>
      <c r="G8" s="9"/>
      <c r="H8" s="9"/>
      <c r="I8" s="9"/>
      <c r="J8" s="9"/>
      <c r="K8" s="9"/>
      <c r="L8" s="9"/>
      <c r="M8" s="9"/>
    </row>
    <row r="9" spans="1:13">
      <c r="A9" s="9"/>
      <c r="B9" s="9"/>
      <c r="C9" s="10" t="s">
        <v>27</v>
      </c>
      <c r="D9" s="30"/>
      <c r="E9" s="10" t="s">
        <v>28</v>
      </c>
      <c r="F9" s="19">
        <v>1</v>
      </c>
      <c r="G9" s="20">
        <v>12.75</v>
      </c>
      <c r="H9" s="20">
        <v>0</v>
      </c>
      <c r="I9" s="20">
        <v>0</v>
      </c>
      <c r="J9" s="20">
        <v>40.799999999999997</v>
      </c>
      <c r="K9" s="10" t="s">
        <v>29</v>
      </c>
      <c r="L9" s="9"/>
      <c r="M9" s="9"/>
    </row>
    <row r="10" spans="1:13">
      <c r="A10" s="9"/>
      <c r="B10" s="9"/>
      <c r="C10" s="9"/>
      <c r="D10" s="30"/>
      <c r="E10" s="9"/>
      <c r="F10" s="9"/>
      <c r="G10" s="9"/>
      <c r="H10" s="9"/>
      <c r="I10" s="9"/>
      <c r="J10" s="21" t="s">
        <v>30</v>
      </c>
      <c r="K10" s="22">
        <f>J9</f>
        <v>40.799999999999997</v>
      </c>
      <c r="L10" s="23">
        <v>0</v>
      </c>
      <c r="M10" s="24">
        <f>ROUND(K10*L10,2)</f>
        <v>0</v>
      </c>
    </row>
    <row r="11" spans="1:13" ht="0.95" customHeight="1">
      <c r="A11" s="25"/>
      <c r="B11" s="25"/>
      <c r="C11" s="25"/>
      <c r="D11" s="31"/>
      <c r="E11" s="25"/>
      <c r="F11" s="25"/>
      <c r="G11" s="25"/>
      <c r="H11" s="25"/>
      <c r="I11" s="25"/>
      <c r="J11" s="25"/>
      <c r="K11" s="25"/>
      <c r="L11" s="25"/>
      <c r="M11" s="25"/>
    </row>
    <row r="12" spans="1:13">
      <c r="A12" s="15" t="s">
        <v>31</v>
      </c>
      <c r="B12" s="10" t="s">
        <v>23</v>
      </c>
      <c r="C12" s="10" t="s">
        <v>24</v>
      </c>
      <c r="D12" s="18" t="s">
        <v>32</v>
      </c>
      <c r="E12" s="9"/>
      <c r="F12" s="9"/>
      <c r="G12" s="9"/>
      <c r="H12" s="9"/>
      <c r="I12" s="9"/>
      <c r="J12" s="9"/>
      <c r="K12" s="16">
        <f>K15</f>
        <v>43.604999999999997</v>
      </c>
      <c r="L12" s="17">
        <f>L15</f>
        <v>0</v>
      </c>
      <c r="M12" s="17">
        <f>M15</f>
        <v>0</v>
      </c>
    </row>
    <row r="13" spans="1:13">
      <c r="A13" s="9"/>
      <c r="B13" s="9"/>
      <c r="C13" s="9"/>
      <c r="D13" s="18" t="s">
        <v>33</v>
      </c>
      <c r="E13" s="9"/>
      <c r="F13" s="9"/>
      <c r="G13" s="9"/>
      <c r="H13" s="9"/>
      <c r="I13" s="9"/>
      <c r="J13" s="9"/>
      <c r="K13" s="9"/>
      <c r="L13" s="9"/>
      <c r="M13" s="9"/>
    </row>
    <row r="14" spans="1:13">
      <c r="A14" s="9"/>
      <c r="B14" s="9"/>
      <c r="C14" s="10" t="s">
        <v>27</v>
      </c>
      <c r="D14" s="30"/>
      <c r="E14" s="10" t="s">
        <v>34</v>
      </c>
      <c r="F14" s="19">
        <v>1</v>
      </c>
      <c r="G14" s="20">
        <v>12.75</v>
      </c>
      <c r="H14" s="20">
        <v>0</v>
      </c>
      <c r="I14" s="20">
        <v>0</v>
      </c>
      <c r="J14" s="20">
        <v>43.604999999999997</v>
      </c>
      <c r="K14" s="10" t="s">
        <v>35</v>
      </c>
      <c r="L14" s="9"/>
      <c r="M14" s="9"/>
    </row>
    <row r="15" spans="1:13">
      <c r="A15" s="9"/>
      <c r="B15" s="9"/>
      <c r="C15" s="9"/>
      <c r="D15" s="30"/>
      <c r="E15" s="9"/>
      <c r="F15" s="9"/>
      <c r="G15" s="9"/>
      <c r="H15" s="9"/>
      <c r="I15" s="9"/>
      <c r="J15" s="21" t="s">
        <v>36</v>
      </c>
      <c r="K15" s="22">
        <f>J14</f>
        <v>43.604999999999997</v>
      </c>
      <c r="L15" s="23">
        <v>0</v>
      </c>
      <c r="M15" s="24">
        <f>ROUND(K15*L15,2)</f>
        <v>0</v>
      </c>
    </row>
    <row r="16" spans="1:13" ht="0.95" customHeight="1">
      <c r="A16" s="25"/>
      <c r="B16" s="25"/>
      <c r="C16" s="25"/>
      <c r="D16" s="31"/>
      <c r="E16" s="25"/>
      <c r="F16" s="25"/>
      <c r="G16" s="25"/>
      <c r="H16" s="25"/>
      <c r="I16" s="25"/>
      <c r="J16" s="25"/>
      <c r="K16" s="25"/>
      <c r="L16" s="25"/>
      <c r="M16" s="25"/>
    </row>
    <row r="17" spans="1:13">
      <c r="A17" s="15" t="s">
        <v>37</v>
      </c>
      <c r="B17" s="10" t="s">
        <v>23</v>
      </c>
      <c r="C17" s="10" t="s">
        <v>24</v>
      </c>
      <c r="D17" s="18" t="s">
        <v>38</v>
      </c>
      <c r="E17" s="9"/>
      <c r="F17" s="9"/>
      <c r="G17" s="9"/>
      <c r="H17" s="9"/>
      <c r="I17" s="9"/>
      <c r="J17" s="9"/>
      <c r="K17" s="16">
        <f>K21</f>
        <v>24.75</v>
      </c>
      <c r="L17" s="17">
        <f>L21</f>
        <v>0</v>
      </c>
      <c r="M17" s="17">
        <f>M21</f>
        <v>0</v>
      </c>
    </row>
    <row r="18" spans="1:13">
      <c r="A18" s="9"/>
      <c r="B18" s="9"/>
      <c r="C18" s="9"/>
      <c r="D18" s="18" t="s">
        <v>39</v>
      </c>
      <c r="E18" s="9"/>
      <c r="F18" s="9"/>
      <c r="G18" s="9"/>
      <c r="H18" s="9"/>
      <c r="I18" s="9"/>
      <c r="J18" s="9"/>
      <c r="K18" s="9"/>
      <c r="L18" s="9"/>
      <c r="M18" s="9"/>
    </row>
    <row r="19" spans="1:13">
      <c r="A19" s="9"/>
      <c r="B19" s="9"/>
      <c r="C19" s="10" t="s">
        <v>27</v>
      </c>
      <c r="D19" s="30"/>
      <c r="E19" s="10" t="s">
        <v>40</v>
      </c>
      <c r="F19" s="19">
        <v>1</v>
      </c>
      <c r="G19" s="20">
        <v>9</v>
      </c>
      <c r="H19" s="20">
        <v>0.5</v>
      </c>
      <c r="I19" s="20">
        <v>1</v>
      </c>
      <c r="J19" s="16">
        <f>OR(F19&lt;&gt;0,G19&lt;&gt;0,H19&lt;&gt;0,I19&lt;&gt;0)*(F19 + (F19 = 0))*(G19 + (G19 = 0))*(H19 + (H19 = 0))*(I19 + (I19 = 0))</f>
        <v>4.5</v>
      </c>
      <c r="K19" s="9"/>
      <c r="L19" s="9"/>
      <c r="M19" s="9"/>
    </row>
    <row r="20" spans="1:13">
      <c r="A20" s="9"/>
      <c r="B20" s="9"/>
      <c r="C20" s="10" t="s">
        <v>27</v>
      </c>
      <c r="D20" s="30"/>
      <c r="E20" s="10" t="s">
        <v>41</v>
      </c>
      <c r="F20" s="19">
        <v>9</v>
      </c>
      <c r="G20" s="20">
        <v>9</v>
      </c>
      <c r="H20" s="20">
        <v>0.5</v>
      </c>
      <c r="I20" s="20">
        <v>0.5</v>
      </c>
      <c r="J20" s="16">
        <f>OR(F20&lt;&gt;0,G20&lt;&gt;0,H20&lt;&gt;0,I20&lt;&gt;0)*(F20 + (F20 = 0))*(G20 + (G20 = 0))*(H20 + (H20 = 0))*(I20 + (I20 = 0))</f>
        <v>20.25</v>
      </c>
      <c r="K20" s="9"/>
      <c r="L20" s="9"/>
      <c r="M20" s="9"/>
    </row>
    <row r="21" spans="1:13">
      <c r="A21" s="9"/>
      <c r="B21" s="9"/>
      <c r="C21" s="9"/>
      <c r="D21" s="30"/>
      <c r="E21" s="9"/>
      <c r="F21" s="9"/>
      <c r="G21" s="9"/>
      <c r="H21" s="9"/>
      <c r="I21" s="9"/>
      <c r="J21" s="21" t="s">
        <v>42</v>
      </c>
      <c r="K21" s="22">
        <f>SUM(J19:J20)</f>
        <v>24.75</v>
      </c>
      <c r="L21" s="23">
        <v>0</v>
      </c>
      <c r="M21" s="24">
        <f>ROUND(K21*L21,2)</f>
        <v>0</v>
      </c>
    </row>
    <row r="22" spans="1:13" ht="0.95" customHeight="1">
      <c r="A22" s="25"/>
      <c r="B22" s="25"/>
      <c r="C22" s="25"/>
      <c r="D22" s="31"/>
      <c r="E22" s="25"/>
      <c r="F22" s="25"/>
      <c r="G22" s="25"/>
      <c r="H22" s="25"/>
      <c r="I22" s="25"/>
      <c r="J22" s="25"/>
      <c r="K22" s="25"/>
      <c r="L22" s="25"/>
      <c r="M22" s="25"/>
    </row>
    <row r="23" spans="1:13" ht="33.75">
      <c r="A23" s="15" t="s">
        <v>43</v>
      </c>
      <c r="B23" s="10" t="s">
        <v>23</v>
      </c>
      <c r="C23" s="10" t="s">
        <v>24</v>
      </c>
      <c r="D23" s="18" t="s">
        <v>44</v>
      </c>
      <c r="E23" s="9"/>
      <c r="F23" s="9"/>
      <c r="G23" s="9"/>
      <c r="H23" s="9"/>
      <c r="I23" s="9"/>
      <c r="J23" s="9"/>
      <c r="K23" s="16">
        <f>K28</f>
        <v>17.303000000000001</v>
      </c>
      <c r="L23" s="17">
        <f>L28</f>
        <v>0</v>
      </c>
      <c r="M23" s="17">
        <f>M28</f>
        <v>0</v>
      </c>
    </row>
    <row r="24" spans="1:13">
      <c r="A24" s="9"/>
      <c r="B24" s="9"/>
      <c r="C24" s="9"/>
      <c r="D24" s="18" t="s">
        <v>45</v>
      </c>
      <c r="E24" s="9"/>
      <c r="F24" s="9"/>
      <c r="G24" s="9"/>
      <c r="H24" s="9"/>
      <c r="I24" s="9"/>
      <c r="J24" s="9"/>
      <c r="K24" s="9"/>
      <c r="L24" s="9"/>
      <c r="M24" s="9"/>
    </row>
    <row r="25" spans="1:13">
      <c r="A25" s="9"/>
      <c r="B25" s="9"/>
      <c r="C25" s="10" t="s">
        <v>27</v>
      </c>
      <c r="D25" s="30"/>
      <c r="E25" s="10" t="s">
        <v>17</v>
      </c>
      <c r="F25" s="19">
        <v>1</v>
      </c>
      <c r="G25" s="20">
        <v>6.69</v>
      </c>
      <c r="H25" s="20">
        <v>0.5</v>
      </c>
      <c r="I25" s="20">
        <v>0.5</v>
      </c>
      <c r="J25" s="16">
        <f>OR(F25&lt;&gt;0,G25&lt;&gt;0,H25&lt;&gt;0,I25&lt;&gt;0)*(F25 + (F25 = 0))*(G25 + (G25 = 0))*(H25 + (H25 = 0))*(I25 + (I25 = 0))</f>
        <v>1.673</v>
      </c>
      <c r="K25" s="9"/>
      <c r="L25" s="9"/>
      <c r="M25" s="9"/>
    </row>
    <row r="26" spans="1:13">
      <c r="A26" s="9"/>
      <c r="B26" s="9"/>
      <c r="C26" s="10" t="s">
        <v>27</v>
      </c>
      <c r="D26" s="30"/>
      <c r="E26" s="10" t="s">
        <v>17</v>
      </c>
      <c r="F26" s="19">
        <v>1</v>
      </c>
      <c r="G26" s="20">
        <v>56.16</v>
      </c>
      <c r="H26" s="20">
        <v>0.5</v>
      </c>
      <c r="I26" s="20">
        <v>0.5</v>
      </c>
      <c r="J26" s="16">
        <f>OR(F26&lt;&gt;0,G26&lt;&gt;0,H26&lt;&gt;0,I26&lt;&gt;0)*(F26 + (F26 = 0))*(G26 + (G26 = 0))*(H26 + (H26 = 0))*(I26 + (I26 = 0))</f>
        <v>14.04</v>
      </c>
      <c r="K26" s="9"/>
      <c r="L26" s="9"/>
      <c r="M26" s="9"/>
    </row>
    <row r="27" spans="1:13">
      <c r="A27" s="9"/>
      <c r="B27" s="9"/>
      <c r="C27" s="10" t="s">
        <v>27</v>
      </c>
      <c r="D27" s="30"/>
      <c r="E27" s="10" t="s">
        <v>17</v>
      </c>
      <c r="F27" s="19">
        <v>1</v>
      </c>
      <c r="G27" s="20">
        <v>6.36</v>
      </c>
      <c r="H27" s="20">
        <v>0.5</v>
      </c>
      <c r="I27" s="20">
        <v>0.5</v>
      </c>
      <c r="J27" s="16">
        <f>OR(F27&lt;&gt;0,G27&lt;&gt;0,H27&lt;&gt;0,I27&lt;&gt;0)*(F27 + (F27 = 0))*(G27 + (G27 = 0))*(H27 + (H27 = 0))*(I27 + (I27 = 0))</f>
        <v>1.59</v>
      </c>
      <c r="K27" s="9"/>
      <c r="L27" s="9"/>
      <c r="M27" s="9"/>
    </row>
    <row r="28" spans="1:13">
      <c r="A28" s="9"/>
      <c r="B28" s="9"/>
      <c r="C28" s="9"/>
      <c r="D28" s="30"/>
      <c r="E28" s="9"/>
      <c r="F28" s="9"/>
      <c r="G28" s="9"/>
      <c r="H28" s="9"/>
      <c r="I28" s="9"/>
      <c r="J28" s="21" t="s">
        <v>46</v>
      </c>
      <c r="K28" s="22">
        <f>SUM(J25:J27)</f>
        <v>17.303000000000001</v>
      </c>
      <c r="L28" s="23">
        <v>0</v>
      </c>
      <c r="M28" s="24">
        <f>ROUND(K28*L28,2)</f>
        <v>0</v>
      </c>
    </row>
    <row r="29" spans="1:13" ht="0.95" customHeight="1">
      <c r="A29" s="25"/>
      <c r="B29" s="25"/>
      <c r="C29" s="25"/>
      <c r="D29" s="31"/>
      <c r="E29" s="25"/>
      <c r="F29" s="25"/>
      <c r="G29" s="25"/>
      <c r="H29" s="25"/>
      <c r="I29" s="25"/>
      <c r="J29" s="25"/>
      <c r="K29" s="25"/>
      <c r="L29" s="25"/>
      <c r="M29" s="25"/>
    </row>
    <row r="30" spans="1:13">
      <c r="A30" s="15" t="s">
        <v>47</v>
      </c>
      <c r="B30" s="10" t="s">
        <v>23</v>
      </c>
      <c r="C30" s="10" t="s">
        <v>24</v>
      </c>
      <c r="D30" s="18" t="s">
        <v>48</v>
      </c>
      <c r="E30" s="9"/>
      <c r="F30" s="9"/>
      <c r="G30" s="9"/>
      <c r="H30" s="9"/>
      <c r="I30" s="9"/>
      <c r="J30" s="9"/>
      <c r="K30" s="16">
        <f>K33</f>
        <v>301.91000000000003</v>
      </c>
      <c r="L30" s="17">
        <f>L33</f>
        <v>0</v>
      </c>
      <c r="M30" s="17">
        <f>M33</f>
        <v>0</v>
      </c>
    </row>
    <row r="31" spans="1:13">
      <c r="A31" s="9"/>
      <c r="B31" s="9"/>
      <c r="C31" s="9"/>
      <c r="D31" s="18" t="s">
        <v>49</v>
      </c>
      <c r="E31" s="9"/>
      <c r="F31" s="9"/>
      <c r="G31" s="9"/>
      <c r="H31" s="9"/>
      <c r="I31" s="9"/>
      <c r="J31" s="9"/>
      <c r="K31" s="9"/>
      <c r="L31" s="9"/>
      <c r="M31" s="9"/>
    </row>
    <row r="32" spans="1:13">
      <c r="A32" s="9"/>
      <c r="B32" s="9"/>
      <c r="C32" s="10" t="s">
        <v>27</v>
      </c>
      <c r="D32" s="30"/>
      <c r="E32" s="10" t="s">
        <v>17</v>
      </c>
      <c r="F32" s="19">
        <v>1</v>
      </c>
      <c r="G32" s="23">
        <v>301.91000000000003</v>
      </c>
      <c r="H32" s="23">
        <v>0</v>
      </c>
      <c r="I32" s="23">
        <v>0</v>
      </c>
      <c r="J32" s="17">
        <f>OR(F32&lt;&gt;0,G32&lt;&gt;0,H32&lt;&gt;0,I32&lt;&gt;0)*(F32 + (F32 = 0))*(G32 + (G32 = 0))*(H32 + (H32 = 0))*(I32 + (I32 = 0))</f>
        <v>301.91000000000003</v>
      </c>
      <c r="K32" s="9"/>
      <c r="L32" s="9"/>
      <c r="M32" s="9"/>
    </row>
    <row r="33" spans="1:13">
      <c r="A33" s="9"/>
      <c r="B33" s="9"/>
      <c r="C33" s="9"/>
      <c r="D33" s="30"/>
      <c r="E33" s="9"/>
      <c r="F33" s="9"/>
      <c r="G33" s="9"/>
      <c r="H33" s="9"/>
      <c r="I33" s="9"/>
      <c r="J33" s="21" t="s">
        <v>50</v>
      </c>
      <c r="K33" s="22">
        <f>J32</f>
        <v>301.91000000000003</v>
      </c>
      <c r="L33" s="23">
        <v>0</v>
      </c>
      <c r="M33" s="24">
        <f>ROUND(K33*L33,2)</f>
        <v>0</v>
      </c>
    </row>
    <row r="34" spans="1:13" ht="0.95" customHeight="1">
      <c r="A34" s="25"/>
      <c r="B34" s="25"/>
      <c r="C34" s="25"/>
      <c r="D34" s="31"/>
      <c r="E34" s="25"/>
      <c r="F34" s="25"/>
      <c r="G34" s="25"/>
      <c r="H34" s="25"/>
      <c r="I34" s="25"/>
      <c r="J34" s="25"/>
      <c r="K34" s="25"/>
      <c r="L34" s="25"/>
      <c r="M34" s="25"/>
    </row>
    <row r="35" spans="1:13" ht="45">
      <c r="A35" s="15" t="s">
        <v>51</v>
      </c>
      <c r="B35" s="10" t="s">
        <v>23</v>
      </c>
      <c r="C35" s="10" t="s">
        <v>24</v>
      </c>
      <c r="D35" s="18" t="s">
        <v>52</v>
      </c>
      <c r="E35" s="9"/>
      <c r="F35" s="9"/>
      <c r="G35" s="9"/>
      <c r="H35" s="9"/>
      <c r="I35" s="9"/>
      <c r="J35" s="9"/>
      <c r="K35" s="16">
        <f>K38</f>
        <v>10.210000000000001</v>
      </c>
      <c r="L35" s="17">
        <f>L38</f>
        <v>0</v>
      </c>
      <c r="M35" s="17">
        <f>M38</f>
        <v>0</v>
      </c>
    </row>
    <row r="36" spans="1:13">
      <c r="A36" s="9"/>
      <c r="B36" s="9"/>
      <c r="C36" s="9"/>
      <c r="D36" s="18" t="s">
        <v>53</v>
      </c>
      <c r="E36" s="9"/>
      <c r="F36" s="9"/>
      <c r="G36" s="9"/>
      <c r="H36" s="9"/>
      <c r="I36" s="9"/>
      <c r="J36" s="9"/>
      <c r="K36" s="9"/>
      <c r="L36" s="9"/>
      <c r="M36" s="9"/>
    </row>
    <row r="37" spans="1:13">
      <c r="A37" s="9"/>
      <c r="B37" s="9"/>
      <c r="C37" s="10" t="s">
        <v>27</v>
      </c>
      <c r="D37" s="30"/>
      <c r="E37" s="10" t="s">
        <v>17</v>
      </c>
      <c r="F37" s="19">
        <v>1</v>
      </c>
      <c r="G37" s="20">
        <v>10.210000000000001</v>
      </c>
      <c r="H37" s="20">
        <v>0</v>
      </c>
      <c r="I37" s="20">
        <v>0</v>
      </c>
      <c r="J37" s="16">
        <f>OR(F37&lt;&gt;0,G37&lt;&gt;0,H37&lt;&gt;0,I37&lt;&gt;0)*(F37 + (F37 = 0))*(G37 + (G37 = 0))*(H37 + (H37 = 0))*(I37 + (I37 = 0))</f>
        <v>10.210000000000001</v>
      </c>
      <c r="K37" s="9"/>
      <c r="L37" s="9"/>
      <c r="M37" s="9"/>
    </row>
    <row r="38" spans="1:13">
      <c r="A38" s="9"/>
      <c r="B38" s="9"/>
      <c r="C38" s="9"/>
      <c r="D38" s="30"/>
      <c r="E38" s="9"/>
      <c r="F38" s="9"/>
      <c r="G38" s="9"/>
      <c r="H38" s="9"/>
      <c r="I38" s="9"/>
      <c r="J38" s="21" t="s">
        <v>54</v>
      </c>
      <c r="K38" s="22">
        <f>J37</f>
        <v>10.210000000000001</v>
      </c>
      <c r="L38" s="23">
        <v>0</v>
      </c>
      <c r="M38" s="24">
        <f>ROUND(K38*L38,2)</f>
        <v>0</v>
      </c>
    </row>
    <row r="39" spans="1:13" ht="0.95" customHeight="1">
      <c r="A39" s="25"/>
      <c r="B39" s="25"/>
      <c r="C39" s="25"/>
      <c r="D39" s="31"/>
      <c r="E39" s="25"/>
      <c r="F39" s="25"/>
      <c r="G39" s="25"/>
      <c r="H39" s="25"/>
      <c r="I39" s="25"/>
      <c r="J39" s="25"/>
      <c r="K39" s="25"/>
      <c r="L39" s="25"/>
      <c r="M39" s="25"/>
    </row>
    <row r="40" spans="1:13">
      <c r="A40" s="9"/>
      <c r="B40" s="9"/>
      <c r="C40" s="9"/>
      <c r="D40" s="30"/>
      <c r="E40" s="9"/>
      <c r="F40" s="9"/>
      <c r="G40" s="9"/>
      <c r="H40" s="9"/>
      <c r="I40" s="9"/>
      <c r="J40" s="21" t="s">
        <v>55</v>
      </c>
      <c r="K40" s="20">
        <v>1</v>
      </c>
      <c r="L40" s="24">
        <f>M7+M12+M17+M23+M30+M35</f>
        <v>0</v>
      </c>
      <c r="M40" s="24">
        <f>ROUND(K40*L40,2)</f>
        <v>0</v>
      </c>
    </row>
    <row r="41" spans="1:13" ht="0.95" customHeight="1">
      <c r="A41" s="25"/>
      <c r="B41" s="25"/>
      <c r="C41" s="25"/>
      <c r="D41" s="31"/>
      <c r="E41" s="25"/>
      <c r="F41" s="25"/>
      <c r="G41" s="25"/>
      <c r="H41" s="25"/>
      <c r="I41" s="25"/>
      <c r="J41" s="25"/>
      <c r="K41" s="25"/>
      <c r="L41" s="25"/>
      <c r="M41" s="25"/>
    </row>
    <row r="42" spans="1:13">
      <c r="A42" s="11" t="s">
        <v>56</v>
      </c>
      <c r="B42" s="11" t="s">
        <v>16</v>
      </c>
      <c r="C42" s="11" t="s">
        <v>17</v>
      </c>
      <c r="D42" s="29" t="s">
        <v>57</v>
      </c>
      <c r="E42" s="12"/>
      <c r="F42" s="12"/>
      <c r="G42" s="12"/>
      <c r="H42" s="12"/>
      <c r="I42" s="12"/>
      <c r="J42" s="12"/>
      <c r="K42" s="13">
        <f>K73</f>
        <v>1</v>
      </c>
      <c r="L42" s="14">
        <f>L73</f>
        <v>0</v>
      </c>
      <c r="M42" s="14">
        <f>M73</f>
        <v>0</v>
      </c>
    </row>
    <row r="43" spans="1:13">
      <c r="A43" s="15" t="s">
        <v>58</v>
      </c>
      <c r="B43" s="10" t="s">
        <v>23</v>
      </c>
      <c r="C43" s="10" t="s">
        <v>4</v>
      </c>
      <c r="D43" s="18" t="s">
        <v>59</v>
      </c>
      <c r="E43" s="9"/>
      <c r="F43" s="9"/>
      <c r="G43" s="9"/>
      <c r="H43" s="9"/>
      <c r="I43" s="9"/>
      <c r="J43" s="9"/>
      <c r="K43" s="16">
        <f>K53</f>
        <v>8</v>
      </c>
      <c r="L43" s="17">
        <f>L53</f>
        <v>0</v>
      </c>
      <c r="M43" s="17">
        <f>M53</f>
        <v>0</v>
      </c>
    </row>
    <row r="44" spans="1:13">
      <c r="A44" s="9"/>
      <c r="B44" s="9"/>
      <c r="C44" s="9"/>
      <c r="D44" s="18" t="s">
        <v>60</v>
      </c>
      <c r="E44" s="9"/>
      <c r="F44" s="9"/>
      <c r="G44" s="9"/>
      <c r="H44" s="9"/>
      <c r="I44" s="9"/>
      <c r="J44" s="9"/>
      <c r="K44" s="9"/>
      <c r="L44" s="9"/>
      <c r="M44" s="9"/>
    </row>
    <row r="45" spans="1:13">
      <c r="A45" s="9"/>
      <c r="B45" s="9"/>
      <c r="C45" s="10" t="s">
        <v>27</v>
      </c>
      <c r="D45" s="30"/>
      <c r="E45" s="10" t="s">
        <v>17</v>
      </c>
      <c r="F45" s="19">
        <v>1</v>
      </c>
      <c r="G45" s="20">
        <v>1</v>
      </c>
      <c r="H45" s="20">
        <v>0</v>
      </c>
      <c r="I45" s="20">
        <v>0</v>
      </c>
      <c r="J45" s="16">
        <f>OR(F45&lt;&gt;0,G45&lt;&gt;0,H45&lt;&gt;0,I45&lt;&gt;0)*(F45 + (F45 = 0))*(G45 + (G45 = 0))*(H45 + (H45 = 0))*(I45 + (I45 = 0))</f>
        <v>1</v>
      </c>
      <c r="K45" s="9"/>
      <c r="L45" s="9"/>
      <c r="M45" s="9"/>
    </row>
    <row r="46" spans="1:13">
      <c r="A46" s="9"/>
      <c r="B46" s="9"/>
      <c r="C46" s="10" t="s">
        <v>27</v>
      </c>
      <c r="D46" s="30"/>
      <c r="E46" s="10" t="s">
        <v>17</v>
      </c>
      <c r="F46" s="19">
        <v>1</v>
      </c>
      <c r="G46" s="20">
        <v>1</v>
      </c>
      <c r="H46" s="20">
        <v>0</v>
      </c>
      <c r="I46" s="20">
        <v>0</v>
      </c>
      <c r="J46" s="16">
        <f>OR(F46&lt;&gt;0,G46&lt;&gt;0,H46&lt;&gt;0,I46&lt;&gt;0)*(F46 + (F46 = 0))*(G46 + (G46 = 0))*(H46 + (H46 = 0))*(I46 + (I46 = 0))</f>
        <v>1</v>
      </c>
      <c r="K46" s="9"/>
      <c r="L46" s="9"/>
      <c r="M46" s="9"/>
    </row>
    <row r="47" spans="1:13">
      <c r="A47" s="9"/>
      <c r="B47" s="9"/>
      <c r="C47" s="10" t="s">
        <v>27</v>
      </c>
      <c r="D47" s="30"/>
      <c r="E47" s="10" t="s">
        <v>17</v>
      </c>
      <c r="F47" s="19">
        <v>1</v>
      </c>
      <c r="G47" s="20">
        <v>1</v>
      </c>
      <c r="H47" s="20">
        <v>0</v>
      </c>
      <c r="I47" s="20">
        <v>0</v>
      </c>
      <c r="J47" s="16">
        <f>OR(F47&lt;&gt;0,G47&lt;&gt;0,H47&lt;&gt;0,I47&lt;&gt;0)*(F47 + (F47 = 0))*(G47 + (G47 = 0))*(H47 + (H47 = 0))*(I47 + (I47 = 0))</f>
        <v>1</v>
      </c>
      <c r="K47" s="9"/>
      <c r="L47" s="9"/>
      <c r="M47" s="9"/>
    </row>
    <row r="48" spans="1:13">
      <c r="A48" s="9"/>
      <c r="B48" s="9"/>
      <c r="C48" s="10" t="s">
        <v>27</v>
      </c>
      <c r="D48" s="30"/>
      <c r="E48" s="10" t="s">
        <v>17</v>
      </c>
      <c r="F48" s="19">
        <v>1</v>
      </c>
      <c r="G48" s="20">
        <v>1</v>
      </c>
      <c r="H48" s="20">
        <v>0</v>
      </c>
      <c r="I48" s="20">
        <v>0</v>
      </c>
      <c r="J48" s="16">
        <f>OR(F48&lt;&gt;0,G48&lt;&gt;0,H48&lt;&gt;0,I48&lt;&gt;0)*(F48 + (F48 = 0))*(G48 + (G48 = 0))*(H48 + (H48 = 0))*(I48 + (I48 = 0))</f>
        <v>1</v>
      </c>
      <c r="K48" s="9"/>
      <c r="L48" s="9"/>
      <c r="M48" s="9"/>
    </row>
    <row r="49" spans="1:13">
      <c r="A49" s="9"/>
      <c r="B49" s="9"/>
      <c r="C49" s="10" t="s">
        <v>27</v>
      </c>
      <c r="D49" s="30"/>
      <c r="E49" s="10" t="s">
        <v>17</v>
      </c>
      <c r="F49" s="19">
        <v>1</v>
      </c>
      <c r="G49" s="20">
        <v>1</v>
      </c>
      <c r="H49" s="20">
        <v>0</v>
      </c>
      <c r="I49" s="20">
        <v>0</v>
      </c>
      <c r="J49" s="16">
        <f>OR(F49&lt;&gt;0,G49&lt;&gt;0,H49&lt;&gt;0,I49&lt;&gt;0)*(F49 + (F49 = 0))*(G49 + (G49 = 0))*(H49 + (H49 = 0))*(I49 + (I49 = 0))</f>
        <v>1</v>
      </c>
      <c r="K49" s="9"/>
      <c r="L49" s="9"/>
      <c r="M49" s="9"/>
    </row>
    <row r="50" spans="1:13">
      <c r="A50" s="9"/>
      <c r="B50" s="9"/>
      <c r="C50" s="10" t="s">
        <v>27</v>
      </c>
      <c r="D50" s="30"/>
      <c r="E50" s="10" t="s">
        <v>17</v>
      </c>
      <c r="F50" s="19">
        <v>1</v>
      </c>
      <c r="G50" s="20">
        <v>1</v>
      </c>
      <c r="H50" s="20">
        <v>0</v>
      </c>
      <c r="I50" s="20">
        <v>0</v>
      </c>
      <c r="J50" s="16">
        <f>OR(F50&lt;&gt;0,G50&lt;&gt;0,H50&lt;&gt;0,I50&lt;&gt;0)*(F50 + (F50 = 0))*(G50 + (G50 = 0))*(H50 + (H50 = 0))*(I50 + (I50 = 0))</f>
        <v>1</v>
      </c>
      <c r="K50" s="9"/>
      <c r="L50" s="9"/>
      <c r="M50" s="9"/>
    </row>
    <row r="51" spans="1:13">
      <c r="A51" s="9"/>
      <c r="B51" s="9"/>
      <c r="C51" s="10" t="s">
        <v>27</v>
      </c>
      <c r="D51" s="30"/>
      <c r="E51" s="10" t="s">
        <v>17</v>
      </c>
      <c r="F51" s="19">
        <v>1</v>
      </c>
      <c r="G51" s="20">
        <v>1</v>
      </c>
      <c r="H51" s="20">
        <v>0</v>
      </c>
      <c r="I51" s="20">
        <v>0</v>
      </c>
      <c r="J51" s="16">
        <f>OR(F51&lt;&gt;0,G51&lt;&gt;0,H51&lt;&gt;0,I51&lt;&gt;0)*(F51 + (F51 = 0))*(G51 + (G51 = 0))*(H51 + (H51 = 0))*(I51 + (I51 = 0))</f>
        <v>1</v>
      </c>
      <c r="K51" s="9"/>
      <c r="L51" s="9"/>
      <c r="M51" s="9"/>
    </row>
    <row r="52" spans="1:13">
      <c r="A52" s="9"/>
      <c r="B52" s="9"/>
      <c r="C52" s="10" t="s">
        <v>27</v>
      </c>
      <c r="D52" s="30"/>
      <c r="E52" s="10" t="s">
        <v>17</v>
      </c>
      <c r="F52" s="19">
        <v>1</v>
      </c>
      <c r="G52" s="20">
        <v>1</v>
      </c>
      <c r="H52" s="20">
        <v>0</v>
      </c>
      <c r="I52" s="20">
        <v>0</v>
      </c>
      <c r="J52" s="16">
        <f>OR(F52&lt;&gt;0,G52&lt;&gt;0,H52&lt;&gt;0,I52&lt;&gt;0)*(F52 + (F52 = 0))*(G52 + (G52 = 0))*(H52 + (H52 = 0))*(I52 + (I52 = 0))</f>
        <v>1</v>
      </c>
      <c r="K52" s="9"/>
      <c r="L52" s="9"/>
      <c r="M52" s="9"/>
    </row>
    <row r="53" spans="1:13">
      <c r="A53" s="9"/>
      <c r="B53" s="9"/>
      <c r="C53" s="9"/>
      <c r="D53" s="30"/>
      <c r="E53" s="9"/>
      <c r="F53" s="9"/>
      <c r="G53" s="9"/>
      <c r="H53" s="9"/>
      <c r="I53" s="9"/>
      <c r="J53" s="21" t="s">
        <v>61</v>
      </c>
      <c r="K53" s="22">
        <f>SUM(J45:J52)</f>
        <v>8</v>
      </c>
      <c r="L53" s="23">
        <v>0</v>
      </c>
      <c r="M53" s="24">
        <f>ROUND(K53*L53,2)</f>
        <v>0</v>
      </c>
    </row>
    <row r="54" spans="1:13" ht="0.95" customHeight="1">
      <c r="A54" s="25"/>
      <c r="B54" s="25"/>
      <c r="C54" s="25"/>
      <c r="D54" s="31"/>
      <c r="E54" s="25"/>
      <c r="F54" s="25"/>
      <c r="G54" s="25"/>
      <c r="H54" s="25"/>
      <c r="I54" s="25"/>
      <c r="J54" s="25"/>
      <c r="K54" s="25"/>
      <c r="L54" s="25"/>
      <c r="M54" s="25"/>
    </row>
    <row r="55" spans="1:13">
      <c r="A55" s="15" t="s">
        <v>62</v>
      </c>
      <c r="B55" s="10" t="s">
        <v>23</v>
      </c>
      <c r="C55" s="10" t="s">
        <v>4</v>
      </c>
      <c r="D55" s="18" t="s">
        <v>63</v>
      </c>
      <c r="E55" s="9"/>
      <c r="F55" s="9"/>
      <c r="G55" s="9"/>
      <c r="H55" s="9"/>
      <c r="I55" s="9"/>
      <c r="J55" s="9"/>
      <c r="K55" s="20">
        <v>1</v>
      </c>
      <c r="L55" s="23">
        <v>0</v>
      </c>
      <c r="M55" s="17">
        <f>ROUND(K55*L55,2)</f>
        <v>0</v>
      </c>
    </row>
    <row r="56" spans="1:13">
      <c r="A56" s="9"/>
      <c r="B56" s="9"/>
      <c r="C56" s="9"/>
      <c r="D56" s="18" t="s">
        <v>64</v>
      </c>
      <c r="E56" s="9"/>
      <c r="F56" s="9"/>
      <c r="G56" s="9"/>
      <c r="H56" s="9"/>
      <c r="I56" s="9"/>
      <c r="J56" s="9"/>
      <c r="K56" s="9"/>
      <c r="L56" s="9"/>
      <c r="M56" s="9"/>
    </row>
    <row r="57" spans="1:13">
      <c r="A57" s="15" t="s">
        <v>65</v>
      </c>
      <c r="B57" s="10" t="s">
        <v>23</v>
      </c>
      <c r="C57" s="10" t="s">
        <v>66</v>
      </c>
      <c r="D57" s="18" t="s">
        <v>67</v>
      </c>
      <c r="E57" s="9"/>
      <c r="F57" s="9"/>
      <c r="G57" s="9"/>
      <c r="H57" s="9"/>
      <c r="I57" s="9"/>
      <c r="J57" s="9"/>
      <c r="K57" s="20">
        <v>6.36</v>
      </c>
      <c r="L57" s="23">
        <v>0</v>
      </c>
      <c r="M57" s="17">
        <f>ROUND(K57*L57,2)</f>
        <v>0</v>
      </c>
    </row>
    <row r="58" spans="1:13">
      <c r="A58" s="9"/>
      <c r="B58" s="9"/>
      <c r="C58" s="9"/>
      <c r="D58" s="18" t="s">
        <v>68</v>
      </c>
      <c r="E58" s="9"/>
      <c r="F58" s="9"/>
      <c r="G58" s="9"/>
      <c r="H58" s="9"/>
      <c r="I58" s="9"/>
      <c r="J58" s="9"/>
      <c r="K58" s="9"/>
      <c r="L58" s="9"/>
      <c r="M58" s="9"/>
    </row>
    <row r="59" spans="1:13" ht="22.5">
      <c r="A59" s="15" t="s">
        <v>69</v>
      </c>
      <c r="B59" s="10" t="s">
        <v>23</v>
      </c>
      <c r="C59" s="10" t="s">
        <v>4</v>
      </c>
      <c r="D59" s="18" t="s">
        <v>70</v>
      </c>
      <c r="E59" s="9"/>
      <c r="F59" s="9"/>
      <c r="G59" s="9"/>
      <c r="H59" s="9"/>
      <c r="I59" s="9"/>
      <c r="J59" s="9"/>
      <c r="K59" s="20">
        <v>2</v>
      </c>
      <c r="L59" s="23">
        <v>0</v>
      </c>
      <c r="M59" s="17">
        <f>ROUND(K59*L59,2)</f>
        <v>0</v>
      </c>
    </row>
    <row r="60" spans="1:13">
      <c r="A60" s="9"/>
      <c r="B60" s="9"/>
      <c r="C60" s="9"/>
      <c r="D60" s="18" t="s">
        <v>71</v>
      </c>
      <c r="E60" s="9"/>
      <c r="F60" s="9"/>
      <c r="G60" s="9"/>
      <c r="H60" s="9"/>
      <c r="I60" s="9"/>
      <c r="J60" s="9"/>
      <c r="K60" s="9"/>
      <c r="L60" s="9"/>
      <c r="M60" s="9"/>
    </row>
    <row r="61" spans="1:13" ht="22.5">
      <c r="A61" s="15" t="s">
        <v>72</v>
      </c>
      <c r="B61" s="10" t="s">
        <v>23</v>
      </c>
      <c r="C61" s="10" t="s">
        <v>66</v>
      </c>
      <c r="D61" s="18" t="s">
        <v>73</v>
      </c>
      <c r="E61" s="9"/>
      <c r="F61" s="9"/>
      <c r="G61" s="9"/>
      <c r="H61" s="9"/>
      <c r="I61" s="9"/>
      <c r="J61" s="9"/>
      <c r="K61" s="20">
        <v>56.16</v>
      </c>
      <c r="L61" s="23">
        <v>0</v>
      </c>
      <c r="M61" s="17">
        <f>ROUND(K61*L61,2)</f>
        <v>0</v>
      </c>
    </row>
    <row r="62" spans="1:13">
      <c r="A62" s="9"/>
      <c r="B62" s="9"/>
      <c r="C62" s="9"/>
      <c r="D62" s="18" t="s">
        <v>74</v>
      </c>
      <c r="E62" s="9"/>
      <c r="F62" s="9"/>
      <c r="G62" s="9"/>
      <c r="H62" s="9"/>
      <c r="I62" s="9"/>
      <c r="J62" s="9"/>
      <c r="K62" s="9"/>
      <c r="L62" s="9"/>
      <c r="M62" s="9"/>
    </row>
    <row r="63" spans="1:13" ht="22.5">
      <c r="A63" s="15" t="s">
        <v>75</v>
      </c>
      <c r="B63" s="10" t="s">
        <v>23</v>
      </c>
      <c r="C63" s="10" t="s">
        <v>66</v>
      </c>
      <c r="D63" s="18" t="s">
        <v>76</v>
      </c>
      <c r="E63" s="9"/>
      <c r="F63" s="9"/>
      <c r="G63" s="9"/>
      <c r="H63" s="9"/>
      <c r="I63" s="9"/>
      <c r="J63" s="9"/>
      <c r="K63" s="20">
        <v>62.22</v>
      </c>
      <c r="L63" s="23">
        <v>0</v>
      </c>
      <c r="M63" s="17">
        <f>ROUND(K63*L63,2)</f>
        <v>0</v>
      </c>
    </row>
    <row r="64" spans="1:13">
      <c r="A64" s="9"/>
      <c r="B64" s="9"/>
      <c r="C64" s="9"/>
      <c r="D64" s="18" t="s">
        <v>77</v>
      </c>
      <c r="E64" s="9"/>
      <c r="F64" s="9"/>
      <c r="G64" s="9"/>
      <c r="H64" s="9"/>
      <c r="I64" s="9"/>
      <c r="J64" s="9"/>
      <c r="K64" s="9"/>
      <c r="L64" s="9"/>
      <c r="M64" s="9"/>
    </row>
    <row r="65" spans="1:13">
      <c r="A65" s="15" t="s">
        <v>78</v>
      </c>
      <c r="B65" s="10" t="s">
        <v>23</v>
      </c>
      <c r="C65" s="10" t="s">
        <v>4</v>
      </c>
      <c r="D65" s="18" t="s">
        <v>79</v>
      </c>
      <c r="E65" s="9"/>
      <c r="F65" s="9"/>
      <c r="G65" s="9"/>
      <c r="H65" s="9"/>
      <c r="I65" s="9"/>
      <c r="J65" s="9"/>
      <c r="K65" s="20">
        <v>2</v>
      </c>
      <c r="L65" s="23">
        <v>0</v>
      </c>
      <c r="M65" s="17">
        <f>ROUND(K65*L65,2)</f>
        <v>0</v>
      </c>
    </row>
    <row r="66" spans="1:13">
      <c r="A66" s="9"/>
      <c r="B66" s="9"/>
      <c r="C66" s="9"/>
      <c r="D66" s="18" t="s">
        <v>80</v>
      </c>
      <c r="E66" s="9"/>
      <c r="F66" s="9"/>
      <c r="G66" s="9"/>
      <c r="H66" s="9"/>
      <c r="I66" s="9"/>
      <c r="J66" s="9"/>
      <c r="K66" s="9"/>
      <c r="L66" s="9"/>
      <c r="M66" s="9"/>
    </row>
    <row r="67" spans="1:13">
      <c r="A67" s="15" t="s">
        <v>81</v>
      </c>
      <c r="B67" s="10" t="s">
        <v>23</v>
      </c>
      <c r="C67" s="10" t="s">
        <v>66</v>
      </c>
      <c r="D67" s="18" t="s">
        <v>82</v>
      </c>
      <c r="E67" s="9"/>
      <c r="F67" s="9"/>
      <c r="G67" s="9"/>
      <c r="H67" s="9"/>
      <c r="I67" s="9"/>
      <c r="J67" s="9"/>
      <c r="K67" s="20">
        <v>5.15</v>
      </c>
      <c r="L67" s="23">
        <v>0</v>
      </c>
      <c r="M67" s="17">
        <f>ROUND(K67*L67,2)</f>
        <v>0</v>
      </c>
    </row>
    <row r="68" spans="1:13">
      <c r="A68" s="9"/>
      <c r="B68" s="9"/>
      <c r="C68" s="9"/>
      <c r="D68" s="18" t="s">
        <v>83</v>
      </c>
      <c r="E68" s="9"/>
      <c r="F68" s="9"/>
      <c r="G68" s="9"/>
      <c r="H68" s="9"/>
      <c r="I68" s="9"/>
      <c r="J68" s="9"/>
      <c r="K68" s="9"/>
      <c r="L68" s="9"/>
      <c r="M68" s="9"/>
    </row>
    <row r="69" spans="1:13" ht="22.5">
      <c r="A69" s="15" t="s">
        <v>84</v>
      </c>
      <c r="B69" s="10" t="s">
        <v>23</v>
      </c>
      <c r="C69" s="10" t="s">
        <v>4</v>
      </c>
      <c r="D69" s="18" t="s">
        <v>85</v>
      </c>
      <c r="E69" s="9"/>
      <c r="F69" s="9"/>
      <c r="G69" s="9"/>
      <c r="H69" s="9"/>
      <c r="I69" s="9"/>
      <c r="J69" s="9"/>
      <c r="K69" s="20">
        <v>2</v>
      </c>
      <c r="L69" s="23">
        <v>0</v>
      </c>
      <c r="M69" s="17">
        <f>ROUND(K69*L69,2)</f>
        <v>0</v>
      </c>
    </row>
    <row r="70" spans="1:13">
      <c r="A70" s="9"/>
      <c r="B70" s="9"/>
      <c r="C70" s="9"/>
      <c r="D70" s="18" t="s">
        <v>86</v>
      </c>
      <c r="E70" s="9"/>
      <c r="F70" s="9"/>
      <c r="G70" s="9"/>
      <c r="H70" s="9"/>
      <c r="I70" s="9"/>
      <c r="J70" s="9"/>
      <c r="K70" s="9"/>
      <c r="L70" s="9"/>
      <c r="M70" s="9"/>
    </row>
    <row r="71" spans="1:13">
      <c r="A71" s="15" t="s">
        <v>87</v>
      </c>
      <c r="B71" s="10" t="s">
        <v>23</v>
      </c>
      <c r="C71" s="10" t="s">
        <v>4</v>
      </c>
      <c r="D71" s="18" t="s">
        <v>88</v>
      </c>
      <c r="E71" s="9"/>
      <c r="F71" s="9"/>
      <c r="G71" s="9"/>
      <c r="H71" s="9"/>
      <c r="I71" s="9"/>
      <c r="J71" s="9"/>
      <c r="K71" s="20">
        <v>2</v>
      </c>
      <c r="L71" s="23">
        <v>0</v>
      </c>
      <c r="M71" s="17">
        <f>ROUND(K71*L71,2)</f>
        <v>0</v>
      </c>
    </row>
    <row r="72" spans="1:13">
      <c r="A72" s="9"/>
      <c r="B72" s="9"/>
      <c r="C72" s="9"/>
      <c r="D72" s="18" t="s">
        <v>89</v>
      </c>
      <c r="E72" s="9"/>
      <c r="F72" s="9"/>
      <c r="G72" s="9"/>
      <c r="H72" s="9"/>
      <c r="I72" s="9"/>
      <c r="J72" s="9"/>
      <c r="K72" s="9"/>
      <c r="L72" s="9"/>
      <c r="M72" s="9"/>
    </row>
    <row r="73" spans="1:13">
      <c r="A73" s="9"/>
      <c r="B73" s="9"/>
      <c r="C73" s="9"/>
      <c r="D73" s="30"/>
      <c r="E73" s="9"/>
      <c r="F73" s="9"/>
      <c r="G73" s="9"/>
      <c r="H73" s="9"/>
      <c r="I73" s="9"/>
      <c r="J73" s="21" t="s">
        <v>90</v>
      </c>
      <c r="K73" s="20">
        <v>1</v>
      </c>
      <c r="L73" s="24">
        <f>M43+M55+M57+M59+M61+M63+M65+M67+M69+M71</f>
        <v>0</v>
      </c>
      <c r="M73" s="24">
        <f>ROUND(K73*L73,2)</f>
        <v>0</v>
      </c>
    </row>
    <row r="74" spans="1:13" ht="0.95" customHeight="1">
      <c r="A74" s="25"/>
      <c r="B74" s="25"/>
      <c r="C74" s="25"/>
      <c r="D74" s="31"/>
      <c r="E74" s="25"/>
      <c r="F74" s="25"/>
      <c r="G74" s="25"/>
      <c r="H74" s="25"/>
      <c r="I74" s="25"/>
      <c r="J74" s="25"/>
      <c r="K74" s="25"/>
      <c r="L74" s="25"/>
      <c r="M74" s="25"/>
    </row>
    <row r="75" spans="1:13">
      <c r="A75" s="11" t="s">
        <v>91</v>
      </c>
      <c r="B75" s="11" t="s">
        <v>16</v>
      </c>
      <c r="C75" s="11" t="s">
        <v>17</v>
      </c>
      <c r="D75" s="29" t="s">
        <v>92</v>
      </c>
      <c r="E75" s="12"/>
      <c r="F75" s="12"/>
      <c r="G75" s="12"/>
      <c r="H75" s="12"/>
      <c r="I75" s="12"/>
      <c r="J75" s="12"/>
      <c r="K75" s="13">
        <f>K109</f>
        <v>1</v>
      </c>
      <c r="L75" s="14">
        <f>L109</f>
        <v>0</v>
      </c>
      <c r="M75" s="14">
        <f>M109</f>
        <v>0</v>
      </c>
    </row>
    <row r="76" spans="1:13" ht="22.5">
      <c r="A76" s="15" t="s">
        <v>93</v>
      </c>
      <c r="B76" s="10" t="s">
        <v>23</v>
      </c>
      <c r="C76" s="10" t="s">
        <v>94</v>
      </c>
      <c r="D76" s="18" t="s">
        <v>95</v>
      </c>
      <c r="E76" s="9"/>
      <c r="F76" s="9"/>
      <c r="G76" s="9"/>
      <c r="H76" s="9"/>
      <c r="I76" s="9"/>
      <c r="J76" s="9"/>
      <c r="K76" s="16">
        <f>K79</f>
        <v>61.05</v>
      </c>
      <c r="L76" s="17">
        <f>L79</f>
        <v>0</v>
      </c>
      <c r="M76" s="17">
        <f>M79</f>
        <v>0</v>
      </c>
    </row>
    <row r="77" spans="1:13">
      <c r="A77" s="9"/>
      <c r="B77" s="9"/>
      <c r="C77" s="9"/>
      <c r="D77" s="18" t="s">
        <v>96</v>
      </c>
      <c r="E77" s="9"/>
      <c r="F77" s="9"/>
      <c r="G77" s="9"/>
      <c r="H77" s="9"/>
      <c r="I77" s="9"/>
      <c r="J77" s="9"/>
      <c r="K77" s="9"/>
      <c r="L77" s="9"/>
      <c r="M77" s="9"/>
    </row>
    <row r="78" spans="1:13">
      <c r="A78" s="9"/>
      <c r="B78" s="9"/>
      <c r="C78" s="10" t="s">
        <v>27</v>
      </c>
      <c r="D78" s="30"/>
      <c r="E78" s="10" t="s">
        <v>97</v>
      </c>
      <c r="F78" s="19">
        <v>1</v>
      </c>
      <c r="G78" s="20">
        <v>61.05</v>
      </c>
      <c r="H78" s="20">
        <v>0</v>
      </c>
      <c r="I78" s="20">
        <v>0</v>
      </c>
      <c r="J78" s="16">
        <f>OR(F78&lt;&gt;0,G78&lt;&gt;0,H78&lt;&gt;0,I78&lt;&gt;0)*(F78 + (F78 = 0))*(G78 + (G78 = 0))*(H78 + (H78 = 0))*(I78 + (I78 = 0))</f>
        <v>61.05</v>
      </c>
      <c r="K78" s="9"/>
      <c r="L78" s="9"/>
      <c r="M78" s="9"/>
    </row>
    <row r="79" spans="1:13">
      <c r="A79" s="9"/>
      <c r="B79" s="9"/>
      <c r="C79" s="9"/>
      <c r="D79" s="30"/>
      <c r="E79" s="9"/>
      <c r="F79" s="9"/>
      <c r="G79" s="9"/>
      <c r="H79" s="9"/>
      <c r="I79" s="9"/>
      <c r="J79" s="21" t="s">
        <v>98</v>
      </c>
      <c r="K79" s="22">
        <f>J78</f>
        <v>61.05</v>
      </c>
      <c r="L79" s="23">
        <v>0</v>
      </c>
      <c r="M79" s="24">
        <f>ROUND(K79*L79,2)</f>
        <v>0</v>
      </c>
    </row>
    <row r="80" spans="1:13" ht="0.95" customHeight="1">
      <c r="A80" s="25"/>
      <c r="B80" s="25"/>
      <c r="C80" s="25"/>
      <c r="D80" s="31"/>
      <c r="E80" s="25"/>
      <c r="F80" s="25"/>
      <c r="G80" s="25"/>
      <c r="H80" s="25"/>
      <c r="I80" s="25"/>
      <c r="J80" s="25"/>
      <c r="K80" s="25"/>
      <c r="L80" s="25"/>
      <c r="M80" s="25"/>
    </row>
    <row r="81" spans="1:13" ht="45">
      <c r="A81" s="15" t="s">
        <v>99</v>
      </c>
      <c r="B81" s="10" t="s">
        <v>23</v>
      </c>
      <c r="C81" s="10" t="s">
        <v>94</v>
      </c>
      <c r="D81" s="18" t="s">
        <v>100</v>
      </c>
      <c r="E81" s="9"/>
      <c r="F81" s="9"/>
      <c r="G81" s="9"/>
      <c r="H81" s="9"/>
      <c r="I81" s="9"/>
      <c r="J81" s="9"/>
      <c r="K81" s="16">
        <f>K89</f>
        <v>182.32</v>
      </c>
      <c r="L81" s="17">
        <f>L89</f>
        <v>0</v>
      </c>
      <c r="M81" s="17">
        <f>M89</f>
        <v>0</v>
      </c>
    </row>
    <row r="82" spans="1:13">
      <c r="A82" s="9"/>
      <c r="B82" s="9"/>
      <c r="C82" s="9"/>
      <c r="D82" s="18" t="s">
        <v>101</v>
      </c>
      <c r="E82" s="9"/>
      <c r="F82" s="9"/>
      <c r="G82" s="9"/>
      <c r="H82" s="9"/>
      <c r="I82" s="9"/>
      <c r="J82" s="9"/>
      <c r="K82" s="9"/>
      <c r="L82" s="9"/>
      <c r="M82" s="9"/>
    </row>
    <row r="83" spans="1:13">
      <c r="A83" s="9"/>
      <c r="B83" s="9"/>
      <c r="C83" s="10" t="s">
        <v>27</v>
      </c>
      <c r="D83" s="30"/>
      <c r="E83" s="10" t="s">
        <v>102</v>
      </c>
      <c r="F83" s="19">
        <v>1</v>
      </c>
      <c r="G83" s="20">
        <v>37.700000000000003</v>
      </c>
      <c r="H83" s="20">
        <v>0</v>
      </c>
      <c r="I83" s="20">
        <v>0</v>
      </c>
      <c r="J83" s="16">
        <f>OR(F83&lt;&gt;0,G83&lt;&gt;0,H83&lt;&gt;0,I83&lt;&gt;0)*(F83 + (F83 = 0))*(G83 + (G83 = 0))*(H83 + (H83 = 0))*(I83 + (I83 = 0))</f>
        <v>37.700000000000003</v>
      </c>
      <c r="K83" s="9"/>
      <c r="L83" s="9"/>
      <c r="M83" s="9"/>
    </row>
    <row r="84" spans="1:13">
      <c r="A84" s="9"/>
      <c r="B84" s="9"/>
      <c r="C84" s="10" t="s">
        <v>27</v>
      </c>
      <c r="D84" s="30"/>
      <c r="E84" s="10" t="s">
        <v>17</v>
      </c>
      <c r="F84" s="19">
        <v>1</v>
      </c>
      <c r="G84" s="20">
        <v>14.6</v>
      </c>
      <c r="H84" s="20">
        <v>0</v>
      </c>
      <c r="I84" s="20">
        <v>0</v>
      </c>
      <c r="J84" s="16">
        <f>OR(F84&lt;&gt;0,G84&lt;&gt;0,H84&lt;&gt;0,I84&lt;&gt;0)*(F84 + (F84 = 0))*(G84 + (G84 = 0))*(H84 + (H84 = 0))*(I84 + (I84 = 0))</f>
        <v>14.6</v>
      </c>
      <c r="K84" s="9"/>
      <c r="L84" s="9"/>
      <c r="M84" s="9"/>
    </row>
    <row r="85" spans="1:13">
      <c r="A85" s="9"/>
      <c r="B85" s="9"/>
      <c r="C85" s="10" t="s">
        <v>27</v>
      </c>
      <c r="D85" s="30"/>
      <c r="E85" s="10" t="s">
        <v>17</v>
      </c>
      <c r="F85" s="19">
        <v>1</v>
      </c>
      <c r="G85" s="20">
        <v>34.58</v>
      </c>
      <c r="H85" s="20">
        <v>0</v>
      </c>
      <c r="I85" s="20">
        <v>0</v>
      </c>
      <c r="J85" s="16">
        <f>OR(F85&lt;&gt;0,G85&lt;&gt;0,H85&lt;&gt;0,I85&lt;&gt;0)*(F85 + (F85 = 0))*(G85 + (G85 = 0))*(H85 + (H85 = 0))*(I85 + (I85 = 0))</f>
        <v>34.58</v>
      </c>
      <c r="K85" s="9"/>
      <c r="L85" s="9"/>
      <c r="M85" s="9"/>
    </row>
    <row r="86" spans="1:13">
      <c r="A86" s="9"/>
      <c r="B86" s="9"/>
      <c r="C86" s="10" t="s">
        <v>27</v>
      </c>
      <c r="D86" s="30"/>
      <c r="E86" s="10" t="s">
        <v>17</v>
      </c>
      <c r="F86" s="19">
        <v>1</v>
      </c>
      <c r="G86" s="20">
        <v>55.31</v>
      </c>
      <c r="H86" s="20">
        <v>0</v>
      </c>
      <c r="I86" s="20">
        <v>0</v>
      </c>
      <c r="J86" s="16">
        <f>OR(F86&lt;&gt;0,G86&lt;&gt;0,H86&lt;&gt;0,I86&lt;&gt;0)*(F86 + (F86 = 0))*(G86 + (G86 = 0))*(H86 + (H86 = 0))*(I86 + (I86 = 0))</f>
        <v>55.31</v>
      </c>
      <c r="K86" s="9"/>
      <c r="L86" s="9"/>
      <c r="M86" s="9"/>
    </row>
    <row r="87" spans="1:13">
      <c r="A87" s="9"/>
      <c r="B87" s="9"/>
      <c r="C87" s="10" t="s">
        <v>27</v>
      </c>
      <c r="D87" s="30"/>
      <c r="E87" s="10" t="s">
        <v>17</v>
      </c>
      <c r="F87" s="19">
        <v>1</v>
      </c>
      <c r="G87" s="20">
        <v>34.909999999999997</v>
      </c>
      <c r="H87" s="20">
        <v>0</v>
      </c>
      <c r="I87" s="20">
        <v>0</v>
      </c>
      <c r="J87" s="16">
        <f>OR(F87&lt;&gt;0,G87&lt;&gt;0,H87&lt;&gt;0,I87&lt;&gt;0)*(F87 + (F87 = 0))*(G87 + (G87 = 0))*(H87 + (H87 = 0))*(I87 + (I87 = 0))</f>
        <v>34.909999999999997</v>
      </c>
      <c r="K87" s="9"/>
      <c r="L87" s="9"/>
      <c r="M87" s="9"/>
    </row>
    <row r="88" spans="1:13">
      <c r="A88" s="9"/>
      <c r="B88" s="9"/>
      <c r="C88" s="10" t="s">
        <v>27</v>
      </c>
      <c r="D88" s="30"/>
      <c r="E88" s="10" t="s">
        <v>17</v>
      </c>
      <c r="F88" s="19">
        <v>1</v>
      </c>
      <c r="G88" s="20">
        <v>5.22</v>
      </c>
      <c r="H88" s="20">
        <v>0</v>
      </c>
      <c r="I88" s="20">
        <v>0</v>
      </c>
      <c r="J88" s="16">
        <f>OR(F88&lt;&gt;0,G88&lt;&gt;0,H88&lt;&gt;0,I88&lt;&gt;0)*(F88 + (F88 = 0))*(G88 + (G88 = 0))*(H88 + (H88 = 0))*(I88 + (I88 = 0))</f>
        <v>5.22</v>
      </c>
      <c r="K88" s="9"/>
      <c r="L88" s="9"/>
      <c r="M88" s="9"/>
    </row>
    <row r="89" spans="1:13">
      <c r="A89" s="9"/>
      <c r="B89" s="9"/>
      <c r="C89" s="9"/>
      <c r="D89" s="30"/>
      <c r="E89" s="9"/>
      <c r="F89" s="9"/>
      <c r="G89" s="9"/>
      <c r="H89" s="9"/>
      <c r="I89" s="9"/>
      <c r="J89" s="21" t="s">
        <v>103</v>
      </c>
      <c r="K89" s="22">
        <f>SUM(J83:J88)</f>
        <v>182.32</v>
      </c>
      <c r="L89" s="23">
        <v>0</v>
      </c>
      <c r="M89" s="24">
        <f>ROUND(K89*L89,2)</f>
        <v>0</v>
      </c>
    </row>
    <row r="90" spans="1:13" ht="0.95" customHeight="1">
      <c r="A90" s="25"/>
      <c r="B90" s="25"/>
      <c r="C90" s="25"/>
      <c r="D90" s="31"/>
      <c r="E90" s="25"/>
      <c r="F90" s="25"/>
      <c r="G90" s="25"/>
      <c r="H90" s="25"/>
      <c r="I90" s="25"/>
      <c r="J90" s="25"/>
      <c r="K90" s="25"/>
      <c r="L90" s="25"/>
      <c r="M90" s="25"/>
    </row>
    <row r="91" spans="1:13" ht="33.75">
      <c r="A91" s="15" t="s">
        <v>104</v>
      </c>
      <c r="B91" s="10" t="s">
        <v>23</v>
      </c>
      <c r="C91" s="10" t="s">
        <v>94</v>
      </c>
      <c r="D91" s="18" t="s">
        <v>105</v>
      </c>
      <c r="E91" s="9"/>
      <c r="F91" s="9"/>
      <c r="G91" s="9"/>
      <c r="H91" s="9"/>
      <c r="I91" s="9"/>
      <c r="J91" s="9"/>
      <c r="K91" s="16">
        <f>K99</f>
        <v>182.32</v>
      </c>
      <c r="L91" s="17">
        <f>L99</f>
        <v>0</v>
      </c>
      <c r="M91" s="17">
        <f>M99</f>
        <v>0</v>
      </c>
    </row>
    <row r="92" spans="1:13">
      <c r="A92" s="9"/>
      <c r="B92" s="9"/>
      <c r="C92" s="9"/>
      <c r="D92" s="18" t="s">
        <v>106</v>
      </c>
      <c r="E92" s="9"/>
      <c r="F92" s="9"/>
      <c r="G92" s="9"/>
      <c r="H92" s="9"/>
      <c r="I92" s="9"/>
      <c r="J92" s="9"/>
      <c r="K92" s="9"/>
      <c r="L92" s="9"/>
      <c r="M92" s="9"/>
    </row>
    <row r="93" spans="1:13">
      <c r="A93" s="9"/>
      <c r="B93" s="9"/>
      <c r="C93" s="10" t="s">
        <v>27</v>
      </c>
      <c r="D93" s="30"/>
      <c r="E93" s="10" t="s">
        <v>102</v>
      </c>
      <c r="F93" s="19">
        <v>1</v>
      </c>
      <c r="G93" s="20">
        <v>37.700000000000003</v>
      </c>
      <c r="H93" s="20">
        <v>0</v>
      </c>
      <c r="I93" s="20">
        <v>0</v>
      </c>
      <c r="J93" s="16">
        <f>OR(F93&lt;&gt;0,G93&lt;&gt;0,H93&lt;&gt;0,I93&lt;&gt;0)*(F93 + (F93 = 0))*(G93 + (G93 = 0))*(H93 + (H93 = 0))*(I93 + (I93 = 0))</f>
        <v>37.700000000000003</v>
      </c>
      <c r="K93" s="9"/>
      <c r="L93" s="9"/>
      <c r="M93" s="9"/>
    </row>
    <row r="94" spans="1:13">
      <c r="A94" s="9"/>
      <c r="B94" s="9"/>
      <c r="C94" s="10" t="s">
        <v>27</v>
      </c>
      <c r="D94" s="30"/>
      <c r="E94" s="10" t="s">
        <v>17</v>
      </c>
      <c r="F94" s="19">
        <v>1</v>
      </c>
      <c r="G94" s="20">
        <v>14.6</v>
      </c>
      <c r="H94" s="20">
        <v>0</v>
      </c>
      <c r="I94" s="20">
        <v>0</v>
      </c>
      <c r="J94" s="16">
        <f>OR(F94&lt;&gt;0,G94&lt;&gt;0,H94&lt;&gt;0,I94&lt;&gt;0)*(F94 + (F94 = 0))*(G94 + (G94 = 0))*(H94 + (H94 = 0))*(I94 + (I94 = 0))</f>
        <v>14.6</v>
      </c>
      <c r="K94" s="9"/>
      <c r="L94" s="9"/>
      <c r="M94" s="9"/>
    </row>
    <row r="95" spans="1:13">
      <c r="A95" s="9"/>
      <c r="B95" s="9"/>
      <c r="C95" s="10" t="s">
        <v>27</v>
      </c>
      <c r="D95" s="30"/>
      <c r="E95" s="10" t="s">
        <v>17</v>
      </c>
      <c r="F95" s="19">
        <v>1</v>
      </c>
      <c r="G95" s="20">
        <v>34.58</v>
      </c>
      <c r="H95" s="20">
        <v>0</v>
      </c>
      <c r="I95" s="20">
        <v>0</v>
      </c>
      <c r="J95" s="16">
        <f>OR(F95&lt;&gt;0,G95&lt;&gt;0,H95&lt;&gt;0,I95&lt;&gt;0)*(F95 + (F95 = 0))*(G95 + (G95 = 0))*(H95 + (H95 = 0))*(I95 + (I95 = 0))</f>
        <v>34.58</v>
      </c>
      <c r="K95" s="9"/>
      <c r="L95" s="9"/>
      <c r="M95" s="9"/>
    </row>
    <row r="96" spans="1:13">
      <c r="A96" s="9"/>
      <c r="B96" s="9"/>
      <c r="C96" s="10" t="s">
        <v>27</v>
      </c>
      <c r="D96" s="30"/>
      <c r="E96" s="10" t="s">
        <v>17</v>
      </c>
      <c r="F96" s="19">
        <v>1</v>
      </c>
      <c r="G96" s="20">
        <v>55.31</v>
      </c>
      <c r="H96" s="20">
        <v>0</v>
      </c>
      <c r="I96" s="20">
        <v>0</v>
      </c>
      <c r="J96" s="16">
        <f>OR(F96&lt;&gt;0,G96&lt;&gt;0,H96&lt;&gt;0,I96&lt;&gt;0)*(F96 + (F96 = 0))*(G96 + (G96 = 0))*(H96 + (H96 = 0))*(I96 + (I96 = 0))</f>
        <v>55.31</v>
      </c>
      <c r="K96" s="9"/>
      <c r="L96" s="9"/>
      <c r="M96" s="9"/>
    </row>
    <row r="97" spans="1:13">
      <c r="A97" s="9"/>
      <c r="B97" s="9"/>
      <c r="C97" s="10" t="s">
        <v>27</v>
      </c>
      <c r="D97" s="30"/>
      <c r="E97" s="10" t="s">
        <v>17</v>
      </c>
      <c r="F97" s="19">
        <v>1</v>
      </c>
      <c r="G97" s="20">
        <v>34.909999999999997</v>
      </c>
      <c r="H97" s="20">
        <v>0</v>
      </c>
      <c r="I97" s="20">
        <v>0</v>
      </c>
      <c r="J97" s="16">
        <f>OR(F97&lt;&gt;0,G97&lt;&gt;0,H97&lt;&gt;0,I97&lt;&gt;0)*(F97 + (F97 = 0))*(G97 + (G97 = 0))*(H97 + (H97 = 0))*(I97 + (I97 = 0))</f>
        <v>34.909999999999997</v>
      </c>
      <c r="K97" s="9"/>
      <c r="L97" s="9"/>
      <c r="M97" s="9"/>
    </row>
    <row r="98" spans="1:13">
      <c r="A98" s="9"/>
      <c r="B98" s="9"/>
      <c r="C98" s="10" t="s">
        <v>27</v>
      </c>
      <c r="D98" s="30"/>
      <c r="E98" s="10" t="s">
        <v>17</v>
      </c>
      <c r="F98" s="19">
        <v>1</v>
      </c>
      <c r="G98" s="20">
        <v>5.22</v>
      </c>
      <c r="H98" s="20">
        <v>0</v>
      </c>
      <c r="I98" s="20">
        <v>0</v>
      </c>
      <c r="J98" s="16">
        <f>OR(F98&lt;&gt;0,G98&lt;&gt;0,H98&lt;&gt;0,I98&lt;&gt;0)*(F98 + (F98 = 0))*(G98 + (G98 = 0))*(H98 + (H98 = 0))*(I98 + (I98 = 0))</f>
        <v>5.22</v>
      </c>
      <c r="K98" s="9"/>
      <c r="L98" s="9"/>
      <c r="M98" s="9"/>
    </row>
    <row r="99" spans="1:13">
      <c r="A99" s="9"/>
      <c r="B99" s="9"/>
      <c r="C99" s="9"/>
      <c r="D99" s="30"/>
      <c r="E99" s="9"/>
      <c r="F99" s="9"/>
      <c r="G99" s="9"/>
      <c r="H99" s="9"/>
      <c r="I99" s="9"/>
      <c r="J99" s="21" t="s">
        <v>107</v>
      </c>
      <c r="K99" s="22">
        <f>SUM(J93:J98)</f>
        <v>182.32</v>
      </c>
      <c r="L99" s="23">
        <v>0</v>
      </c>
      <c r="M99" s="24">
        <f>ROUND(K99*L99,2)</f>
        <v>0</v>
      </c>
    </row>
    <row r="100" spans="1:13" ht="0.95" customHeight="1">
      <c r="A100" s="25"/>
      <c r="B100" s="25"/>
      <c r="C100" s="25"/>
      <c r="D100" s="31"/>
      <c r="E100" s="25"/>
      <c r="F100" s="25"/>
      <c r="G100" s="25"/>
      <c r="H100" s="25"/>
      <c r="I100" s="25"/>
      <c r="J100" s="25"/>
      <c r="K100" s="25"/>
      <c r="L100" s="25"/>
      <c r="M100" s="25"/>
    </row>
    <row r="101" spans="1:13" ht="33.75">
      <c r="A101" s="15" t="s">
        <v>108</v>
      </c>
      <c r="B101" s="10" t="s">
        <v>23</v>
      </c>
      <c r="C101" s="10" t="s">
        <v>24</v>
      </c>
      <c r="D101" s="18" t="s">
        <v>109</v>
      </c>
      <c r="E101" s="9"/>
      <c r="F101" s="9"/>
      <c r="G101" s="9"/>
      <c r="H101" s="9"/>
      <c r="I101" s="9"/>
      <c r="J101" s="9"/>
      <c r="K101" s="16">
        <f>K107</f>
        <v>0.76500000000000001</v>
      </c>
      <c r="L101" s="17">
        <f>L107</f>
        <v>0</v>
      </c>
      <c r="M101" s="17">
        <f>M107</f>
        <v>0</v>
      </c>
    </row>
    <row r="102" spans="1:13">
      <c r="A102" s="9"/>
      <c r="B102" s="9"/>
      <c r="C102" s="9"/>
      <c r="D102" s="18" t="s">
        <v>110</v>
      </c>
      <c r="E102" s="9"/>
      <c r="F102" s="9"/>
      <c r="G102" s="9"/>
      <c r="H102" s="9"/>
      <c r="I102" s="9"/>
      <c r="J102" s="9"/>
      <c r="K102" s="9"/>
      <c r="L102" s="9"/>
      <c r="M102" s="9"/>
    </row>
    <row r="103" spans="1:13">
      <c r="A103" s="9"/>
      <c r="B103" s="9"/>
      <c r="C103" s="10" t="s">
        <v>27</v>
      </c>
      <c r="D103" s="30"/>
      <c r="E103" s="10" t="s">
        <v>111</v>
      </c>
      <c r="F103" s="19"/>
      <c r="G103" s="20"/>
      <c r="H103" s="20"/>
      <c r="I103" s="20"/>
      <c r="J103" s="16">
        <f>OR(F103&lt;&gt;0,G103&lt;&gt;0,H103&lt;&gt;0,I103&lt;&gt;0)*(F103 + (F103 = 0))*(G103 + (G103 = 0))*(H103 + (H103 = 0))*(I103 + (I103 = 0))</f>
        <v>0</v>
      </c>
      <c r="K103" s="9"/>
      <c r="L103" s="9"/>
      <c r="M103" s="9"/>
    </row>
    <row r="104" spans="1:13">
      <c r="A104" s="9"/>
      <c r="B104" s="9"/>
      <c r="C104" s="10" t="s">
        <v>27</v>
      </c>
      <c r="D104" s="30"/>
      <c r="E104" s="10" t="s">
        <v>17</v>
      </c>
      <c r="F104" s="19">
        <v>1</v>
      </c>
      <c r="G104" s="20">
        <v>1.77</v>
      </c>
      <c r="H104" s="20">
        <v>0.25</v>
      </c>
      <c r="I104" s="20">
        <v>0.3</v>
      </c>
      <c r="J104" s="16">
        <f>OR(F104&lt;&gt;0,G104&lt;&gt;0,H104&lt;&gt;0,I104&lt;&gt;0)*(F104 + (F104 = 0))*(G104 + (G104 = 0))*(H104 + (H104 = 0))*(I104 + (I104 = 0))</f>
        <v>0.13300000000000001</v>
      </c>
      <c r="K104" s="9"/>
      <c r="L104" s="9"/>
      <c r="M104" s="9"/>
    </row>
    <row r="105" spans="1:13">
      <c r="A105" s="9"/>
      <c r="B105" s="9"/>
      <c r="C105" s="10" t="s">
        <v>27</v>
      </c>
      <c r="D105" s="30"/>
      <c r="E105" s="10" t="s">
        <v>17</v>
      </c>
      <c r="F105" s="19">
        <v>1</v>
      </c>
      <c r="G105" s="20">
        <v>7.7</v>
      </c>
      <c r="H105" s="20">
        <v>0.25</v>
      </c>
      <c r="I105" s="20">
        <v>0.3</v>
      </c>
      <c r="J105" s="16">
        <f>OR(F105&lt;&gt;0,G105&lt;&gt;0,H105&lt;&gt;0,I105&lt;&gt;0)*(F105 + (F105 = 0))*(G105 + (G105 = 0))*(H105 + (H105 = 0))*(I105 + (I105 = 0))</f>
        <v>0.57799999999999996</v>
      </c>
      <c r="K105" s="9"/>
      <c r="L105" s="9"/>
      <c r="M105" s="9"/>
    </row>
    <row r="106" spans="1:13">
      <c r="A106" s="9"/>
      <c r="B106" s="9"/>
      <c r="C106" s="10" t="s">
        <v>27</v>
      </c>
      <c r="D106" s="30"/>
      <c r="E106" s="10" t="s">
        <v>17</v>
      </c>
      <c r="F106" s="19">
        <v>1</v>
      </c>
      <c r="G106" s="20">
        <v>1.5</v>
      </c>
      <c r="H106" s="20">
        <v>0.12</v>
      </c>
      <c r="I106" s="20">
        <v>0.3</v>
      </c>
      <c r="J106" s="16">
        <f>OR(F106&lt;&gt;0,G106&lt;&gt;0,H106&lt;&gt;0,I106&lt;&gt;0)*(F106 + (F106 = 0))*(G106 + (G106 = 0))*(H106 + (H106 = 0))*(I106 + (I106 = 0))</f>
        <v>5.3999999999999999E-2</v>
      </c>
      <c r="K106" s="9"/>
      <c r="L106" s="9"/>
      <c r="M106" s="9"/>
    </row>
    <row r="107" spans="1:13">
      <c r="A107" s="9"/>
      <c r="B107" s="9"/>
      <c r="C107" s="9"/>
      <c r="D107" s="30"/>
      <c r="E107" s="9"/>
      <c r="F107" s="9"/>
      <c r="G107" s="9"/>
      <c r="H107" s="9"/>
      <c r="I107" s="9"/>
      <c r="J107" s="21" t="s">
        <v>112</v>
      </c>
      <c r="K107" s="22">
        <f>SUM(J103:J106)</f>
        <v>0.76500000000000001</v>
      </c>
      <c r="L107" s="23">
        <v>0</v>
      </c>
      <c r="M107" s="24">
        <f>ROUND(K107*L107,2)</f>
        <v>0</v>
      </c>
    </row>
    <row r="108" spans="1:13" ht="0.95" customHeight="1">
      <c r="A108" s="25"/>
      <c r="B108" s="25"/>
      <c r="C108" s="25"/>
      <c r="D108" s="31"/>
      <c r="E108" s="25"/>
      <c r="F108" s="25"/>
      <c r="G108" s="25"/>
      <c r="H108" s="25"/>
      <c r="I108" s="25"/>
      <c r="J108" s="25"/>
      <c r="K108" s="25"/>
      <c r="L108" s="25"/>
      <c r="M108" s="25"/>
    </row>
    <row r="109" spans="1:13">
      <c r="A109" s="9"/>
      <c r="B109" s="9"/>
      <c r="C109" s="9"/>
      <c r="D109" s="30"/>
      <c r="E109" s="9"/>
      <c r="F109" s="9"/>
      <c r="G109" s="9"/>
      <c r="H109" s="9"/>
      <c r="I109" s="9"/>
      <c r="J109" s="21" t="s">
        <v>113</v>
      </c>
      <c r="K109" s="20">
        <v>1</v>
      </c>
      <c r="L109" s="24">
        <f>M76+M81+M91+M101</f>
        <v>0</v>
      </c>
      <c r="M109" s="24">
        <f>ROUND(K109*L109,2)</f>
        <v>0</v>
      </c>
    </row>
    <row r="110" spans="1:13" ht="0.95" customHeight="1">
      <c r="A110" s="25"/>
      <c r="B110" s="25"/>
      <c r="C110" s="25"/>
      <c r="D110" s="31"/>
      <c r="E110" s="25"/>
      <c r="F110" s="25"/>
      <c r="G110" s="25"/>
      <c r="H110" s="25"/>
      <c r="I110" s="25"/>
      <c r="J110" s="25"/>
      <c r="K110" s="25"/>
      <c r="L110" s="25"/>
      <c r="M110" s="25"/>
    </row>
    <row r="111" spans="1:13">
      <c r="A111" s="11" t="s">
        <v>114</v>
      </c>
      <c r="B111" s="11" t="s">
        <v>16</v>
      </c>
      <c r="C111" s="11" t="s">
        <v>17</v>
      </c>
      <c r="D111" s="29" t="s">
        <v>115</v>
      </c>
      <c r="E111" s="12"/>
      <c r="F111" s="12"/>
      <c r="G111" s="12"/>
      <c r="H111" s="12"/>
      <c r="I111" s="12"/>
      <c r="J111" s="12"/>
      <c r="K111" s="13">
        <f>K117</f>
        <v>1</v>
      </c>
      <c r="L111" s="14">
        <f>L117</f>
        <v>0</v>
      </c>
      <c r="M111" s="14">
        <f>M117</f>
        <v>0</v>
      </c>
    </row>
    <row r="112" spans="1:13" ht="22.5">
      <c r="A112" s="15" t="s">
        <v>116</v>
      </c>
      <c r="B112" s="10" t="s">
        <v>23</v>
      </c>
      <c r="C112" s="10" t="s">
        <v>117</v>
      </c>
      <c r="D112" s="18" t="s">
        <v>118</v>
      </c>
      <c r="E112" s="9"/>
      <c r="F112" s="9"/>
      <c r="G112" s="9"/>
      <c r="H112" s="9"/>
      <c r="I112" s="9"/>
      <c r="J112" s="9"/>
      <c r="K112" s="16">
        <f>K115</f>
        <v>0.11</v>
      </c>
      <c r="L112" s="17">
        <f>L115</f>
        <v>0</v>
      </c>
      <c r="M112" s="17">
        <f>M115</f>
        <v>0</v>
      </c>
    </row>
    <row r="113" spans="1:13" ht="45">
      <c r="A113" s="9"/>
      <c r="B113" s="9"/>
      <c r="C113" s="9"/>
      <c r="D113" s="18" t="s">
        <v>119</v>
      </c>
      <c r="E113" s="9"/>
      <c r="F113" s="9"/>
      <c r="G113" s="9"/>
      <c r="H113" s="9"/>
      <c r="I113" s="9"/>
      <c r="J113" s="9"/>
      <c r="K113" s="9"/>
      <c r="L113" s="9"/>
      <c r="M113" s="9"/>
    </row>
    <row r="114" spans="1:13">
      <c r="A114" s="9"/>
      <c r="B114" s="9"/>
      <c r="C114" s="10" t="s">
        <v>27</v>
      </c>
      <c r="D114" s="30"/>
      <c r="E114" s="10" t="s">
        <v>120</v>
      </c>
      <c r="F114" s="19">
        <v>1</v>
      </c>
      <c r="G114" s="23">
        <v>3</v>
      </c>
      <c r="H114" s="23">
        <v>0.25</v>
      </c>
      <c r="I114" s="23">
        <v>0.15</v>
      </c>
      <c r="J114" s="17">
        <f>OR(F114&lt;&gt;0,G114&lt;&gt;0,H114&lt;&gt;0,I114&lt;&gt;0)*(F114 + (F114 = 0))*(G114 + (G114 = 0))*(H114 + (H114 = 0))*(I114 + (I114 = 0))</f>
        <v>0.11</v>
      </c>
      <c r="K114" s="9"/>
      <c r="L114" s="9"/>
      <c r="M114" s="9"/>
    </row>
    <row r="115" spans="1:13">
      <c r="A115" s="9"/>
      <c r="B115" s="9"/>
      <c r="C115" s="9"/>
      <c r="D115" s="30"/>
      <c r="E115" s="9"/>
      <c r="F115" s="9"/>
      <c r="G115" s="9"/>
      <c r="H115" s="9"/>
      <c r="I115" s="9"/>
      <c r="J115" s="21" t="s">
        <v>121</v>
      </c>
      <c r="K115" s="22">
        <f>J114</f>
        <v>0.11</v>
      </c>
      <c r="L115" s="23">
        <v>0</v>
      </c>
      <c r="M115" s="24">
        <f>ROUND(K115*L115,2)</f>
        <v>0</v>
      </c>
    </row>
    <row r="116" spans="1:13" ht="0.95" customHeight="1">
      <c r="A116" s="25"/>
      <c r="B116" s="25"/>
      <c r="C116" s="25"/>
      <c r="D116" s="31"/>
      <c r="E116" s="25"/>
      <c r="F116" s="25"/>
      <c r="G116" s="25"/>
      <c r="H116" s="25"/>
      <c r="I116" s="25"/>
      <c r="J116" s="25"/>
      <c r="K116" s="25"/>
      <c r="L116" s="25"/>
      <c r="M116" s="25"/>
    </row>
    <row r="117" spans="1:13">
      <c r="A117" s="9"/>
      <c r="B117" s="9"/>
      <c r="C117" s="9"/>
      <c r="D117" s="30"/>
      <c r="E117" s="9"/>
      <c r="F117" s="9"/>
      <c r="G117" s="9"/>
      <c r="H117" s="9"/>
      <c r="I117" s="9"/>
      <c r="J117" s="21" t="s">
        <v>122</v>
      </c>
      <c r="K117" s="20">
        <v>1</v>
      </c>
      <c r="L117" s="24">
        <f>M112</f>
        <v>0</v>
      </c>
      <c r="M117" s="24">
        <f>ROUND(K117*L117,2)</f>
        <v>0</v>
      </c>
    </row>
    <row r="118" spans="1:13" ht="0.95" customHeight="1">
      <c r="A118" s="25"/>
      <c r="B118" s="25"/>
      <c r="C118" s="25"/>
      <c r="D118" s="31"/>
      <c r="E118" s="25"/>
      <c r="F118" s="25"/>
      <c r="G118" s="25"/>
      <c r="H118" s="25"/>
      <c r="I118" s="25"/>
      <c r="J118" s="25"/>
      <c r="K118" s="25"/>
      <c r="L118" s="25"/>
      <c r="M118" s="25"/>
    </row>
    <row r="119" spans="1:13">
      <c r="A119" s="9"/>
      <c r="B119" s="9"/>
      <c r="C119" s="9"/>
      <c r="D119" s="30"/>
      <c r="E119" s="9"/>
      <c r="F119" s="9"/>
      <c r="G119" s="9"/>
      <c r="H119" s="9"/>
      <c r="I119" s="9"/>
      <c r="J119" s="21" t="s">
        <v>123</v>
      </c>
      <c r="K119" s="26">
        <v>1</v>
      </c>
      <c r="L119" s="24">
        <f>M6+M42+M75+M111</f>
        <v>0</v>
      </c>
      <c r="M119" s="24">
        <f>ROUND(K119*L119,2)</f>
        <v>0</v>
      </c>
    </row>
    <row r="120" spans="1:13" ht="0.95" customHeight="1">
      <c r="A120" s="25"/>
      <c r="B120" s="25"/>
      <c r="C120" s="25"/>
      <c r="D120" s="31"/>
      <c r="E120" s="25"/>
      <c r="F120" s="25"/>
      <c r="G120" s="25"/>
      <c r="H120" s="25"/>
      <c r="I120" s="25"/>
      <c r="J120" s="25"/>
      <c r="K120" s="25"/>
      <c r="L120" s="25"/>
      <c r="M120" s="25"/>
    </row>
    <row r="121" spans="1:13">
      <c r="A121" s="5" t="s">
        <v>124</v>
      </c>
      <c r="B121" s="5" t="s">
        <v>16</v>
      </c>
      <c r="C121" s="5" t="s">
        <v>17</v>
      </c>
      <c r="D121" s="28" t="s">
        <v>125</v>
      </c>
      <c r="E121" s="6"/>
      <c r="F121" s="6"/>
      <c r="G121" s="6"/>
      <c r="H121" s="6"/>
      <c r="I121" s="6"/>
      <c r="J121" s="6"/>
      <c r="K121" s="7">
        <f>K131</f>
        <v>1</v>
      </c>
      <c r="L121" s="8">
        <f>L131</f>
        <v>0</v>
      </c>
      <c r="M121" s="8">
        <f>M131</f>
        <v>0</v>
      </c>
    </row>
    <row r="122" spans="1:13">
      <c r="A122" s="11" t="s">
        <v>126</v>
      </c>
      <c r="B122" s="11" t="s">
        <v>16</v>
      </c>
      <c r="C122" s="11" t="s">
        <v>17</v>
      </c>
      <c r="D122" s="29" t="s">
        <v>127</v>
      </c>
      <c r="E122" s="12"/>
      <c r="F122" s="12"/>
      <c r="G122" s="12"/>
      <c r="H122" s="12"/>
      <c r="I122" s="12"/>
      <c r="J122" s="12"/>
      <c r="K122" s="13">
        <f>K129</f>
        <v>1</v>
      </c>
      <c r="L122" s="14">
        <f>L129</f>
        <v>0</v>
      </c>
      <c r="M122" s="14">
        <f>M129</f>
        <v>0</v>
      </c>
    </row>
    <row r="123" spans="1:13" ht="33.75">
      <c r="A123" s="15" t="s">
        <v>128</v>
      </c>
      <c r="B123" s="10" t="s">
        <v>23</v>
      </c>
      <c r="C123" s="10" t="s">
        <v>94</v>
      </c>
      <c r="D123" s="18" t="s">
        <v>129</v>
      </c>
      <c r="E123" s="9"/>
      <c r="F123" s="9"/>
      <c r="G123" s="9"/>
      <c r="H123" s="9"/>
      <c r="I123" s="9"/>
      <c r="J123" s="9"/>
      <c r="K123" s="16">
        <f>K127</f>
        <v>34.049999999999997</v>
      </c>
      <c r="L123" s="17">
        <f>L127</f>
        <v>0</v>
      </c>
      <c r="M123" s="17">
        <f>M127</f>
        <v>0</v>
      </c>
    </row>
    <row r="124" spans="1:13">
      <c r="A124" s="9"/>
      <c r="B124" s="9"/>
      <c r="C124" s="9"/>
      <c r="D124" s="18" t="s">
        <v>130</v>
      </c>
      <c r="E124" s="9"/>
      <c r="F124" s="9"/>
      <c r="G124" s="9"/>
      <c r="H124" s="9"/>
      <c r="I124" s="9"/>
      <c r="J124" s="9"/>
      <c r="K124" s="9"/>
      <c r="L124" s="9"/>
      <c r="M124" s="9"/>
    </row>
    <row r="125" spans="1:13">
      <c r="A125" s="9"/>
      <c r="B125" s="9"/>
      <c r="C125" s="10" t="s">
        <v>27</v>
      </c>
      <c r="D125" s="30"/>
      <c r="E125" s="10" t="s">
        <v>131</v>
      </c>
      <c r="F125" s="19"/>
      <c r="G125" s="20"/>
      <c r="H125" s="20"/>
      <c r="I125" s="20"/>
      <c r="J125" s="16">
        <f>OR(F125&lt;&gt;0,G125&lt;&gt;0,H125&lt;&gt;0,I125&lt;&gt;0)*(F125 + (F125 = 0))*(G125 + (G125 = 0))*(H125 + (H125 = 0))*(I125 + (I125 = 0))</f>
        <v>0</v>
      </c>
      <c r="K125" s="9"/>
      <c r="L125" s="9"/>
      <c r="M125" s="9"/>
    </row>
    <row r="126" spans="1:13">
      <c r="A126" s="9"/>
      <c r="B126" s="9"/>
      <c r="C126" s="10" t="s">
        <v>27</v>
      </c>
      <c r="D126" s="30"/>
      <c r="E126" s="10" t="s">
        <v>132</v>
      </c>
      <c r="F126" s="19">
        <v>1</v>
      </c>
      <c r="G126" s="20">
        <v>34.049999999999997</v>
      </c>
      <c r="H126" s="20">
        <v>1</v>
      </c>
      <c r="I126" s="20">
        <v>0</v>
      </c>
      <c r="J126" s="16">
        <f>OR(F126&lt;&gt;0,G126&lt;&gt;0,H126&lt;&gt;0,I126&lt;&gt;0)*(F126 + (F126 = 0))*(G126 + (G126 = 0))*(H126 + (H126 = 0))*(I126 + (I126 = 0))</f>
        <v>34.049999999999997</v>
      </c>
      <c r="K126" s="9"/>
      <c r="L126" s="9"/>
      <c r="M126" s="9"/>
    </row>
    <row r="127" spans="1:13">
      <c r="A127" s="9"/>
      <c r="B127" s="9"/>
      <c r="C127" s="9"/>
      <c r="D127" s="30"/>
      <c r="E127" s="9"/>
      <c r="F127" s="9"/>
      <c r="G127" s="9"/>
      <c r="H127" s="9"/>
      <c r="I127" s="9"/>
      <c r="J127" s="21" t="s">
        <v>133</v>
      </c>
      <c r="K127" s="22">
        <f>SUM(J125:J126)</f>
        <v>34.049999999999997</v>
      </c>
      <c r="L127" s="23">
        <v>0</v>
      </c>
      <c r="M127" s="24">
        <f>ROUND(K127*L127,2)</f>
        <v>0</v>
      </c>
    </row>
    <row r="128" spans="1:13" ht="0.95" customHeight="1">
      <c r="A128" s="25"/>
      <c r="B128" s="25"/>
      <c r="C128" s="25"/>
      <c r="D128" s="31"/>
      <c r="E128" s="25"/>
      <c r="F128" s="25"/>
      <c r="G128" s="25"/>
      <c r="H128" s="25"/>
      <c r="I128" s="25"/>
      <c r="J128" s="25"/>
      <c r="K128" s="25"/>
      <c r="L128" s="25"/>
      <c r="M128" s="25"/>
    </row>
    <row r="129" spans="1:13">
      <c r="A129" s="9"/>
      <c r="B129" s="9"/>
      <c r="C129" s="9"/>
      <c r="D129" s="30"/>
      <c r="E129" s="9"/>
      <c r="F129" s="9"/>
      <c r="G129" s="9"/>
      <c r="H129" s="9"/>
      <c r="I129" s="9"/>
      <c r="J129" s="21" t="s">
        <v>134</v>
      </c>
      <c r="K129" s="20">
        <v>1</v>
      </c>
      <c r="L129" s="24">
        <f>M123</f>
        <v>0</v>
      </c>
      <c r="M129" s="24">
        <f>ROUND(K129*L129,2)</f>
        <v>0</v>
      </c>
    </row>
    <row r="130" spans="1:13" ht="0.95" customHeight="1">
      <c r="A130" s="25"/>
      <c r="B130" s="25"/>
      <c r="C130" s="25"/>
      <c r="D130" s="31"/>
      <c r="E130" s="25"/>
      <c r="F130" s="25"/>
      <c r="G130" s="25"/>
      <c r="H130" s="25"/>
      <c r="I130" s="25"/>
      <c r="J130" s="25"/>
      <c r="K130" s="25"/>
      <c r="L130" s="25"/>
      <c r="M130" s="25"/>
    </row>
    <row r="131" spans="1:13">
      <c r="A131" s="9"/>
      <c r="B131" s="9"/>
      <c r="C131" s="9"/>
      <c r="D131" s="30"/>
      <c r="E131" s="9"/>
      <c r="F131" s="9"/>
      <c r="G131" s="9"/>
      <c r="H131" s="9"/>
      <c r="I131" s="9"/>
      <c r="J131" s="21" t="s">
        <v>135</v>
      </c>
      <c r="K131" s="26">
        <v>1</v>
      </c>
      <c r="L131" s="24">
        <f>M122</f>
        <v>0</v>
      </c>
      <c r="M131" s="24">
        <f>ROUND(K131*L131,2)</f>
        <v>0</v>
      </c>
    </row>
    <row r="132" spans="1:13" ht="0.95" customHeight="1">
      <c r="A132" s="25"/>
      <c r="B132" s="25"/>
      <c r="C132" s="25"/>
      <c r="D132" s="31"/>
      <c r="E132" s="25"/>
      <c r="F132" s="25"/>
      <c r="G132" s="25"/>
      <c r="H132" s="25"/>
      <c r="I132" s="25"/>
      <c r="J132" s="25"/>
      <c r="K132" s="25"/>
      <c r="L132" s="25"/>
      <c r="M132" s="25"/>
    </row>
    <row r="133" spans="1:13">
      <c r="A133" s="5" t="s">
        <v>136</v>
      </c>
      <c r="B133" s="5" t="s">
        <v>16</v>
      </c>
      <c r="C133" s="5" t="s">
        <v>17</v>
      </c>
      <c r="D133" s="28" t="s">
        <v>137</v>
      </c>
      <c r="E133" s="6"/>
      <c r="F133" s="6"/>
      <c r="G133" s="6"/>
      <c r="H133" s="6"/>
      <c r="I133" s="6"/>
      <c r="J133" s="6"/>
      <c r="K133" s="7">
        <f>K232</f>
        <v>1</v>
      </c>
      <c r="L133" s="8">
        <f>L232</f>
        <v>0</v>
      </c>
      <c r="M133" s="8">
        <f>M232</f>
        <v>0</v>
      </c>
    </row>
    <row r="134" spans="1:13">
      <c r="A134" s="11" t="s">
        <v>138</v>
      </c>
      <c r="B134" s="11" t="s">
        <v>16</v>
      </c>
      <c r="C134" s="11" t="s">
        <v>17</v>
      </c>
      <c r="D134" s="29" t="s">
        <v>139</v>
      </c>
      <c r="E134" s="12"/>
      <c r="F134" s="12"/>
      <c r="G134" s="12"/>
      <c r="H134" s="12"/>
      <c r="I134" s="12"/>
      <c r="J134" s="12"/>
      <c r="K134" s="13">
        <f>K179</f>
        <v>1</v>
      </c>
      <c r="L134" s="14">
        <f>L179</f>
        <v>0</v>
      </c>
      <c r="M134" s="14">
        <f>M179</f>
        <v>0</v>
      </c>
    </row>
    <row r="135" spans="1:13" ht="45">
      <c r="A135" s="15" t="s">
        <v>140</v>
      </c>
      <c r="B135" s="10" t="s">
        <v>23</v>
      </c>
      <c r="C135" s="10" t="s">
        <v>141</v>
      </c>
      <c r="D135" s="18" t="s">
        <v>142</v>
      </c>
      <c r="E135" s="9"/>
      <c r="F135" s="9"/>
      <c r="G135" s="9"/>
      <c r="H135" s="9"/>
      <c r="I135" s="9"/>
      <c r="J135" s="9"/>
      <c r="K135" s="16">
        <f>K143</f>
        <v>2457.98</v>
      </c>
      <c r="L135" s="17">
        <f>L143</f>
        <v>0</v>
      </c>
      <c r="M135" s="17">
        <f>M143</f>
        <v>0</v>
      </c>
    </row>
    <row r="136" spans="1:13">
      <c r="A136" s="9"/>
      <c r="B136" s="9"/>
      <c r="C136" s="9"/>
      <c r="D136" s="18" t="s">
        <v>143</v>
      </c>
      <c r="E136" s="9"/>
      <c r="F136" s="9"/>
      <c r="G136" s="9"/>
      <c r="H136" s="9"/>
      <c r="I136" s="9"/>
      <c r="J136" s="9"/>
      <c r="K136" s="9"/>
      <c r="L136" s="9"/>
      <c r="M136" s="9"/>
    </row>
    <row r="137" spans="1:13">
      <c r="A137" s="9"/>
      <c r="B137" s="9"/>
      <c r="C137" s="10" t="s">
        <v>27</v>
      </c>
      <c r="D137" s="30"/>
      <c r="E137" s="10" t="s">
        <v>144</v>
      </c>
      <c r="F137" s="19">
        <v>7</v>
      </c>
      <c r="G137" s="20">
        <v>5.75</v>
      </c>
      <c r="H137" s="20">
        <v>18.8</v>
      </c>
      <c r="I137" s="20">
        <v>0</v>
      </c>
      <c r="J137" s="16">
        <f>OR(F137&lt;&gt;0,G137&lt;&gt;0,H137&lt;&gt;0,I137&lt;&gt;0)*(F137 + (F137 = 0))*(G137 + (G137 = 0))*(H137 + (H137 = 0))*(I137 + (I137 = 0))</f>
        <v>756.7</v>
      </c>
      <c r="K137" s="9"/>
      <c r="L137" s="9"/>
      <c r="M137" s="9"/>
    </row>
    <row r="138" spans="1:13">
      <c r="A138" s="9"/>
      <c r="B138" s="9"/>
      <c r="C138" s="10" t="s">
        <v>27</v>
      </c>
      <c r="D138" s="30"/>
      <c r="E138" s="10" t="s">
        <v>17</v>
      </c>
      <c r="F138" s="19">
        <v>3</v>
      </c>
      <c r="G138" s="20">
        <v>2.1</v>
      </c>
      <c r="H138" s="20">
        <v>18.8</v>
      </c>
      <c r="I138" s="20">
        <v>0</v>
      </c>
      <c r="J138" s="16">
        <f>OR(F138&lt;&gt;0,G138&lt;&gt;0,H138&lt;&gt;0,I138&lt;&gt;0)*(F138 + (F138 = 0))*(G138 + (G138 = 0))*(H138 + (H138 = 0))*(I138 + (I138 = 0))</f>
        <v>118.44</v>
      </c>
      <c r="K138" s="9"/>
      <c r="L138" s="9"/>
      <c r="M138" s="9"/>
    </row>
    <row r="139" spans="1:13">
      <c r="A139" s="9"/>
      <c r="B139" s="9"/>
      <c r="C139" s="10" t="s">
        <v>27</v>
      </c>
      <c r="D139" s="30"/>
      <c r="E139" s="10" t="s">
        <v>17</v>
      </c>
      <c r="F139" s="19">
        <v>11</v>
      </c>
      <c r="G139" s="20">
        <v>6.5</v>
      </c>
      <c r="H139" s="20">
        <v>18.8</v>
      </c>
      <c r="I139" s="20">
        <v>0</v>
      </c>
      <c r="J139" s="16">
        <f>OR(F139&lt;&gt;0,G139&lt;&gt;0,H139&lt;&gt;0,I139&lt;&gt;0)*(F139 + (F139 = 0))*(G139 + (G139 = 0))*(H139 + (H139 = 0))*(I139 + (I139 = 0))</f>
        <v>1344.2</v>
      </c>
      <c r="K139" s="9"/>
      <c r="L139" s="9"/>
      <c r="M139" s="9"/>
    </row>
    <row r="140" spans="1:13">
      <c r="A140" s="9"/>
      <c r="B140" s="9"/>
      <c r="C140" s="10" t="s">
        <v>27</v>
      </c>
      <c r="D140" s="30"/>
      <c r="E140" s="10" t="s">
        <v>17</v>
      </c>
      <c r="F140" s="19">
        <v>2</v>
      </c>
      <c r="G140" s="20">
        <v>3.1</v>
      </c>
      <c r="H140" s="20">
        <v>18.8</v>
      </c>
      <c r="I140" s="20">
        <v>0</v>
      </c>
      <c r="J140" s="16">
        <f>OR(F140&lt;&gt;0,G140&lt;&gt;0,H140&lt;&gt;0,I140&lt;&gt;0)*(F140 + (F140 = 0))*(G140 + (G140 = 0))*(H140 + (H140 = 0))*(I140 + (I140 = 0))</f>
        <v>116.56</v>
      </c>
      <c r="K140" s="9"/>
      <c r="L140" s="9"/>
      <c r="M140" s="9"/>
    </row>
    <row r="141" spans="1:13">
      <c r="A141" s="9"/>
      <c r="B141" s="9"/>
      <c r="C141" s="10" t="s">
        <v>27</v>
      </c>
      <c r="D141" s="30"/>
      <c r="E141" s="10" t="s">
        <v>145</v>
      </c>
      <c r="F141" s="19">
        <v>1</v>
      </c>
      <c r="G141" s="20">
        <v>4.25</v>
      </c>
      <c r="H141" s="20">
        <v>22.4</v>
      </c>
      <c r="I141" s="20">
        <v>0</v>
      </c>
      <c r="J141" s="16">
        <f>OR(F141&lt;&gt;0,G141&lt;&gt;0,H141&lt;&gt;0,I141&lt;&gt;0)*(F141 + (F141 = 0))*(G141 + (G141 = 0))*(H141 + (H141 = 0))*(I141 + (I141 = 0))</f>
        <v>95.2</v>
      </c>
      <c r="K141" s="9"/>
      <c r="L141" s="9"/>
      <c r="M141" s="9"/>
    </row>
    <row r="142" spans="1:13">
      <c r="A142" s="9"/>
      <c r="B142" s="9"/>
      <c r="C142" s="10" t="s">
        <v>27</v>
      </c>
      <c r="D142" s="30"/>
      <c r="E142" s="10" t="s">
        <v>17</v>
      </c>
      <c r="F142" s="19">
        <v>1</v>
      </c>
      <c r="G142" s="20">
        <v>1.2</v>
      </c>
      <c r="H142" s="20">
        <v>22.4</v>
      </c>
      <c r="I142" s="20">
        <v>0</v>
      </c>
      <c r="J142" s="16">
        <f>OR(F142&lt;&gt;0,G142&lt;&gt;0,H142&lt;&gt;0,I142&lt;&gt;0)*(F142 + (F142 = 0))*(G142 + (G142 = 0))*(H142 + (H142 = 0))*(I142 + (I142 = 0))</f>
        <v>26.88</v>
      </c>
      <c r="K142" s="9"/>
      <c r="L142" s="9"/>
      <c r="M142" s="9"/>
    </row>
    <row r="143" spans="1:13">
      <c r="A143" s="9"/>
      <c r="B143" s="9"/>
      <c r="C143" s="9"/>
      <c r="D143" s="30"/>
      <c r="E143" s="9"/>
      <c r="F143" s="9"/>
      <c r="G143" s="9"/>
      <c r="H143" s="9"/>
      <c r="I143" s="9"/>
      <c r="J143" s="21" t="s">
        <v>146</v>
      </c>
      <c r="K143" s="22">
        <f>SUM(J137:J142)</f>
        <v>2457.98</v>
      </c>
      <c r="L143" s="23">
        <v>0</v>
      </c>
      <c r="M143" s="24">
        <f>ROUND(K143*L143,2)</f>
        <v>0</v>
      </c>
    </row>
    <row r="144" spans="1:13" ht="0.95" customHeight="1">
      <c r="A144" s="25"/>
      <c r="B144" s="25"/>
      <c r="C144" s="25"/>
      <c r="D144" s="31"/>
      <c r="E144" s="25"/>
      <c r="F144" s="25"/>
      <c r="G144" s="25"/>
      <c r="H144" s="25"/>
      <c r="I144" s="25"/>
      <c r="J144" s="25"/>
      <c r="K144" s="25"/>
      <c r="L144" s="25"/>
      <c r="M144" s="25"/>
    </row>
    <row r="145" spans="1:13" ht="45">
      <c r="A145" s="15" t="s">
        <v>147</v>
      </c>
      <c r="B145" s="10" t="s">
        <v>23</v>
      </c>
      <c r="C145" s="10" t="s">
        <v>141</v>
      </c>
      <c r="D145" s="18" t="s">
        <v>148</v>
      </c>
      <c r="E145" s="9"/>
      <c r="F145" s="9"/>
      <c r="G145" s="9"/>
      <c r="H145" s="9"/>
      <c r="I145" s="9"/>
      <c r="J145" s="9"/>
      <c r="K145" s="16">
        <f>K150</f>
        <v>156.06</v>
      </c>
      <c r="L145" s="17">
        <f>L150</f>
        <v>0</v>
      </c>
      <c r="M145" s="17">
        <f>M150</f>
        <v>0</v>
      </c>
    </row>
    <row r="146" spans="1:13">
      <c r="A146" s="9"/>
      <c r="B146" s="9"/>
      <c r="C146" s="9"/>
      <c r="D146" s="18" t="s">
        <v>149</v>
      </c>
      <c r="E146" s="9"/>
      <c r="F146" s="9"/>
      <c r="G146" s="9"/>
      <c r="H146" s="9"/>
      <c r="I146" s="9"/>
      <c r="J146" s="9"/>
      <c r="K146" s="9"/>
      <c r="L146" s="9"/>
      <c r="M146" s="9"/>
    </row>
    <row r="147" spans="1:13">
      <c r="A147" s="9"/>
      <c r="B147" s="9"/>
      <c r="C147" s="10" t="s">
        <v>27</v>
      </c>
      <c r="D147" s="30"/>
      <c r="E147" s="10" t="s">
        <v>150</v>
      </c>
      <c r="F147" s="19">
        <v>1</v>
      </c>
      <c r="G147" s="20">
        <v>0</v>
      </c>
      <c r="H147" s="20">
        <v>20.399999999999999</v>
      </c>
      <c r="I147" s="20">
        <v>2.2000000000000002</v>
      </c>
      <c r="J147" s="16">
        <f>OR(F147&lt;&gt;0,G147&lt;&gt;0,H147&lt;&gt;0,I147&lt;&gt;0)*(F147 + (F147 = 0))*(G147 + (G147 = 0))*(H147 + (H147 = 0))*(I147 + (I147 = 0))</f>
        <v>44.88</v>
      </c>
      <c r="K147" s="9"/>
      <c r="L147" s="9"/>
      <c r="M147" s="9"/>
    </row>
    <row r="148" spans="1:13">
      <c r="A148" s="9"/>
      <c r="B148" s="9"/>
      <c r="C148" s="10" t="s">
        <v>27</v>
      </c>
      <c r="D148" s="30"/>
      <c r="E148" s="10" t="s">
        <v>17</v>
      </c>
      <c r="F148" s="19">
        <v>1</v>
      </c>
      <c r="G148" s="20">
        <v>0</v>
      </c>
      <c r="H148" s="20">
        <v>20.399999999999999</v>
      </c>
      <c r="I148" s="20">
        <v>2.9</v>
      </c>
      <c r="J148" s="16">
        <f>OR(F148&lt;&gt;0,G148&lt;&gt;0,H148&lt;&gt;0,I148&lt;&gt;0)*(F148 + (F148 = 0))*(G148 + (G148 = 0))*(H148 + (H148 = 0))*(I148 + (I148 = 0))</f>
        <v>59.16</v>
      </c>
      <c r="K148" s="9"/>
      <c r="L148" s="9"/>
      <c r="M148" s="9"/>
    </row>
    <row r="149" spans="1:13">
      <c r="A149" s="9"/>
      <c r="B149" s="9"/>
      <c r="C149" s="10" t="s">
        <v>27</v>
      </c>
      <c r="D149" s="30"/>
      <c r="E149" s="10" t="s">
        <v>17</v>
      </c>
      <c r="F149" s="19">
        <v>1</v>
      </c>
      <c r="G149" s="20">
        <v>0</v>
      </c>
      <c r="H149" s="20">
        <v>20.399999999999999</v>
      </c>
      <c r="I149" s="20">
        <v>2.5499999999999998</v>
      </c>
      <c r="J149" s="16">
        <f>OR(F149&lt;&gt;0,G149&lt;&gt;0,H149&lt;&gt;0,I149&lt;&gt;0)*(F149 + (F149 = 0))*(G149 + (G149 = 0))*(H149 + (H149 = 0))*(I149 + (I149 = 0))</f>
        <v>52.02</v>
      </c>
      <c r="K149" s="9"/>
      <c r="L149" s="9"/>
      <c r="M149" s="9"/>
    </row>
    <row r="150" spans="1:13">
      <c r="A150" s="9"/>
      <c r="B150" s="9"/>
      <c r="C150" s="9"/>
      <c r="D150" s="30"/>
      <c r="E150" s="9"/>
      <c r="F150" s="9"/>
      <c r="G150" s="9"/>
      <c r="H150" s="9"/>
      <c r="I150" s="9"/>
      <c r="J150" s="21" t="s">
        <v>151</v>
      </c>
      <c r="K150" s="22">
        <f>SUM(J147:J149)</f>
        <v>156.06</v>
      </c>
      <c r="L150" s="23">
        <v>0</v>
      </c>
      <c r="M150" s="24">
        <f>ROUND(K150*L150,2)</f>
        <v>0</v>
      </c>
    </row>
    <row r="151" spans="1:13" ht="0.95" customHeight="1">
      <c r="A151" s="25"/>
      <c r="B151" s="25"/>
      <c r="C151" s="25"/>
      <c r="D151" s="31"/>
      <c r="E151" s="25"/>
      <c r="F151" s="25"/>
      <c r="G151" s="25"/>
      <c r="H151" s="25"/>
      <c r="I151" s="25"/>
      <c r="J151" s="25"/>
      <c r="K151" s="25"/>
      <c r="L151" s="25"/>
      <c r="M151" s="25"/>
    </row>
    <row r="152" spans="1:13" ht="45">
      <c r="A152" s="15" t="s">
        <v>152</v>
      </c>
      <c r="B152" s="10" t="s">
        <v>23</v>
      </c>
      <c r="C152" s="10" t="s">
        <v>141</v>
      </c>
      <c r="D152" s="18" t="s">
        <v>153</v>
      </c>
      <c r="E152" s="9"/>
      <c r="F152" s="9"/>
      <c r="G152" s="9"/>
      <c r="H152" s="9"/>
      <c r="I152" s="9"/>
      <c r="J152" s="9"/>
      <c r="K152" s="16">
        <f>K155</f>
        <v>63.28</v>
      </c>
      <c r="L152" s="17">
        <f>L155</f>
        <v>0</v>
      </c>
      <c r="M152" s="17">
        <f>M155</f>
        <v>0</v>
      </c>
    </row>
    <row r="153" spans="1:13">
      <c r="A153" s="9"/>
      <c r="B153" s="9"/>
      <c r="C153" s="9"/>
      <c r="D153" s="18" t="s">
        <v>154</v>
      </c>
      <c r="E153" s="9"/>
      <c r="F153" s="9"/>
      <c r="G153" s="9"/>
      <c r="H153" s="9"/>
      <c r="I153" s="9"/>
      <c r="J153" s="9"/>
      <c r="K153" s="9"/>
      <c r="L153" s="9"/>
      <c r="M153" s="9"/>
    </row>
    <row r="154" spans="1:13">
      <c r="A154" s="9"/>
      <c r="B154" s="9"/>
      <c r="C154" s="10" t="s">
        <v>27</v>
      </c>
      <c r="D154" s="30"/>
      <c r="E154" s="10" t="s">
        <v>155</v>
      </c>
      <c r="F154" s="19">
        <v>2</v>
      </c>
      <c r="G154" s="20">
        <v>0</v>
      </c>
      <c r="H154" s="20">
        <v>11.3</v>
      </c>
      <c r="I154" s="20">
        <v>2.8</v>
      </c>
      <c r="J154" s="16">
        <f>OR(F154&lt;&gt;0,G154&lt;&gt;0,H154&lt;&gt;0,I154&lt;&gt;0)*(F154 + (F154 = 0))*(G154 + (G154 = 0))*(H154 + (H154 = 0))*(I154 + (I154 = 0))</f>
        <v>63.28</v>
      </c>
      <c r="K154" s="9"/>
      <c r="L154" s="9"/>
      <c r="M154" s="9"/>
    </row>
    <row r="155" spans="1:13">
      <c r="A155" s="9"/>
      <c r="B155" s="9"/>
      <c r="C155" s="9"/>
      <c r="D155" s="30"/>
      <c r="E155" s="9"/>
      <c r="F155" s="9"/>
      <c r="G155" s="9"/>
      <c r="H155" s="9"/>
      <c r="I155" s="9"/>
      <c r="J155" s="21" t="s">
        <v>156</v>
      </c>
      <c r="K155" s="22">
        <f>J154</f>
        <v>63.28</v>
      </c>
      <c r="L155" s="23">
        <v>0</v>
      </c>
      <c r="M155" s="24">
        <f>ROUND(K155*L155,2)</f>
        <v>0</v>
      </c>
    </row>
    <row r="156" spans="1:13" ht="0.95" customHeight="1">
      <c r="A156" s="25"/>
      <c r="B156" s="25"/>
      <c r="C156" s="25"/>
      <c r="D156" s="31"/>
      <c r="E156" s="25"/>
      <c r="F156" s="25"/>
      <c r="G156" s="25"/>
      <c r="H156" s="25"/>
      <c r="I156" s="25"/>
      <c r="J156" s="25"/>
      <c r="K156" s="25"/>
      <c r="L156" s="25"/>
      <c r="M156" s="25"/>
    </row>
    <row r="157" spans="1:13" ht="33.75">
      <c r="A157" s="15" t="s">
        <v>157</v>
      </c>
      <c r="B157" s="10" t="s">
        <v>23</v>
      </c>
      <c r="C157" s="10" t="s">
        <v>4</v>
      </c>
      <c r="D157" s="18" t="s">
        <v>158</v>
      </c>
      <c r="E157" s="9"/>
      <c r="F157" s="9"/>
      <c r="G157" s="9"/>
      <c r="H157" s="9"/>
      <c r="I157" s="9"/>
      <c r="J157" s="9"/>
      <c r="K157" s="16">
        <f>K161</f>
        <v>5</v>
      </c>
      <c r="L157" s="17">
        <f>L161</f>
        <v>0</v>
      </c>
      <c r="M157" s="17">
        <f>M161</f>
        <v>0</v>
      </c>
    </row>
    <row r="158" spans="1:13">
      <c r="A158" s="9"/>
      <c r="B158" s="9"/>
      <c r="C158" s="9"/>
      <c r="D158" s="18" t="s">
        <v>159</v>
      </c>
      <c r="E158" s="9"/>
      <c r="F158" s="9"/>
      <c r="G158" s="9"/>
      <c r="H158" s="9"/>
      <c r="I158" s="9"/>
      <c r="J158" s="9"/>
      <c r="K158" s="9"/>
      <c r="L158" s="9"/>
      <c r="M158" s="9"/>
    </row>
    <row r="159" spans="1:13">
      <c r="A159" s="9"/>
      <c r="B159" s="9"/>
      <c r="C159" s="10" t="s">
        <v>27</v>
      </c>
      <c r="D159" s="30"/>
      <c r="E159" s="10" t="s">
        <v>160</v>
      </c>
      <c r="F159" s="19">
        <v>3</v>
      </c>
      <c r="G159" s="20">
        <v>0</v>
      </c>
      <c r="H159" s="20">
        <v>0</v>
      </c>
      <c r="I159" s="20">
        <v>0</v>
      </c>
      <c r="J159" s="16">
        <f>OR(F159&lt;&gt;0,G159&lt;&gt;0,H159&lt;&gt;0,I159&lt;&gt;0)*(F159 + (F159 = 0))*(G159 + (G159 = 0))*(H159 + (H159 = 0))*(I159 + (I159 = 0))</f>
        <v>3</v>
      </c>
      <c r="K159" s="9"/>
      <c r="L159" s="9"/>
      <c r="M159" s="9"/>
    </row>
    <row r="160" spans="1:13">
      <c r="A160" s="9"/>
      <c r="B160" s="9"/>
      <c r="C160" s="10" t="s">
        <v>27</v>
      </c>
      <c r="D160" s="30"/>
      <c r="E160" s="10" t="s">
        <v>155</v>
      </c>
      <c r="F160" s="19">
        <v>2</v>
      </c>
      <c r="G160" s="20">
        <v>0</v>
      </c>
      <c r="H160" s="20">
        <v>0</v>
      </c>
      <c r="I160" s="20">
        <v>0</v>
      </c>
      <c r="J160" s="16">
        <f>OR(F160&lt;&gt;0,G160&lt;&gt;0,H160&lt;&gt;0,I160&lt;&gt;0)*(F160 + (F160 = 0))*(G160 + (G160 = 0))*(H160 + (H160 = 0))*(I160 + (I160 = 0))</f>
        <v>2</v>
      </c>
      <c r="K160" s="9"/>
      <c r="L160" s="9"/>
      <c r="M160" s="9"/>
    </row>
    <row r="161" spans="1:13">
      <c r="A161" s="9"/>
      <c r="B161" s="9"/>
      <c r="C161" s="9"/>
      <c r="D161" s="30"/>
      <c r="E161" s="9"/>
      <c r="F161" s="9"/>
      <c r="G161" s="9"/>
      <c r="H161" s="9"/>
      <c r="I161" s="9"/>
      <c r="J161" s="21" t="s">
        <v>161</v>
      </c>
      <c r="K161" s="22">
        <f>SUM(J159:J160)</f>
        <v>5</v>
      </c>
      <c r="L161" s="23">
        <v>0</v>
      </c>
      <c r="M161" s="24">
        <f>ROUND(K161*L161,2)</f>
        <v>0</v>
      </c>
    </row>
    <row r="162" spans="1:13" ht="0.95" customHeight="1">
      <c r="A162" s="25"/>
      <c r="B162" s="25"/>
      <c r="C162" s="25"/>
      <c r="D162" s="31"/>
      <c r="E162" s="25"/>
      <c r="F162" s="25"/>
      <c r="G162" s="25"/>
      <c r="H162" s="25"/>
      <c r="I162" s="25"/>
      <c r="J162" s="25"/>
      <c r="K162" s="25"/>
      <c r="L162" s="25"/>
      <c r="M162" s="25"/>
    </row>
    <row r="163" spans="1:13" ht="33.75">
      <c r="A163" s="15" t="s">
        <v>162</v>
      </c>
      <c r="B163" s="10" t="s">
        <v>23</v>
      </c>
      <c r="C163" s="10" t="s">
        <v>4</v>
      </c>
      <c r="D163" s="18" t="s">
        <v>163</v>
      </c>
      <c r="E163" s="9"/>
      <c r="F163" s="9"/>
      <c r="G163" s="9"/>
      <c r="H163" s="9"/>
      <c r="I163" s="9"/>
      <c r="J163" s="9"/>
      <c r="K163" s="16">
        <f>K166</f>
        <v>1</v>
      </c>
      <c r="L163" s="17">
        <f>L166</f>
        <v>0</v>
      </c>
      <c r="M163" s="17">
        <f>M166</f>
        <v>0</v>
      </c>
    </row>
    <row r="164" spans="1:13">
      <c r="A164" s="9"/>
      <c r="B164" s="9"/>
      <c r="C164" s="9"/>
      <c r="D164" s="18" t="s">
        <v>164</v>
      </c>
      <c r="E164" s="9"/>
      <c r="F164" s="9"/>
      <c r="G164" s="9"/>
      <c r="H164" s="9"/>
      <c r="I164" s="9"/>
      <c r="J164" s="9"/>
      <c r="K164" s="9"/>
      <c r="L164" s="9"/>
      <c r="M164" s="9"/>
    </row>
    <row r="165" spans="1:13">
      <c r="A165" s="9"/>
      <c r="B165" s="9"/>
      <c r="C165" s="10" t="s">
        <v>27</v>
      </c>
      <c r="D165" s="30"/>
      <c r="E165" s="10" t="s">
        <v>145</v>
      </c>
      <c r="F165" s="19">
        <v>1</v>
      </c>
      <c r="G165" s="20">
        <v>0</v>
      </c>
      <c r="H165" s="20">
        <v>0</v>
      </c>
      <c r="I165" s="20">
        <v>0</v>
      </c>
      <c r="J165" s="16">
        <f>OR(F165&lt;&gt;0,G165&lt;&gt;0,H165&lt;&gt;0,I165&lt;&gt;0)*(F165 + (F165 = 0))*(G165 + (G165 = 0))*(H165 + (H165 = 0))*(I165 + (I165 = 0))</f>
        <v>1</v>
      </c>
      <c r="K165" s="9"/>
      <c r="L165" s="9"/>
      <c r="M165" s="9"/>
    </row>
    <row r="166" spans="1:13">
      <c r="A166" s="9"/>
      <c r="B166" s="9"/>
      <c r="C166" s="9"/>
      <c r="D166" s="30"/>
      <c r="E166" s="9"/>
      <c r="F166" s="9"/>
      <c r="G166" s="9"/>
      <c r="H166" s="9"/>
      <c r="I166" s="9"/>
      <c r="J166" s="21" t="s">
        <v>165</v>
      </c>
      <c r="K166" s="22">
        <f>J165</f>
        <v>1</v>
      </c>
      <c r="L166" s="23">
        <v>0</v>
      </c>
      <c r="M166" s="24">
        <f>ROUND(K166*L166,2)</f>
        <v>0</v>
      </c>
    </row>
    <row r="167" spans="1:13" ht="0.95" customHeight="1">
      <c r="A167" s="25"/>
      <c r="B167" s="25"/>
      <c r="C167" s="25"/>
      <c r="D167" s="31"/>
      <c r="E167" s="25"/>
      <c r="F167" s="25"/>
      <c r="G167" s="25"/>
      <c r="H167" s="25"/>
      <c r="I167" s="25"/>
      <c r="J167" s="25"/>
      <c r="K167" s="25"/>
      <c r="L167" s="25"/>
      <c r="M167" s="25"/>
    </row>
    <row r="168" spans="1:13" ht="33.75">
      <c r="A168" s="15" t="s">
        <v>166</v>
      </c>
      <c r="B168" s="10" t="s">
        <v>23</v>
      </c>
      <c r="C168" s="10" t="s">
        <v>4</v>
      </c>
      <c r="D168" s="18" t="s">
        <v>163</v>
      </c>
      <c r="E168" s="9"/>
      <c r="F168" s="9"/>
      <c r="G168" s="9"/>
      <c r="H168" s="9"/>
      <c r="I168" s="9"/>
      <c r="J168" s="9"/>
      <c r="K168" s="16">
        <f>K171</f>
        <v>29</v>
      </c>
      <c r="L168" s="17">
        <f>L171</f>
        <v>0</v>
      </c>
      <c r="M168" s="17">
        <f>M171</f>
        <v>0</v>
      </c>
    </row>
    <row r="169" spans="1:13">
      <c r="A169" s="9"/>
      <c r="B169" s="9"/>
      <c r="C169" s="9"/>
      <c r="D169" s="18" t="s">
        <v>167</v>
      </c>
      <c r="E169" s="9"/>
      <c r="F169" s="9"/>
      <c r="G169" s="9"/>
      <c r="H169" s="9"/>
      <c r="I169" s="9"/>
      <c r="J169" s="9"/>
      <c r="K169" s="9"/>
      <c r="L169" s="9"/>
      <c r="M169" s="9"/>
    </row>
    <row r="170" spans="1:13">
      <c r="A170" s="9"/>
      <c r="B170" s="9"/>
      <c r="C170" s="10" t="s">
        <v>27</v>
      </c>
      <c r="D170" s="30"/>
      <c r="E170" s="10" t="s">
        <v>144</v>
      </c>
      <c r="F170" s="19">
        <v>29</v>
      </c>
      <c r="G170" s="20">
        <v>0</v>
      </c>
      <c r="H170" s="20">
        <v>0</v>
      </c>
      <c r="I170" s="20">
        <v>0</v>
      </c>
      <c r="J170" s="16">
        <f>OR(F170&lt;&gt;0,G170&lt;&gt;0,H170&lt;&gt;0,I170&lt;&gt;0)*(F170 + (F170 = 0))*(G170 + (G170 = 0))*(H170 + (H170 = 0))*(I170 + (I170 = 0))</f>
        <v>29</v>
      </c>
      <c r="K170" s="9"/>
      <c r="L170" s="9"/>
      <c r="M170" s="9"/>
    </row>
    <row r="171" spans="1:13">
      <c r="A171" s="9"/>
      <c r="B171" s="9"/>
      <c r="C171" s="9"/>
      <c r="D171" s="30"/>
      <c r="E171" s="9"/>
      <c r="F171" s="9"/>
      <c r="G171" s="9"/>
      <c r="H171" s="9"/>
      <c r="I171" s="9"/>
      <c r="J171" s="21" t="s">
        <v>168</v>
      </c>
      <c r="K171" s="22">
        <f>J170</f>
        <v>29</v>
      </c>
      <c r="L171" s="23">
        <v>0</v>
      </c>
      <c r="M171" s="24">
        <f>ROUND(K171*L171,2)</f>
        <v>0</v>
      </c>
    </row>
    <row r="172" spans="1:13" ht="0.95" customHeight="1">
      <c r="A172" s="25"/>
      <c r="B172" s="25"/>
      <c r="C172" s="25"/>
      <c r="D172" s="31"/>
      <c r="E172" s="25"/>
      <c r="F172" s="25"/>
      <c r="G172" s="25"/>
      <c r="H172" s="25"/>
      <c r="I172" s="25"/>
      <c r="J172" s="25"/>
      <c r="K172" s="25"/>
      <c r="L172" s="25"/>
      <c r="M172" s="25"/>
    </row>
    <row r="173" spans="1:13" ht="22.5">
      <c r="A173" s="15" t="s">
        <v>169</v>
      </c>
      <c r="B173" s="10" t="s">
        <v>23</v>
      </c>
      <c r="C173" s="10" t="s">
        <v>141</v>
      </c>
      <c r="D173" s="18" t="s">
        <v>170</v>
      </c>
      <c r="E173" s="9"/>
      <c r="F173" s="9"/>
      <c r="G173" s="9"/>
      <c r="H173" s="9"/>
      <c r="I173" s="9"/>
      <c r="J173" s="9"/>
      <c r="K173" s="16">
        <f>K177</f>
        <v>137.22</v>
      </c>
      <c r="L173" s="17">
        <f>L177</f>
        <v>0</v>
      </c>
      <c r="M173" s="17">
        <f>M177</f>
        <v>0</v>
      </c>
    </row>
    <row r="174" spans="1:13">
      <c r="A174" s="9"/>
      <c r="B174" s="9"/>
      <c r="C174" s="9"/>
      <c r="D174" s="18" t="s">
        <v>171</v>
      </c>
      <c r="E174" s="9"/>
      <c r="F174" s="9"/>
      <c r="G174" s="9"/>
      <c r="H174" s="9"/>
      <c r="I174" s="9"/>
      <c r="J174" s="9"/>
      <c r="K174" s="9"/>
      <c r="L174" s="9"/>
      <c r="M174" s="9"/>
    </row>
    <row r="175" spans="1:13">
      <c r="A175" s="9"/>
      <c r="B175" s="9"/>
      <c r="C175" s="10" t="s">
        <v>27</v>
      </c>
      <c r="D175" s="30"/>
      <c r="E175" s="10" t="s">
        <v>17</v>
      </c>
      <c r="F175" s="19">
        <v>4</v>
      </c>
      <c r="G175" s="23">
        <v>1.55</v>
      </c>
      <c r="H175" s="23">
        <v>13.4</v>
      </c>
      <c r="I175" s="23">
        <v>0</v>
      </c>
      <c r="J175" s="17">
        <f>OR(F175&lt;&gt;0,G175&lt;&gt;0,H175&lt;&gt;0,I175&lt;&gt;0)*(F175 + (F175 = 0))*(G175 + (G175 = 0))*(H175 + (H175 = 0))*(I175 + (I175 = 0))</f>
        <v>83.08</v>
      </c>
      <c r="K175" s="9"/>
      <c r="L175" s="9"/>
      <c r="M175" s="9"/>
    </row>
    <row r="176" spans="1:13">
      <c r="A176" s="9"/>
      <c r="B176" s="9"/>
      <c r="C176" s="10" t="s">
        <v>27</v>
      </c>
      <c r="D176" s="30"/>
      <c r="E176" s="10" t="s">
        <v>17</v>
      </c>
      <c r="F176" s="19">
        <v>4</v>
      </c>
      <c r="G176" s="23">
        <v>1.01</v>
      </c>
      <c r="H176" s="23">
        <v>13.4</v>
      </c>
      <c r="I176" s="23">
        <v>0</v>
      </c>
      <c r="J176" s="17">
        <f>OR(F176&lt;&gt;0,G176&lt;&gt;0,H176&lt;&gt;0,I176&lt;&gt;0)*(F176 + (F176 = 0))*(G176 + (G176 = 0))*(H176 + (H176 = 0))*(I176 + (I176 = 0))</f>
        <v>54.14</v>
      </c>
      <c r="K176" s="9"/>
      <c r="L176" s="9"/>
      <c r="M176" s="9"/>
    </row>
    <row r="177" spans="1:13">
      <c r="A177" s="9"/>
      <c r="B177" s="9"/>
      <c r="C177" s="9"/>
      <c r="D177" s="30"/>
      <c r="E177" s="9"/>
      <c r="F177" s="9"/>
      <c r="G177" s="9"/>
      <c r="H177" s="9"/>
      <c r="I177" s="9"/>
      <c r="J177" s="21" t="s">
        <v>172</v>
      </c>
      <c r="K177" s="22">
        <f>SUM(J175:J176)</f>
        <v>137.22</v>
      </c>
      <c r="L177" s="23">
        <v>0</v>
      </c>
      <c r="M177" s="24">
        <f>ROUND(K177*L177,2)</f>
        <v>0</v>
      </c>
    </row>
    <row r="178" spans="1:13" ht="0.95" customHeight="1">
      <c r="A178" s="25"/>
      <c r="B178" s="25"/>
      <c r="C178" s="25"/>
      <c r="D178" s="31"/>
      <c r="E178" s="25"/>
      <c r="F178" s="25"/>
      <c r="G178" s="25"/>
      <c r="H178" s="25"/>
      <c r="I178" s="25"/>
      <c r="J178" s="25"/>
      <c r="K178" s="25"/>
      <c r="L178" s="25"/>
      <c r="M178" s="25"/>
    </row>
    <row r="179" spans="1:13">
      <c r="A179" s="9"/>
      <c r="B179" s="9"/>
      <c r="C179" s="9"/>
      <c r="D179" s="30"/>
      <c r="E179" s="9"/>
      <c r="F179" s="9"/>
      <c r="G179" s="9"/>
      <c r="H179" s="9"/>
      <c r="I179" s="9"/>
      <c r="J179" s="21" t="s">
        <v>173</v>
      </c>
      <c r="K179" s="20">
        <v>1</v>
      </c>
      <c r="L179" s="24">
        <f>M135+M145+M152+M157+M163+M168+M173</f>
        <v>0</v>
      </c>
      <c r="M179" s="24">
        <f>ROUND(K179*L179,2)</f>
        <v>0</v>
      </c>
    </row>
    <row r="180" spans="1:13" ht="0.95" customHeight="1">
      <c r="A180" s="25"/>
      <c r="B180" s="25"/>
      <c r="C180" s="25"/>
      <c r="D180" s="31"/>
      <c r="E180" s="25"/>
      <c r="F180" s="25"/>
      <c r="G180" s="25"/>
      <c r="H180" s="25"/>
      <c r="I180" s="25"/>
      <c r="J180" s="25"/>
      <c r="K180" s="25"/>
      <c r="L180" s="25"/>
      <c r="M180" s="25"/>
    </row>
    <row r="181" spans="1:13">
      <c r="A181" s="11" t="s">
        <v>174</v>
      </c>
      <c r="B181" s="11" t="s">
        <v>16</v>
      </c>
      <c r="C181" s="11" t="s">
        <v>17</v>
      </c>
      <c r="D181" s="29" t="s">
        <v>175</v>
      </c>
      <c r="E181" s="12"/>
      <c r="F181" s="12"/>
      <c r="G181" s="12"/>
      <c r="H181" s="12"/>
      <c r="I181" s="12"/>
      <c r="J181" s="12"/>
      <c r="K181" s="13">
        <f>K205</f>
        <v>1</v>
      </c>
      <c r="L181" s="14">
        <f>L205</f>
        <v>0</v>
      </c>
      <c r="M181" s="14">
        <f>M205</f>
        <v>0</v>
      </c>
    </row>
    <row r="182" spans="1:13" ht="22.5">
      <c r="A182" s="15" t="s">
        <v>176</v>
      </c>
      <c r="B182" s="10" t="s">
        <v>23</v>
      </c>
      <c r="C182" s="10" t="s">
        <v>94</v>
      </c>
      <c r="D182" s="18" t="s">
        <v>177</v>
      </c>
      <c r="E182" s="9"/>
      <c r="F182" s="9"/>
      <c r="G182" s="9"/>
      <c r="H182" s="9"/>
      <c r="I182" s="9"/>
      <c r="J182" s="9"/>
      <c r="K182" s="16">
        <f>K185</f>
        <v>0</v>
      </c>
      <c r="L182" s="17">
        <f>L185</f>
        <v>0</v>
      </c>
      <c r="M182" s="17">
        <f>M185</f>
        <v>0</v>
      </c>
    </row>
    <row r="183" spans="1:13">
      <c r="A183" s="9"/>
      <c r="B183" s="9"/>
      <c r="C183" s="9"/>
      <c r="D183" s="18" t="s">
        <v>178</v>
      </c>
      <c r="E183" s="9"/>
      <c r="F183" s="9"/>
      <c r="G183" s="9"/>
      <c r="H183" s="9"/>
      <c r="I183" s="9"/>
      <c r="J183" s="9"/>
      <c r="K183" s="9"/>
      <c r="L183" s="9"/>
      <c r="M183" s="9"/>
    </row>
    <row r="184" spans="1:13">
      <c r="A184" s="9"/>
      <c r="B184" s="9"/>
      <c r="C184" s="10" t="s">
        <v>27</v>
      </c>
      <c r="D184" s="30"/>
      <c r="E184" s="10" t="s">
        <v>179</v>
      </c>
      <c r="F184" s="19"/>
      <c r="G184" s="20"/>
      <c r="H184" s="20"/>
      <c r="I184" s="20"/>
      <c r="J184" s="16">
        <f>OR(F184&lt;&gt;0,G184&lt;&gt;0,H184&lt;&gt;0,I184&lt;&gt;0)*(F184 + (F184 = 0))*(G184 + (G184 = 0))*(H184 + (H184 = 0))*(I184 + (I184 = 0))</f>
        <v>0</v>
      </c>
      <c r="K184" s="9"/>
      <c r="L184" s="9"/>
      <c r="M184" s="9"/>
    </row>
    <row r="185" spans="1:13">
      <c r="A185" s="9"/>
      <c r="B185" s="9"/>
      <c r="C185" s="9"/>
      <c r="D185" s="30"/>
      <c r="E185" s="9"/>
      <c r="F185" s="9"/>
      <c r="G185" s="9"/>
      <c r="H185" s="9"/>
      <c r="I185" s="9"/>
      <c r="J185" s="21" t="s">
        <v>180</v>
      </c>
      <c r="K185" s="22">
        <f>J184</f>
        <v>0</v>
      </c>
      <c r="L185" s="23">
        <v>0</v>
      </c>
      <c r="M185" s="24">
        <f>ROUND(K185*L185,2)</f>
        <v>0</v>
      </c>
    </row>
    <row r="186" spans="1:13" ht="0.95" customHeight="1">
      <c r="A186" s="25"/>
      <c r="B186" s="25"/>
      <c r="C186" s="25"/>
      <c r="D186" s="31"/>
      <c r="E186" s="25"/>
      <c r="F186" s="25"/>
      <c r="G186" s="25"/>
      <c r="H186" s="25"/>
      <c r="I186" s="25"/>
      <c r="J186" s="25"/>
      <c r="K186" s="25"/>
      <c r="L186" s="25"/>
      <c r="M186" s="25"/>
    </row>
    <row r="187" spans="1:13" ht="33.75">
      <c r="A187" s="15" t="s">
        <v>181</v>
      </c>
      <c r="B187" s="10" t="s">
        <v>23</v>
      </c>
      <c r="C187" s="10" t="s">
        <v>24</v>
      </c>
      <c r="D187" s="18" t="s">
        <v>182</v>
      </c>
      <c r="E187" s="9"/>
      <c r="F187" s="9"/>
      <c r="G187" s="9"/>
      <c r="H187" s="9"/>
      <c r="I187" s="9"/>
      <c r="J187" s="9"/>
      <c r="K187" s="16">
        <f>K191</f>
        <v>0.69499999999999995</v>
      </c>
      <c r="L187" s="17">
        <f>L191</f>
        <v>0</v>
      </c>
      <c r="M187" s="17">
        <f>M191</f>
        <v>0</v>
      </c>
    </row>
    <row r="188" spans="1:13">
      <c r="A188" s="9"/>
      <c r="B188" s="9"/>
      <c r="C188" s="9"/>
      <c r="D188" s="18" t="s">
        <v>183</v>
      </c>
      <c r="E188" s="9"/>
      <c r="F188" s="9"/>
      <c r="G188" s="9"/>
      <c r="H188" s="9"/>
      <c r="I188" s="9"/>
      <c r="J188" s="9"/>
      <c r="K188" s="9"/>
      <c r="L188" s="9"/>
      <c r="M188" s="9"/>
    </row>
    <row r="189" spans="1:13">
      <c r="A189" s="9"/>
      <c r="B189" s="9"/>
      <c r="C189" s="10" t="s">
        <v>27</v>
      </c>
      <c r="D189" s="30"/>
      <c r="E189" s="10" t="s">
        <v>184</v>
      </c>
      <c r="F189" s="19">
        <v>8</v>
      </c>
      <c r="G189" s="20">
        <v>0.8</v>
      </c>
      <c r="H189" s="20">
        <v>0.55000000000000004</v>
      </c>
      <c r="I189" s="20">
        <v>0.28499999999999998</v>
      </c>
      <c r="J189" s="16">
        <f>OR(F189&lt;&gt;0,G189&lt;&gt;0,H189&lt;&gt;0,I189&lt;&gt;0)*(F189 + (F189 = 0))*(G189 + (G189 = 0))*(H189 + (H189 = 0))*(I189 + (I189 = 0))</f>
        <v>1.0029999999999999</v>
      </c>
      <c r="K189" s="9"/>
      <c r="L189" s="9"/>
      <c r="M189" s="9"/>
    </row>
    <row r="190" spans="1:13">
      <c r="A190" s="9"/>
      <c r="B190" s="9"/>
      <c r="C190" s="10" t="s">
        <v>27</v>
      </c>
      <c r="D190" s="30"/>
      <c r="E190" s="10" t="s">
        <v>185</v>
      </c>
      <c r="F190" s="19">
        <v>-8</v>
      </c>
      <c r="G190" s="20">
        <v>0.8</v>
      </c>
      <c r="H190" s="20">
        <v>0.27500000000000002</v>
      </c>
      <c r="I190" s="20">
        <v>0.17499999999999999</v>
      </c>
      <c r="J190" s="16">
        <f>OR(F190&lt;&gt;0,G190&lt;&gt;0,H190&lt;&gt;0,I190&lt;&gt;0)*(F190 + (F190 = 0))*(G190 + (G190 = 0))*(H190 + (H190 = 0))*(I190 + (I190 = 0))</f>
        <v>-0.308</v>
      </c>
      <c r="K190" s="9"/>
      <c r="L190" s="9"/>
      <c r="M190" s="9"/>
    </row>
    <row r="191" spans="1:13">
      <c r="A191" s="9"/>
      <c r="B191" s="9"/>
      <c r="C191" s="9"/>
      <c r="D191" s="30"/>
      <c r="E191" s="9"/>
      <c r="F191" s="9"/>
      <c r="G191" s="9"/>
      <c r="H191" s="9"/>
      <c r="I191" s="9"/>
      <c r="J191" s="21" t="s">
        <v>186</v>
      </c>
      <c r="K191" s="22">
        <f>SUM(J189:J190)</f>
        <v>0.69499999999999995</v>
      </c>
      <c r="L191" s="23">
        <v>0</v>
      </c>
      <c r="M191" s="24">
        <f>ROUND(K191*L191,2)</f>
        <v>0</v>
      </c>
    </row>
    <row r="192" spans="1:13" ht="0.95" customHeight="1">
      <c r="A192" s="25"/>
      <c r="B192" s="25"/>
      <c r="C192" s="25"/>
      <c r="D192" s="31"/>
      <c r="E192" s="25"/>
      <c r="F192" s="25"/>
      <c r="G192" s="25"/>
      <c r="H192" s="25"/>
      <c r="I192" s="25"/>
      <c r="J192" s="25"/>
      <c r="K192" s="25"/>
      <c r="L192" s="25"/>
      <c r="M192" s="25"/>
    </row>
    <row r="193" spans="1:13">
      <c r="A193" s="15" t="s">
        <v>187</v>
      </c>
      <c r="B193" s="10" t="s">
        <v>23</v>
      </c>
      <c r="C193" s="10" t="s">
        <v>188</v>
      </c>
      <c r="D193" s="18" t="s">
        <v>189</v>
      </c>
      <c r="E193" s="9"/>
      <c r="F193" s="9"/>
      <c r="G193" s="9"/>
      <c r="H193" s="9"/>
      <c r="I193" s="9"/>
      <c r="J193" s="9"/>
      <c r="K193" s="16">
        <f>K198</f>
        <v>3.61</v>
      </c>
      <c r="L193" s="17">
        <f>L198</f>
        <v>0</v>
      </c>
      <c r="M193" s="17">
        <f>M198</f>
        <v>0</v>
      </c>
    </row>
    <row r="194" spans="1:13" ht="56.25">
      <c r="A194" s="9"/>
      <c r="B194" s="9"/>
      <c r="C194" s="9"/>
      <c r="D194" s="18" t="s">
        <v>190</v>
      </c>
      <c r="E194" s="9"/>
      <c r="F194" s="9"/>
      <c r="G194" s="9"/>
      <c r="H194" s="9"/>
      <c r="I194" s="9"/>
      <c r="J194" s="9"/>
      <c r="K194" s="9"/>
      <c r="L194" s="9"/>
      <c r="M194" s="9"/>
    </row>
    <row r="195" spans="1:13">
      <c r="A195" s="9"/>
      <c r="B195" s="9"/>
      <c r="C195" s="10" t="s">
        <v>27</v>
      </c>
      <c r="D195" s="30"/>
      <c r="E195" s="10" t="s">
        <v>191</v>
      </c>
      <c r="F195" s="19">
        <v>4</v>
      </c>
      <c r="G195" s="23">
        <v>0.3</v>
      </c>
      <c r="H195" s="23">
        <v>0</v>
      </c>
      <c r="I195" s="23">
        <v>0</v>
      </c>
      <c r="J195" s="17">
        <f>OR(F195&lt;&gt;0,G195&lt;&gt;0,H195&lt;&gt;0,I195&lt;&gt;0)*(F195 + (F195 = 0))*(G195 + (G195 = 0))*(H195 + (H195 = 0))*(I195 + (I195 = 0))</f>
        <v>1.2</v>
      </c>
      <c r="K195" s="9"/>
      <c r="L195" s="9"/>
      <c r="M195" s="9"/>
    </row>
    <row r="196" spans="1:13">
      <c r="A196" s="9"/>
      <c r="B196" s="9"/>
      <c r="C196" s="10" t="s">
        <v>27</v>
      </c>
      <c r="D196" s="30"/>
      <c r="E196" s="10" t="s">
        <v>192</v>
      </c>
      <c r="F196" s="19">
        <v>2</v>
      </c>
      <c r="G196" s="23">
        <v>0.55000000000000004</v>
      </c>
      <c r="H196" s="23">
        <v>0</v>
      </c>
      <c r="I196" s="23">
        <v>0</v>
      </c>
      <c r="J196" s="17">
        <f>OR(F196&lt;&gt;0,G196&lt;&gt;0,H196&lt;&gt;0,I196&lt;&gt;0)*(F196 + (F196 = 0))*(G196 + (G196 = 0))*(H196 + (H196 = 0))*(I196 + (I196 = 0))</f>
        <v>1.1000000000000001</v>
      </c>
      <c r="K196" s="9"/>
      <c r="L196" s="9"/>
      <c r="M196" s="9"/>
    </row>
    <row r="197" spans="1:13">
      <c r="A197" s="9"/>
      <c r="B197" s="9"/>
      <c r="C197" s="10" t="s">
        <v>27</v>
      </c>
      <c r="D197" s="30"/>
      <c r="E197" s="10" t="s">
        <v>193</v>
      </c>
      <c r="F197" s="19">
        <v>1</v>
      </c>
      <c r="G197" s="23">
        <v>1.31</v>
      </c>
      <c r="H197" s="23">
        <v>0</v>
      </c>
      <c r="I197" s="23">
        <v>0</v>
      </c>
      <c r="J197" s="17">
        <f>OR(F197&lt;&gt;0,G197&lt;&gt;0,H197&lt;&gt;0,I197&lt;&gt;0)*(F197 + (F197 = 0))*(G197 + (G197 = 0))*(H197 + (H197 = 0))*(I197 + (I197 = 0))</f>
        <v>1.31</v>
      </c>
      <c r="K197" s="9"/>
      <c r="L197" s="9"/>
      <c r="M197" s="9"/>
    </row>
    <row r="198" spans="1:13">
      <c r="A198" s="9"/>
      <c r="B198" s="9"/>
      <c r="C198" s="9"/>
      <c r="D198" s="30"/>
      <c r="E198" s="9"/>
      <c r="F198" s="9"/>
      <c r="G198" s="9"/>
      <c r="H198" s="9"/>
      <c r="I198" s="9"/>
      <c r="J198" s="21" t="s">
        <v>194</v>
      </c>
      <c r="K198" s="22">
        <f>SUM(J195:J197)</f>
        <v>3.61</v>
      </c>
      <c r="L198" s="23">
        <v>0</v>
      </c>
      <c r="M198" s="24">
        <f>ROUND(K198*L198,2)</f>
        <v>0</v>
      </c>
    </row>
    <row r="199" spans="1:13" ht="0.95" customHeight="1">
      <c r="A199" s="25"/>
      <c r="B199" s="25"/>
      <c r="C199" s="25"/>
      <c r="D199" s="31"/>
      <c r="E199" s="25"/>
      <c r="F199" s="25"/>
      <c r="G199" s="25"/>
      <c r="H199" s="25"/>
      <c r="I199" s="25"/>
      <c r="J199" s="25"/>
      <c r="K199" s="25"/>
      <c r="L199" s="25"/>
      <c r="M199" s="25"/>
    </row>
    <row r="200" spans="1:13" ht="22.5">
      <c r="A200" s="15" t="s">
        <v>195</v>
      </c>
      <c r="B200" s="10" t="s">
        <v>23</v>
      </c>
      <c r="C200" s="10" t="s">
        <v>94</v>
      </c>
      <c r="D200" s="18" t="s">
        <v>196</v>
      </c>
      <c r="E200" s="9"/>
      <c r="F200" s="9"/>
      <c r="G200" s="9"/>
      <c r="H200" s="9"/>
      <c r="I200" s="9"/>
      <c r="J200" s="9"/>
      <c r="K200" s="16">
        <f>K203</f>
        <v>3.13</v>
      </c>
      <c r="L200" s="17">
        <f>L203</f>
        <v>0</v>
      </c>
      <c r="M200" s="17">
        <f>M203</f>
        <v>0</v>
      </c>
    </row>
    <row r="201" spans="1:13">
      <c r="A201" s="9"/>
      <c r="B201" s="9"/>
      <c r="C201" s="9"/>
      <c r="D201" s="18" t="s">
        <v>197</v>
      </c>
      <c r="E201" s="9"/>
      <c r="F201" s="9"/>
      <c r="G201" s="9"/>
      <c r="H201" s="9"/>
      <c r="I201" s="9"/>
      <c r="J201" s="9"/>
      <c r="K201" s="9"/>
      <c r="L201" s="9"/>
      <c r="M201" s="9"/>
    </row>
    <row r="202" spans="1:13">
      <c r="A202" s="9"/>
      <c r="B202" s="9"/>
      <c r="C202" s="10" t="s">
        <v>27</v>
      </c>
      <c r="D202" s="30"/>
      <c r="E202" s="10" t="s">
        <v>198</v>
      </c>
      <c r="F202" s="19">
        <v>2</v>
      </c>
      <c r="G202" s="23">
        <v>1.01</v>
      </c>
      <c r="H202" s="23">
        <v>1.55</v>
      </c>
      <c r="I202" s="23">
        <v>0</v>
      </c>
      <c r="J202" s="17">
        <f>OR(F202&lt;&gt;0,G202&lt;&gt;0,H202&lt;&gt;0,I202&lt;&gt;0)*(F202 + (F202 = 0))*(G202 + (G202 = 0))*(H202 + (H202 = 0))*(I202 + (I202 = 0))</f>
        <v>3.13</v>
      </c>
      <c r="K202" s="9"/>
      <c r="L202" s="9"/>
      <c r="M202" s="9"/>
    </row>
    <row r="203" spans="1:13">
      <c r="A203" s="9"/>
      <c r="B203" s="9"/>
      <c r="C203" s="9"/>
      <c r="D203" s="30"/>
      <c r="E203" s="9"/>
      <c r="F203" s="9"/>
      <c r="G203" s="9"/>
      <c r="H203" s="9"/>
      <c r="I203" s="9"/>
      <c r="J203" s="21" t="s">
        <v>199</v>
      </c>
      <c r="K203" s="22">
        <f>J202</f>
        <v>3.13</v>
      </c>
      <c r="L203" s="23">
        <v>0</v>
      </c>
      <c r="M203" s="24">
        <f>ROUND(K203*L203,2)</f>
        <v>0</v>
      </c>
    </row>
    <row r="204" spans="1:13" ht="0.95" customHeight="1">
      <c r="A204" s="25"/>
      <c r="B204" s="25"/>
      <c r="C204" s="25"/>
      <c r="D204" s="31"/>
      <c r="E204" s="25"/>
      <c r="F204" s="25"/>
      <c r="G204" s="25"/>
      <c r="H204" s="25"/>
      <c r="I204" s="25"/>
      <c r="J204" s="25"/>
      <c r="K204" s="25"/>
      <c r="L204" s="25"/>
      <c r="M204" s="25"/>
    </row>
    <row r="205" spans="1:13">
      <c r="A205" s="9"/>
      <c r="B205" s="9"/>
      <c r="C205" s="9"/>
      <c r="D205" s="30"/>
      <c r="E205" s="9"/>
      <c r="F205" s="9"/>
      <c r="G205" s="9"/>
      <c r="H205" s="9"/>
      <c r="I205" s="9"/>
      <c r="J205" s="21" t="s">
        <v>200</v>
      </c>
      <c r="K205" s="20">
        <v>1</v>
      </c>
      <c r="L205" s="24">
        <f>M182+M187+M193+M200</f>
        <v>0</v>
      </c>
      <c r="M205" s="24">
        <f>ROUND(K205*L205,2)</f>
        <v>0</v>
      </c>
    </row>
    <row r="206" spans="1:13" ht="0.95" customHeight="1">
      <c r="A206" s="25"/>
      <c r="B206" s="25"/>
      <c r="C206" s="25"/>
      <c r="D206" s="31"/>
      <c r="E206" s="25"/>
      <c r="F206" s="25"/>
      <c r="G206" s="25"/>
      <c r="H206" s="25"/>
      <c r="I206" s="25"/>
      <c r="J206" s="25"/>
      <c r="K206" s="25"/>
      <c r="L206" s="25"/>
      <c r="M206" s="25"/>
    </row>
    <row r="207" spans="1:13">
      <c r="A207" s="11" t="s">
        <v>201</v>
      </c>
      <c r="B207" s="11" t="s">
        <v>16</v>
      </c>
      <c r="C207" s="11" t="s">
        <v>17</v>
      </c>
      <c r="D207" s="29" t="s">
        <v>202</v>
      </c>
      <c r="E207" s="12"/>
      <c r="F207" s="12"/>
      <c r="G207" s="12"/>
      <c r="H207" s="12"/>
      <c r="I207" s="12"/>
      <c r="J207" s="12"/>
      <c r="K207" s="13">
        <f>K230</f>
        <v>1</v>
      </c>
      <c r="L207" s="14">
        <f>L230</f>
        <v>0</v>
      </c>
      <c r="M207" s="14">
        <f>M230</f>
        <v>0</v>
      </c>
    </row>
    <row r="208" spans="1:13">
      <c r="A208" s="15" t="s">
        <v>203</v>
      </c>
      <c r="B208" s="10" t="s">
        <v>23</v>
      </c>
      <c r="C208" s="10" t="s">
        <v>204</v>
      </c>
      <c r="D208" s="18" t="s">
        <v>205</v>
      </c>
      <c r="E208" s="9"/>
      <c r="F208" s="9"/>
      <c r="G208" s="9"/>
      <c r="H208" s="9"/>
      <c r="I208" s="9"/>
      <c r="J208" s="9"/>
      <c r="K208" s="16">
        <f>K220</f>
        <v>4.05</v>
      </c>
      <c r="L208" s="17">
        <f>L220</f>
        <v>0</v>
      </c>
      <c r="M208" s="17">
        <f>M220</f>
        <v>0</v>
      </c>
    </row>
    <row r="209" spans="1:13">
      <c r="A209" s="9"/>
      <c r="B209" s="9"/>
      <c r="C209" s="9"/>
      <c r="D209" s="18" t="s">
        <v>206</v>
      </c>
      <c r="E209" s="9"/>
      <c r="F209" s="9"/>
      <c r="G209" s="9"/>
      <c r="H209" s="9"/>
      <c r="I209" s="9"/>
      <c r="J209" s="9"/>
      <c r="K209" s="9"/>
      <c r="L209" s="9"/>
      <c r="M209" s="9"/>
    </row>
    <row r="210" spans="1:13">
      <c r="A210" s="9"/>
      <c r="B210" s="9"/>
      <c r="C210" s="10" t="s">
        <v>27</v>
      </c>
      <c r="D210" s="30"/>
      <c r="E210" s="10" t="s">
        <v>207</v>
      </c>
      <c r="F210" s="19">
        <v>1</v>
      </c>
      <c r="G210" s="23">
        <v>5.01</v>
      </c>
      <c r="H210" s="23">
        <v>0</v>
      </c>
      <c r="I210" s="23">
        <v>0.3</v>
      </c>
      <c r="J210" s="17">
        <f>OR(F210&lt;&gt;0,G210&lt;&gt;0,H210&lt;&gt;0,I210&lt;&gt;0)*(F210 + (F210 = 0))*(G210 + (G210 = 0))*(H210 + (H210 = 0))*(I210 + (I210 = 0))</f>
        <v>1.5</v>
      </c>
      <c r="K210" s="9"/>
      <c r="L210" s="9"/>
      <c r="M210" s="9"/>
    </row>
    <row r="211" spans="1:13">
      <c r="A211" s="9"/>
      <c r="B211" s="9"/>
      <c r="C211" s="10" t="s">
        <v>27</v>
      </c>
      <c r="D211" s="30"/>
      <c r="E211" s="10" t="s">
        <v>17</v>
      </c>
      <c r="F211" s="19">
        <v>1</v>
      </c>
      <c r="G211" s="23">
        <v>4.22</v>
      </c>
      <c r="H211" s="23">
        <v>0</v>
      </c>
      <c r="I211" s="23">
        <v>0.3</v>
      </c>
      <c r="J211" s="17">
        <f>OR(F211&lt;&gt;0,G211&lt;&gt;0,H211&lt;&gt;0,I211&lt;&gt;0)*(F211 + (F211 = 0))*(G211 + (G211 = 0))*(H211 + (H211 = 0))*(I211 + (I211 = 0))</f>
        <v>1.27</v>
      </c>
      <c r="K211" s="9"/>
      <c r="L211" s="9"/>
      <c r="M211" s="9"/>
    </row>
    <row r="212" spans="1:13">
      <c r="A212" s="9"/>
      <c r="B212" s="9"/>
      <c r="C212" s="10" t="s">
        <v>27</v>
      </c>
      <c r="D212" s="30"/>
      <c r="E212" s="10" t="s">
        <v>17</v>
      </c>
      <c r="F212" s="19">
        <v>1</v>
      </c>
      <c r="G212" s="23">
        <v>2.5299999999999998</v>
      </c>
      <c r="H212" s="23">
        <v>0</v>
      </c>
      <c r="I212" s="23">
        <v>0.08</v>
      </c>
      <c r="J212" s="17">
        <f>OR(F212&lt;&gt;0,G212&lt;&gt;0,H212&lt;&gt;0,I212&lt;&gt;0)*(F212 + (F212 = 0))*(G212 + (G212 = 0))*(H212 + (H212 = 0))*(I212 + (I212 = 0))</f>
        <v>0.2</v>
      </c>
      <c r="K212" s="9"/>
      <c r="L212" s="9"/>
      <c r="M212" s="9"/>
    </row>
    <row r="213" spans="1:13">
      <c r="A213" s="9"/>
      <c r="B213" s="9"/>
      <c r="C213" s="10" t="s">
        <v>27</v>
      </c>
      <c r="D213" s="30"/>
      <c r="E213" s="10" t="s">
        <v>17</v>
      </c>
      <c r="F213" s="19">
        <v>1</v>
      </c>
      <c r="G213" s="23">
        <v>1.4</v>
      </c>
      <c r="H213" s="23">
        <v>0</v>
      </c>
      <c r="I213" s="23">
        <v>0.08</v>
      </c>
      <c r="J213" s="17">
        <f>OR(F213&lt;&gt;0,G213&lt;&gt;0,H213&lt;&gt;0,I213&lt;&gt;0)*(F213 + (F213 = 0))*(G213 + (G213 = 0))*(H213 + (H213 = 0))*(I213 + (I213 = 0))</f>
        <v>0.11</v>
      </c>
      <c r="K213" s="9"/>
      <c r="L213" s="9"/>
      <c r="M213" s="9"/>
    </row>
    <row r="214" spans="1:13">
      <c r="A214" s="9"/>
      <c r="B214" s="9"/>
      <c r="C214" s="10" t="s">
        <v>27</v>
      </c>
      <c r="D214" s="30"/>
      <c r="E214" s="10" t="s">
        <v>17</v>
      </c>
      <c r="F214" s="19">
        <v>1</v>
      </c>
      <c r="G214" s="23">
        <v>1.07</v>
      </c>
      <c r="H214" s="23">
        <v>0</v>
      </c>
      <c r="I214" s="23">
        <v>0.08</v>
      </c>
      <c r="J214" s="17">
        <f>OR(F214&lt;&gt;0,G214&lt;&gt;0,H214&lt;&gt;0,I214&lt;&gt;0)*(F214 + (F214 = 0))*(G214 + (G214 = 0))*(H214 + (H214 = 0))*(I214 + (I214 = 0))</f>
        <v>0.09</v>
      </c>
      <c r="K214" s="9"/>
      <c r="L214" s="9"/>
      <c r="M214" s="9"/>
    </row>
    <row r="215" spans="1:13">
      <c r="A215" s="9"/>
      <c r="B215" s="9"/>
      <c r="C215" s="10" t="s">
        <v>27</v>
      </c>
      <c r="D215" s="30"/>
      <c r="E215" s="10" t="s">
        <v>17</v>
      </c>
      <c r="F215" s="19">
        <v>1</v>
      </c>
      <c r="G215" s="23">
        <v>1.34</v>
      </c>
      <c r="H215" s="23">
        <v>0</v>
      </c>
      <c r="I215" s="23">
        <v>0.08</v>
      </c>
      <c r="J215" s="17">
        <f>OR(F215&lt;&gt;0,G215&lt;&gt;0,H215&lt;&gt;0,I215&lt;&gt;0)*(F215 + (F215 = 0))*(G215 + (G215 = 0))*(H215 + (H215 = 0))*(I215 + (I215 = 0))</f>
        <v>0.11</v>
      </c>
      <c r="K215" s="9"/>
      <c r="L215" s="9"/>
      <c r="M215" s="9"/>
    </row>
    <row r="216" spans="1:13">
      <c r="A216" s="9"/>
      <c r="B216" s="9"/>
      <c r="C216" s="10" t="s">
        <v>27</v>
      </c>
      <c r="D216" s="30"/>
      <c r="E216" s="10" t="s">
        <v>17</v>
      </c>
      <c r="F216" s="19">
        <v>1</v>
      </c>
      <c r="G216" s="23">
        <v>2.4</v>
      </c>
      <c r="H216" s="23">
        <v>0</v>
      </c>
      <c r="I216" s="23">
        <v>0.08</v>
      </c>
      <c r="J216" s="17">
        <f>OR(F216&lt;&gt;0,G216&lt;&gt;0,H216&lt;&gt;0,I216&lt;&gt;0)*(F216 + (F216 = 0))*(G216 + (G216 = 0))*(H216 + (H216 = 0))*(I216 + (I216 = 0))</f>
        <v>0.19</v>
      </c>
      <c r="K216" s="9"/>
      <c r="L216" s="9"/>
      <c r="M216" s="9"/>
    </row>
    <row r="217" spans="1:13">
      <c r="A217" s="9"/>
      <c r="B217" s="9"/>
      <c r="C217" s="10" t="s">
        <v>27</v>
      </c>
      <c r="D217" s="30"/>
      <c r="E217" s="10" t="s">
        <v>17</v>
      </c>
      <c r="F217" s="19">
        <v>1</v>
      </c>
      <c r="G217" s="23">
        <v>4.2</v>
      </c>
      <c r="H217" s="23">
        <v>0</v>
      </c>
      <c r="I217" s="23">
        <v>0.08</v>
      </c>
      <c r="J217" s="17">
        <f>OR(F217&lt;&gt;0,G217&lt;&gt;0,H217&lt;&gt;0,I217&lt;&gt;0)*(F217 + (F217 = 0))*(G217 + (G217 = 0))*(H217 + (H217 = 0))*(I217 + (I217 = 0))</f>
        <v>0.34</v>
      </c>
      <c r="K217" s="9"/>
      <c r="L217" s="9"/>
      <c r="M217" s="9"/>
    </row>
    <row r="218" spans="1:13">
      <c r="A218" s="9"/>
      <c r="B218" s="9"/>
      <c r="C218" s="10" t="s">
        <v>27</v>
      </c>
      <c r="D218" s="30"/>
      <c r="E218" s="10" t="s">
        <v>17</v>
      </c>
      <c r="F218" s="19">
        <v>1</v>
      </c>
      <c r="G218" s="23">
        <v>1.65</v>
      </c>
      <c r="H218" s="23">
        <v>0</v>
      </c>
      <c r="I218" s="23">
        <v>0.08</v>
      </c>
      <c r="J218" s="17">
        <f>OR(F218&lt;&gt;0,G218&lt;&gt;0,H218&lt;&gt;0,I218&lt;&gt;0)*(F218 + (F218 = 0))*(G218 + (G218 = 0))*(H218 + (H218 = 0))*(I218 + (I218 = 0))</f>
        <v>0.13</v>
      </c>
      <c r="K218" s="9"/>
      <c r="L218" s="9"/>
      <c r="M218" s="9"/>
    </row>
    <row r="219" spans="1:13">
      <c r="A219" s="9"/>
      <c r="B219" s="9"/>
      <c r="C219" s="10" t="s">
        <v>27</v>
      </c>
      <c r="D219" s="30"/>
      <c r="E219" s="10" t="s">
        <v>17</v>
      </c>
      <c r="F219" s="19">
        <v>1</v>
      </c>
      <c r="G219" s="23">
        <v>1.34</v>
      </c>
      <c r="H219" s="23">
        <v>0</v>
      </c>
      <c r="I219" s="23">
        <v>0.08</v>
      </c>
      <c r="J219" s="17">
        <f>OR(F219&lt;&gt;0,G219&lt;&gt;0,H219&lt;&gt;0,I219&lt;&gt;0)*(F219 + (F219 = 0))*(G219 + (G219 = 0))*(H219 + (H219 = 0))*(I219 + (I219 = 0))</f>
        <v>0.11</v>
      </c>
      <c r="K219" s="9"/>
      <c r="L219" s="9"/>
      <c r="M219" s="9"/>
    </row>
    <row r="220" spans="1:13">
      <c r="A220" s="9"/>
      <c r="B220" s="9"/>
      <c r="C220" s="9"/>
      <c r="D220" s="30"/>
      <c r="E220" s="9"/>
      <c r="F220" s="9"/>
      <c r="G220" s="9"/>
      <c r="H220" s="9"/>
      <c r="I220" s="9"/>
      <c r="J220" s="21" t="s">
        <v>208</v>
      </c>
      <c r="K220" s="22">
        <f>SUM(J210:J219)</f>
        <v>4.05</v>
      </c>
      <c r="L220" s="23">
        <v>0</v>
      </c>
      <c r="M220" s="24">
        <f>ROUND(K220*L220,2)</f>
        <v>0</v>
      </c>
    </row>
    <row r="221" spans="1:13" ht="0.95" customHeight="1">
      <c r="A221" s="25"/>
      <c r="B221" s="25"/>
      <c r="C221" s="25"/>
      <c r="D221" s="31"/>
      <c r="E221" s="25"/>
      <c r="F221" s="25"/>
      <c r="G221" s="25"/>
      <c r="H221" s="25"/>
      <c r="I221" s="25"/>
      <c r="J221" s="25"/>
      <c r="K221" s="25"/>
      <c r="L221" s="25"/>
      <c r="M221" s="25"/>
    </row>
    <row r="222" spans="1:13">
      <c r="A222" s="15" t="s">
        <v>209</v>
      </c>
      <c r="B222" s="10" t="s">
        <v>23</v>
      </c>
      <c r="C222" s="10" t="s">
        <v>204</v>
      </c>
      <c r="D222" s="18" t="s">
        <v>210</v>
      </c>
      <c r="E222" s="9"/>
      <c r="F222" s="9"/>
      <c r="G222" s="9"/>
      <c r="H222" s="9"/>
      <c r="I222" s="9"/>
      <c r="J222" s="9"/>
      <c r="K222" s="20">
        <v>0</v>
      </c>
      <c r="L222" s="23">
        <v>0</v>
      </c>
      <c r="M222" s="17">
        <f>ROUND(K222*L222,2)</f>
        <v>0</v>
      </c>
    </row>
    <row r="223" spans="1:13">
      <c r="A223" s="9"/>
      <c r="B223" s="9"/>
      <c r="C223" s="9"/>
      <c r="D223" s="18" t="s">
        <v>211</v>
      </c>
      <c r="E223" s="9"/>
      <c r="F223" s="9"/>
      <c r="G223" s="9"/>
      <c r="H223" s="9"/>
      <c r="I223" s="9"/>
      <c r="J223" s="9"/>
      <c r="K223" s="9"/>
      <c r="L223" s="9"/>
      <c r="M223" s="9"/>
    </row>
    <row r="224" spans="1:13" ht="22.5">
      <c r="A224" s="15" t="s">
        <v>212</v>
      </c>
      <c r="B224" s="10" t="s">
        <v>23</v>
      </c>
      <c r="C224" s="10" t="s">
        <v>204</v>
      </c>
      <c r="D224" s="18" t="s">
        <v>213</v>
      </c>
      <c r="E224" s="9"/>
      <c r="F224" s="9"/>
      <c r="G224" s="9"/>
      <c r="H224" s="9"/>
      <c r="I224" s="9"/>
      <c r="J224" s="9"/>
      <c r="K224" s="16">
        <f>K228</f>
        <v>10.119999999999999</v>
      </c>
      <c r="L224" s="17">
        <f>L228</f>
        <v>0</v>
      </c>
      <c r="M224" s="17">
        <f>M228</f>
        <v>0</v>
      </c>
    </row>
    <row r="225" spans="1:13">
      <c r="A225" s="9"/>
      <c r="B225" s="9"/>
      <c r="C225" s="9"/>
      <c r="D225" s="18" t="s">
        <v>214</v>
      </c>
      <c r="E225" s="9"/>
      <c r="F225" s="9"/>
      <c r="G225" s="9"/>
      <c r="H225" s="9"/>
      <c r="I225" s="9"/>
      <c r="J225" s="9"/>
      <c r="K225" s="9"/>
      <c r="L225" s="9"/>
      <c r="M225" s="9"/>
    </row>
    <row r="226" spans="1:13">
      <c r="A226" s="9"/>
      <c r="B226" s="9"/>
      <c r="C226" s="10" t="s">
        <v>27</v>
      </c>
      <c r="D226" s="30"/>
      <c r="E226" s="10" t="s">
        <v>215</v>
      </c>
      <c r="F226" s="19">
        <v>1</v>
      </c>
      <c r="G226" s="23">
        <v>2</v>
      </c>
      <c r="H226" s="23">
        <v>0</v>
      </c>
      <c r="I226" s="23">
        <v>2.2999999999999998</v>
      </c>
      <c r="J226" s="17">
        <f>OR(F226&lt;&gt;0,G226&lt;&gt;0,H226&lt;&gt;0,I226&lt;&gt;0)*(F226 + (F226 = 0))*(G226 + (G226 = 0))*(H226 + (H226 = 0))*(I226 + (I226 = 0))</f>
        <v>4.5999999999999996</v>
      </c>
      <c r="K226" s="9"/>
      <c r="L226" s="9"/>
      <c r="M226" s="9"/>
    </row>
    <row r="227" spans="1:13">
      <c r="A227" s="9"/>
      <c r="B227" s="9"/>
      <c r="C227" s="10" t="s">
        <v>27</v>
      </c>
      <c r="D227" s="30"/>
      <c r="E227" s="10" t="s">
        <v>216</v>
      </c>
      <c r="F227" s="19">
        <v>1</v>
      </c>
      <c r="G227" s="23">
        <v>2.4</v>
      </c>
      <c r="H227" s="23">
        <v>0</v>
      </c>
      <c r="I227" s="23">
        <v>2.2999999999999998</v>
      </c>
      <c r="J227" s="17">
        <f>OR(F227&lt;&gt;0,G227&lt;&gt;0,H227&lt;&gt;0,I227&lt;&gt;0)*(F227 + (F227 = 0))*(G227 + (G227 = 0))*(H227 + (H227 = 0))*(I227 + (I227 = 0))</f>
        <v>5.52</v>
      </c>
      <c r="K227" s="9"/>
      <c r="L227" s="9"/>
      <c r="M227" s="9"/>
    </row>
    <row r="228" spans="1:13">
      <c r="A228" s="9"/>
      <c r="B228" s="9"/>
      <c r="C228" s="9"/>
      <c r="D228" s="30"/>
      <c r="E228" s="9"/>
      <c r="F228" s="9"/>
      <c r="G228" s="9"/>
      <c r="H228" s="9"/>
      <c r="I228" s="9"/>
      <c r="J228" s="21" t="s">
        <v>217</v>
      </c>
      <c r="K228" s="22">
        <f>SUM(J226:J227)</f>
        <v>10.119999999999999</v>
      </c>
      <c r="L228" s="23">
        <v>0</v>
      </c>
      <c r="M228" s="24">
        <f>ROUND(K228*L228,2)</f>
        <v>0</v>
      </c>
    </row>
    <row r="229" spans="1:13" ht="0.95" customHeight="1">
      <c r="A229" s="25"/>
      <c r="B229" s="25"/>
      <c r="C229" s="25"/>
      <c r="D229" s="31"/>
      <c r="E229" s="25"/>
      <c r="F229" s="25"/>
      <c r="G229" s="25"/>
      <c r="H229" s="25"/>
      <c r="I229" s="25"/>
      <c r="J229" s="25"/>
      <c r="K229" s="25"/>
      <c r="L229" s="25"/>
      <c r="M229" s="25"/>
    </row>
    <row r="230" spans="1:13">
      <c r="A230" s="9"/>
      <c r="B230" s="9"/>
      <c r="C230" s="9"/>
      <c r="D230" s="30"/>
      <c r="E230" s="9"/>
      <c r="F230" s="9"/>
      <c r="G230" s="9"/>
      <c r="H230" s="9"/>
      <c r="I230" s="9"/>
      <c r="J230" s="21" t="s">
        <v>218</v>
      </c>
      <c r="K230" s="20">
        <v>1</v>
      </c>
      <c r="L230" s="24">
        <f>M208+M222+M224</f>
        <v>0</v>
      </c>
      <c r="M230" s="24">
        <f>ROUND(K230*L230,2)</f>
        <v>0</v>
      </c>
    </row>
    <row r="231" spans="1:13" ht="0.95" customHeight="1">
      <c r="A231" s="25"/>
      <c r="B231" s="25"/>
      <c r="C231" s="25"/>
      <c r="D231" s="31"/>
      <c r="E231" s="25"/>
      <c r="F231" s="25"/>
      <c r="G231" s="25"/>
      <c r="H231" s="25"/>
      <c r="I231" s="25"/>
      <c r="J231" s="25"/>
      <c r="K231" s="25"/>
      <c r="L231" s="25"/>
      <c r="M231" s="25"/>
    </row>
    <row r="232" spans="1:13">
      <c r="A232" s="9"/>
      <c r="B232" s="9"/>
      <c r="C232" s="9"/>
      <c r="D232" s="30"/>
      <c r="E232" s="9"/>
      <c r="F232" s="9"/>
      <c r="G232" s="9"/>
      <c r="H232" s="9"/>
      <c r="I232" s="9"/>
      <c r="J232" s="21" t="s">
        <v>219</v>
      </c>
      <c r="K232" s="26">
        <v>1</v>
      </c>
      <c r="L232" s="24">
        <f>M134+M181+M207</f>
        <v>0</v>
      </c>
      <c r="M232" s="24">
        <f>ROUND(K232*L232,2)</f>
        <v>0</v>
      </c>
    </row>
    <row r="233" spans="1:13" ht="0.95" customHeight="1">
      <c r="A233" s="25"/>
      <c r="B233" s="25"/>
      <c r="C233" s="25"/>
      <c r="D233" s="31"/>
      <c r="E233" s="25"/>
      <c r="F233" s="25"/>
      <c r="G233" s="25"/>
      <c r="H233" s="25"/>
      <c r="I233" s="25"/>
      <c r="J233" s="25"/>
      <c r="K233" s="25"/>
      <c r="L233" s="25"/>
      <c r="M233" s="25"/>
    </row>
    <row r="234" spans="1:13">
      <c r="A234" s="5" t="s">
        <v>220</v>
      </c>
      <c r="B234" s="5" t="s">
        <v>16</v>
      </c>
      <c r="C234" s="5" t="s">
        <v>17</v>
      </c>
      <c r="D234" s="28" t="s">
        <v>221</v>
      </c>
      <c r="E234" s="6"/>
      <c r="F234" s="6"/>
      <c r="G234" s="6"/>
      <c r="H234" s="6"/>
      <c r="I234" s="6"/>
      <c r="J234" s="6"/>
      <c r="K234" s="7">
        <f>K314</f>
        <v>1</v>
      </c>
      <c r="L234" s="8">
        <f>L314</f>
        <v>0</v>
      </c>
      <c r="M234" s="8">
        <f>M314</f>
        <v>0</v>
      </c>
    </row>
    <row r="235" spans="1:13">
      <c r="A235" s="11" t="s">
        <v>222</v>
      </c>
      <c r="B235" s="11" t="s">
        <v>16</v>
      </c>
      <c r="C235" s="11" t="s">
        <v>17</v>
      </c>
      <c r="D235" s="29" t="s">
        <v>223</v>
      </c>
      <c r="E235" s="12"/>
      <c r="F235" s="12"/>
      <c r="G235" s="12"/>
      <c r="H235" s="12"/>
      <c r="I235" s="12"/>
      <c r="J235" s="12"/>
      <c r="K235" s="13">
        <f>K259</f>
        <v>1</v>
      </c>
      <c r="L235" s="14">
        <f>L259</f>
        <v>0</v>
      </c>
      <c r="M235" s="14">
        <f>M259</f>
        <v>0</v>
      </c>
    </row>
    <row r="236" spans="1:13" ht="33.75">
      <c r="A236" s="15" t="s">
        <v>224</v>
      </c>
      <c r="B236" s="10" t="s">
        <v>23</v>
      </c>
      <c r="C236" s="10" t="s">
        <v>94</v>
      </c>
      <c r="D236" s="18" t="s">
        <v>225</v>
      </c>
      <c r="E236" s="9"/>
      <c r="F236" s="9"/>
      <c r="G236" s="9"/>
      <c r="H236" s="9"/>
      <c r="I236" s="9"/>
      <c r="J236" s="9"/>
      <c r="K236" s="16">
        <f>K242</f>
        <v>25.687999999999999</v>
      </c>
      <c r="L236" s="17">
        <f>L242</f>
        <v>0</v>
      </c>
      <c r="M236" s="17">
        <f>M242</f>
        <v>0</v>
      </c>
    </row>
    <row r="237" spans="1:13">
      <c r="A237" s="9"/>
      <c r="B237" s="9"/>
      <c r="C237" s="9"/>
      <c r="D237" s="18" t="s">
        <v>226</v>
      </c>
      <c r="E237" s="9"/>
      <c r="F237" s="9"/>
      <c r="G237" s="9"/>
      <c r="H237" s="9"/>
      <c r="I237" s="9"/>
      <c r="J237" s="9"/>
      <c r="K237" s="9"/>
      <c r="L237" s="9"/>
      <c r="M237" s="9"/>
    </row>
    <row r="238" spans="1:13">
      <c r="A238" s="9"/>
      <c r="B238" s="9"/>
      <c r="C238" s="10" t="s">
        <v>27</v>
      </c>
      <c r="D238" s="30"/>
      <c r="E238" s="10" t="s">
        <v>227</v>
      </c>
      <c r="F238" s="19">
        <v>1</v>
      </c>
      <c r="G238" s="20">
        <v>2.25</v>
      </c>
      <c r="H238" s="20">
        <v>0</v>
      </c>
      <c r="I238" s="20">
        <v>1.1000000000000001</v>
      </c>
      <c r="J238" s="16">
        <f>OR(F238&lt;&gt;0,G238&lt;&gt;0,H238&lt;&gt;0,I238&lt;&gt;0)*(F238 + (F238 = 0))*(G238 + (G238 = 0))*(H238 + (H238 = 0))*(I238 + (I238 = 0))</f>
        <v>2.4750000000000001</v>
      </c>
      <c r="K238" s="9"/>
      <c r="L238" s="9"/>
      <c r="M238" s="9"/>
    </row>
    <row r="239" spans="1:13">
      <c r="A239" s="9"/>
      <c r="B239" s="9"/>
      <c r="C239" s="10" t="s">
        <v>27</v>
      </c>
      <c r="D239" s="30"/>
      <c r="E239" s="10" t="s">
        <v>17</v>
      </c>
      <c r="F239" s="19">
        <v>1</v>
      </c>
      <c r="G239" s="20">
        <v>2.6</v>
      </c>
      <c r="H239" s="20">
        <v>0</v>
      </c>
      <c r="I239" s="20">
        <v>2.75</v>
      </c>
      <c r="J239" s="16">
        <f>OR(F239&lt;&gt;0,G239&lt;&gt;0,H239&lt;&gt;0,I239&lt;&gt;0)*(F239 + (F239 = 0))*(G239 + (G239 = 0))*(H239 + (H239 = 0))*(I239 + (I239 = 0))</f>
        <v>7.15</v>
      </c>
      <c r="K239" s="9"/>
      <c r="L239" s="9"/>
      <c r="M239" s="9"/>
    </row>
    <row r="240" spans="1:13">
      <c r="A240" s="9"/>
      <c r="B240" s="9"/>
      <c r="C240" s="10" t="s">
        <v>27</v>
      </c>
      <c r="D240" s="30"/>
      <c r="E240" s="10" t="s">
        <v>17</v>
      </c>
      <c r="F240" s="19">
        <v>1</v>
      </c>
      <c r="G240" s="20">
        <v>2.75</v>
      </c>
      <c r="H240" s="20">
        <v>0</v>
      </c>
      <c r="I240" s="20">
        <v>2.75</v>
      </c>
      <c r="J240" s="16">
        <f>OR(F240&lt;&gt;0,G240&lt;&gt;0,H240&lt;&gt;0,I240&lt;&gt;0)*(F240 + (F240 = 0))*(G240 + (G240 = 0))*(H240 + (H240 = 0))*(I240 + (I240 = 0))</f>
        <v>7.5629999999999997</v>
      </c>
      <c r="K240" s="9"/>
      <c r="L240" s="9"/>
      <c r="M240" s="9"/>
    </row>
    <row r="241" spans="1:13">
      <c r="A241" s="9"/>
      <c r="B241" s="9"/>
      <c r="C241" s="10" t="s">
        <v>27</v>
      </c>
      <c r="D241" s="30"/>
      <c r="E241" s="10" t="s">
        <v>228</v>
      </c>
      <c r="F241" s="19">
        <v>2</v>
      </c>
      <c r="G241" s="20">
        <v>1.7</v>
      </c>
      <c r="H241" s="20">
        <v>0</v>
      </c>
      <c r="I241" s="20">
        <v>2.5</v>
      </c>
      <c r="J241" s="16">
        <f>OR(F241&lt;&gt;0,G241&lt;&gt;0,H241&lt;&gt;0,I241&lt;&gt;0)*(F241 + (F241 = 0))*(G241 + (G241 = 0))*(H241 + (H241 = 0))*(I241 + (I241 = 0))</f>
        <v>8.5</v>
      </c>
      <c r="K241" s="9"/>
      <c r="L241" s="9"/>
      <c r="M241" s="9"/>
    </row>
    <row r="242" spans="1:13">
      <c r="A242" s="9"/>
      <c r="B242" s="9"/>
      <c r="C242" s="9"/>
      <c r="D242" s="30"/>
      <c r="E242" s="9"/>
      <c r="F242" s="9"/>
      <c r="G242" s="9"/>
      <c r="H242" s="9"/>
      <c r="I242" s="9"/>
      <c r="J242" s="21" t="s">
        <v>229</v>
      </c>
      <c r="K242" s="22">
        <f>SUM(J238:J241)</f>
        <v>25.687999999999999</v>
      </c>
      <c r="L242" s="23">
        <v>0</v>
      </c>
      <c r="M242" s="24">
        <f>ROUND(K242*L242,2)</f>
        <v>0</v>
      </c>
    </row>
    <row r="243" spans="1:13" ht="0.95" customHeight="1">
      <c r="A243" s="25"/>
      <c r="B243" s="25"/>
      <c r="C243" s="25"/>
      <c r="D243" s="31"/>
      <c r="E243" s="25"/>
      <c r="F243" s="25"/>
      <c r="G243" s="25"/>
      <c r="H243" s="25"/>
      <c r="I243" s="25"/>
      <c r="J243" s="25"/>
      <c r="K243" s="25"/>
      <c r="L243" s="25"/>
      <c r="M243" s="25"/>
    </row>
    <row r="244" spans="1:13" ht="33.75">
      <c r="A244" s="15" t="s">
        <v>230</v>
      </c>
      <c r="B244" s="10" t="s">
        <v>23</v>
      </c>
      <c r="C244" s="10" t="s">
        <v>94</v>
      </c>
      <c r="D244" s="18" t="s">
        <v>231</v>
      </c>
      <c r="E244" s="9"/>
      <c r="F244" s="9"/>
      <c r="G244" s="9"/>
      <c r="H244" s="9"/>
      <c r="I244" s="9"/>
      <c r="J244" s="9"/>
      <c r="K244" s="16">
        <f>K247</f>
        <v>13.15</v>
      </c>
      <c r="L244" s="17">
        <f>L247</f>
        <v>0</v>
      </c>
      <c r="M244" s="17">
        <f>M247</f>
        <v>0</v>
      </c>
    </row>
    <row r="245" spans="1:13">
      <c r="A245" s="9"/>
      <c r="B245" s="9"/>
      <c r="C245" s="9"/>
      <c r="D245" s="18" t="s">
        <v>232</v>
      </c>
      <c r="E245" s="9"/>
      <c r="F245" s="9"/>
      <c r="G245" s="9"/>
      <c r="H245" s="9"/>
      <c r="I245" s="9"/>
      <c r="J245" s="9"/>
      <c r="K245" s="9"/>
      <c r="L245" s="9"/>
      <c r="M245" s="9"/>
    </row>
    <row r="246" spans="1:13">
      <c r="A246" s="9"/>
      <c r="B246" s="9"/>
      <c r="C246" s="10" t="s">
        <v>27</v>
      </c>
      <c r="D246" s="30"/>
      <c r="E246" s="10" t="s">
        <v>228</v>
      </c>
      <c r="F246" s="19">
        <v>1</v>
      </c>
      <c r="G246" s="20">
        <v>13.15</v>
      </c>
      <c r="H246" s="20">
        <v>0</v>
      </c>
      <c r="I246" s="20">
        <v>0</v>
      </c>
      <c r="J246" s="16">
        <f>OR(F246&lt;&gt;0,G246&lt;&gt;0,H246&lt;&gt;0,I246&lt;&gt;0)*(F246 + (F246 = 0))*(G246 + (G246 = 0))*(H246 + (H246 = 0))*(I246 + (I246 = 0))</f>
        <v>13.15</v>
      </c>
      <c r="K246" s="9"/>
      <c r="L246" s="9"/>
      <c r="M246" s="9"/>
    </row>
    <row r="247" spans="1:13">
      <c r="A247" s="9"/>
      <c r="B247" s="9"/>
      <c r="C247" s="9"/>
      <c r="D247" s="30"/>
      <c r="E247" s="9"/>
      <c r="F247" s="9"/>
      <c r="G247" s="9"/>
      <c r="H247" s="9"/>
      <c r="I247" s="9"/>
      <c r="J247" s="21" t="s">
        <v>233</v>
      </c>
      <c r="K247" s="22">
        <f>J246</f>
        <v>13.15</v>
      </c>
      <c r="L247" s="23">
        <v>0</v>
      </c>
      <c r="M247" s="24">
        <f>ROUND(K247*L247,2)</f>
        <v>0</v>
      </c>
    </row>
    <row r="248" spans="1:13" ht="0.95" customHeight="1">
      <c r="A248" s="25"/>
      <c r="B248" s="25"/>
      <c r="C248" s="25"/>
      <c r="D248" s="31"/>
      <c r="E248" s="25"/>
      <c r="F248" s="25"/>
      <c r="G248" s="25"/>
      <c r="H248" s="25"/>
      <c r="I248" s="25"/>
      <c r="J248" s="25"/>
      <c r="K248" s="25"/>
      <c r="L248" s="25"/>
      <c r="M248" s="25"/>
    </row>
    <row r="249" spans="1:13" ht="33.75">
      <c r="A249" s="15" t="s">
        <v>234</v>
      </c>
      <c r="B249" s="10" t="s">
        <v>23</v>
      </c>
      <c r="C249" s="10" t="s">
        <v>94</v>
      </c>
      <c r="D249" s="18" t="s">
        <v>235</v>
      </c>
      <c r="E249" s="9"/>
      <c r="F249" s="9"/>
      <c r="G249" s="9"/>
      <c r="H249" s="9"/>
      <c r="I249" s="9"/>
      <c r="J249" s="9"/>
      <c r="K249" s="16">
        <f>K252</f>
        <v>38.9</v>
      </c>
      <c r="L249" s="17">
        <f>L252</f>
        <v>0</v>
      </c>
      <c r="M249" s="17">
        <f>M252</f>
        <v>0</v>
      </c>
    </row>
    <row r="250" spans="1:13">
      <c r="A250" s="9"/>
      <c r="B250" s="9"/>
      <c r="C250" s="9"/>
      <c r="D250" s="18" t="s">
        <v>236</v>
      </c>
      <c r="E250" s="9"/>
      <c r="F250" s="9"/>
      <c r="G250" s="9"/>
      <c r="H250" s="9"/>
      <c r="I250" s="9"/>
      <c r="J250" s="9"/>
      <c r="K250" s="9"/>
      <c r="L250" s="9"/>
      <c r="M250" s="9"/>
    </row>
    <row r="251" spans="1:13">
      <c r="A251" s="9"/>
      <c r="B251" s="9"/>
      <c r="C251" s="10" t="s">
        <v>27</v>
      </c>
      <c r="D251" s="30"/>
      <c r="E251" s="10" t="s">
        <v>17</v>
      </c>
      <c r="F251" s="19">
        <v>1</v>
      </c>
      <c r="G251" s="20">
        <v>38.9</v>
      </c>
      <c r="H251" s="20">
        <v>0</v>
      </c>
      <c r="I251" s="20">
        <v>0</v>
      </c>
      <c r="J251" s="16">
        <f>OR(F251&lt;&gt;0,G251&lt;&gt;0,H251&lt;&gt;0,I251&lt;&gt;0)*(F251 + (F251 = 0))*(G251 + (G251 = 0))*(H251 + (H251 = 0))*(I251 + (I251 = 0))</f>
        <v>38.9</v>
      </c>
      <c r="K251" s="9"/>
      <c r="L251" s="9"/>
      <c r="M251" s="9"/>
    </row>
    <row r="252" spans="1:13">
      <c r="A252" s="9"/>
      <c r="B252" s="9"/>
      <c r="C252" s="9"/>
      <c r="D252" s="30"/>
      <c r="E252" s="9"/>
      <c r="F252" s="9"/>
      <c r="G252" s="9"/>
      <c r="H252" s="9"/>
      <c r="I252" s="9"/>
      <c r="J252" s="21" t="s">
        <v>237</v>
      </c>
      <c r="K252" s="22">
        <f>J251</f>
        <v>38.9</v>
      </c>
      <c r="L252" s="23">
        <v>0</v>
      </c>
      <c r="M252" s="24">
        <f>ROUND(K252*L252,2)</f>
        <v>0</v>
      </c>
    </row>
    <row r="253" spans="1:13" ht="0.95" customHeight="1">
      <c r="A253" s="25"/>
      <c r="B253" s="25"/>
      <c r="C253" s="25"/>
      <c r="D253" s="31"/>
      <c r="E253" s="25"/>
      <c r="F253" s="25"/>
      <c r="G253" s="25"/>
      <c r="H253" s="25"/>
      <c r="I253" s="25"/>
      <c r="J253" s="25"/>
      <c r="K253" s="25"/>
      <c r="L253" s="25"/>
      <c r="M253" s="25"/>
    </row>
    <row r="254" spans="1:13" ht="22.5">
      <c r="A254" s="15" t="s">
        <v>238</v>
      </c>
      <c r="B254" s="10" t="s">
        <v>23</v>
      </c>
      <c r="C254" s="10" t="s">
        <v>204</v>
      </c>
      <c r="D254" s="18" t="s">
        <v>239</v>
      </c>
      <c r="E254" s="9"/>
      <c r="F254" s="9"/>
      <c r="G254" s="9"/>
      <c r="H254" s="9"/>
      <c r="I254" s="9"/>
      <c r="J254" s="9"/>
      <c r="K254" s="16">
        <f>K257</f>
        <v>12.54</v>
      </c>
      <c r="L254" s="17">
        <f>L257</f>
        <v>0</v>
      </c>
      <c r="M254" s="17">
        <f>M257</f>
        <v>0</v>
      </c>
    </row>
    <row r="255" spans="1:13">
      <c r="A255" s="9"/>
      <c r="B255" s="9"/>
      <c r="C255" s="9"/>
      <c r="D255" s="18" t="s">
        <v>240</v>
      </c>
      <c r="E255" s="9"/>
      <c r="F255" s="9"/>
      <c r="G255" s="9"/>
      <c r="H255" s="9"/>
      <c r="I255" s="9"/>
      <c r="J255" s="9"/>
      <c r="K255" s="9"/>
      <c r="L255" s="9"/>
      <c r="M255" s="9"/>
    </row>
    <row r="256" spans="1:13">
      <c r="A256" s="9"/>
      <c r="B256" s="9"/>
      <c r="C256" s="10" t="s">
        <v>27</v>
      </c>
      <c r="D256" s="30"/>
      <c r="E256" s="10" t="s">
        <v>17</v>
      </c>
      <c r="F256" s="19">
        <v>1</v>
      </c>
      <c r="G256" s="23">
        <v>0</v>
      </c>
      <c r="H256" s="23">
        <v>5.45</v>
      </c>
      <c r="I256" s="23">
        <v>2.2999999999999998</v>
      </c>
      <c r="J256" s="17">
        <f>OR(F256&lt;&gt;0,G256&lt;&gt;0,H256&lt;&gt;0,I256&lt;&gt;0)*(F256 + (F256 = 0))*(G256 + (G256 = 0))*(H256 + (H256 = 0))*(I256 + (I256 = 0))</f>
        <v>12.54</v>
      </c>
      <c r="K256" s="9"/>
      <c r="L256" s="9"/>
      <c r="M256" s="9"/>
    </row>
    <row r="257" spans="1:13">
      <c r="A257" s="9"/>
      <c r="B257" s="9"/>
      <c r="C257" s="9"/>
      <c r="D257" s="30"/>
      <c r="E257" s="9"/>
      <c r="F257" s="9"/>
      <c r="G257" s="9"/>
      <c r="H257" s="9"/>
      <c r="I257" s="9"/>
      <c r="J257" s="21" t="s">
        <v>241</v>
      </c>
      <c r="K257" s="22">
        <f>J256</f>
        <v>12.54</v>
      </c>
      <c r="L257" s="23">
        <v>0</v>
      </c>
      <c r="M257" s="24">
        <f>ROUND(K257*L257,2)</f>
        <v>0</v>
      </c>
    </row>
    <row r="258" spans="1:13" ht="0.95" customHeight="1">
      <c r="A258" s="25"/>
      <c r="B258" s="25"/>
      <c r="C258" s="25"/>
      <c r="D258" s="31"/>
      <c r="E258" s="25"/>
      <c r="F258" s="25"/>
      <c r="G258" s="25"/>
      <c r="H258" s="25"/>
      <c r="I258" s="25"/>
      <c r="J258" s="25"/>
      <c r="K258" s="25"/>
      <c r="L258" s="25"/>
      <c r="M258" s="25"/>
    </row>
    <row r="259" spans="1:13">
      <c r="A259" s="9"/>
      <c r="B259" s="9"/>
      <c r="C259" s="9"/>
      <c r="D259" s="30"/>
      <c r="E259" s="9"/>
      <c r="F259" s="9"/>
      <c r="G259" s="9"/>
      <c r="H259" s="9"/>
      <c r="I259" s="9"/>
      <c r="J259" s="21" t="s">
        <v>242</v>
      </c>
      <c r="K259" s="20">
        <v>1</v>
      </c>
      <c r="L259" s="24">
        <f>M236+M244+M249+M254</f>
        <v>0</v>
      </c>
      <c r="M259" s="24">
        <f>ROUND(K259*L259,2)</f>
        <v>0</v>
      </c>
    </row>
    <row r="260" spans="1:13" ht="0.95" customHeight="1">
      <c r="A260" s="25"/>
      <c r="B260" s="25"/>
      <c r="C260" s="25"/>
      <c r="D260" s="31"/>
      <c r="E260" s="25"/>
      <c r="F260" s="25"/>
      <c r="G260" s="25"/>
      <c r="H260" s="25"/>
      <c r="I260" s="25"/>
      <c r="J260" s="25"/>
      <c r="K260" s="25"/>
      <c r="L260" s="25"/>
      <c r="M260" s="25"/>
    </row>
    <row r="261" spans="1:13">
      <c r="A261" s="11" t="s">
        <v>243</v>
      </c>
      <c r="B261" s="11" t="s">
        <v>16</v>
      </c>
      <c r="C261" s="11" t="s">
        <v>17</v>
      </c>
      <c r="D261" s="29" t="s">
        <v>244</v>
      </c>
      <c r="E261" s="12"/>
      <c r="F261" s="12"/>
      <c r="G261" s="12"/>
      <c r="H261" s="12"/>
      <c r="I261" s="12"/>
      <c r="J261" s="12"/>
      <c r="K261" s="13">
        <f>K284</f>
        <v>1</v>
      </c>
      <c r="L261" s="14">
        <f>L284</f>
        <v>0</v>
      </c>
      <c r="M261" s="14">
        <f>M284</f>
        <v>0</v>
      </c>
    </row>
    <row r="262" spans="1:13" ht="22.5">
      <c r="A262" s="10" t="s">
        <v>245</v>
      </c>
      <c r="B262" s="10" t="s">
        <v>23</v>
      </c>
      <c r="C262" s="10" t="s">
        <v>94</v>
      </c>
      <c r="D262" s="18" t="s">
        <v>246</v>
      </c>
      <c r="E262" s="9"/>
      <c r="F262" s="9"/>
      <c r="G262" s="9"/>
      <c r="H262" s="9"/>
      <c r="I262" s="9"/>
      <c r="J262" s="9"/>
      <c r="K262" s="16">
        <f>K274</f>
        <v>79.349999999999994</v>
      </c>
      <c r="L262" s="17">
        <f>L274</f>
        <v>0</v>
      </c>
      <c r="M262" s="17">
        <f>M274</f>
        <v>0</v>
      </c>
    </row>
    <row r="263" spans="1:13">
      <c r="A263" s="9"/>
      <c r="B263" s="9"/>
      <c r="C263" s="9"/>
      <c r="D263" s="18" t="s">
        <v>247</v>
      </c>
      <c r="E263" s="9"/>
      <c r="F263" s="9"/>
      <c r="G263" s="9"/>
      <c r="H263" s="9"/>
      <c r="I263" s="9"/>
      <c r="J263" s="9"/>
      <c r="K263" s="9"/>
      <c r="L263" s="9"/>
      <c r="M263" s="9"/>
    </row>
    <row r="264" spans="1:13">
      <c r="A264" s="9"/>
      <c r="B264" s="9"/>
      <c r="C264" s="10" t="s">
        <v>27</v>
      </c>
      <c r="D264" s="30"/>
      <c r="E264" s="10" t="s">
        <v>97</v>
      </c>
      <c r="F264" s="19">
        <v>1</v>
      </c>
      <c r="G264" s="23">
        <v>10.7</v>
      </c>
      <c r="H264" s="23">
        <v>0</v>
      </c>
      <c r="I264" s="23">
        <v>2.2999999999999998</v>
      </c>
      <c r="J264" s="17">
        <f>OR(F264&lt;&gt;0,G264&lt;&gt;0,H264&lt;&gt;0,I264&lt;&gt;0)*(F264 + (F264 = 0))*(G264 + (G264 = 0))*(H264 + (H264 = 0))*(I264 + (I264 = 0))</f>
        <v>24.61</v>
      </c>
      <c r="K264" s="9"/>
      <c r="L264" s="9"/>
      <c r="M264" s="9"/>
    </row>
    <row r="265" spans="1:13">
      <c r="A265" s="9"/>
      <c r="B265" s="9"/>
      <c r="C265" s="10" t="s">
        <v>27</v>
      </c>
      <c r="D265" s="30"/>
      <c r="E265" s="10" t="s">
        <v>227</v>
      </c>
      <c r="F265" s="19"/>
      <c r="G265" s="23"/>
      <c r="H265" s="23"/>
      <c r="I265" s="23"/>
      <c r="J265" s="17">
        <f>OR(F265&lt;&gt;0,G265&lt;&gt;0,H265&lt;&gt;0,I265&lt;&gt;0)*(F265 + (F265 = 0))*(G265 + (G265 = 0))*(H265 + (H265 = 0))*(I265 + (I265 = 0))</f>
        <v>0</v>
      </c>
      <c r="K265" s="9"/>
      <c r="L265" s="9"/>
      <c r="M265" s="9"/>
    </row>
    <row r="266" spans="1:13">
      <c r="A266" s="9"/>
      <c r="B266" s="9"/>
      <c r="C266" s="10" t="s">
        <v>27</v>
      </c>
      <c r="D266" s="30"/>
      <c r="E266" s="10" t="s">
        <v>228</v>
      </c>
      <c r="F266" s="19">
        <v>1</v>
      </c>
      <c r="G266" s="23">
        <v>2.2400000000000002</v>
      </c>
      <c r="H266" s="23">
        <v>0</v>
      </c>
      <c r="I266" s="23">
        <v>2.4500000000000002</v>
      </c>
      <c r="J266" s="17">
        <f>OR(F266&lt;&gt;0,G266&lt;&gt;0,H266&lt;&gt;0,I266&lt;&gt;0)*(F266 + (F266 = 0))*(G266 + (G266 = 0))*(H266 + (H266 = 0))*(I266 + (I266 = 0))</f>
        <v>5.49</v>
      </c>
      <c r="K266" s="9"/>
      <c r="L266" s="9"/>
      <c r="M266" s="9"/>
    </row>
    <row r="267" spans="1:13">
      <c r="A267" s="9"/>
      <c r="B267" s="9"/>
      <c r="C267" s="10" t="s">
        <v>27</v>
      </c>
      <c r="D267" s="30"/>
      <c r="E267" s="10" t="s">
        <v>17</v>
      </c>
      <c r="F267" s="19">
        <v>1</v>
      </c>
      <c r="G267" s="23">
        <v>10.9</v>
      </c>
      <c r="H267" s="23">
        <v>0</v>
      </c>
      <c r="I267" s="23">
        <v>0</v>
      </c>
      <c r="J267" s="17">
        <f>OR(F267&lt;&gt;0,G267&lt;&gt;0,H267&lt;&gt;0,I267&lt;&gt;0)*(F267 + (F267 = 0))*(G267 + (G267 = 0))*(H267 + (H267 = 0))*(I267 + (I267 = 0))</f>
        <v>10.9</v>
      </c>
      <c r="K267" s="9"/>
      <c r="L267" s="9"/>
      <c r="M267" s="9"/>
    </row>
    <row r="268" spans="1:13">
      <c r="A268" s="9"/>
      <c r="B268" s="9"/>
      <c r="C268" s="10" t="s">
        <v>27</v>
      </c>
      <c r="D268" s="30"/>
      <c r="E268" s="10" t="s">
        <v>17</v>
      </c>
      <c r="F268" s="19">
        <v>1</v>
      </c>
      <c r="G268" s="23">
        <v>4.75</v>
      </c>
      <c r="H268" s="23">
        <v>0</v>
      </c>
      <c r="I268" s="23">
        <v>0</v>
      </c>
      <c r="J268" s="17">
        <f>OR(F268&lt;&gt;0,G268&lt;&gt;0,H268&lt;&gt;0,I268&lt;&gt;0)*(F268 + (F268 = 0))*(G268 + (G268 = 0))*(H268 + (H268 = 0))*(I268 + (I268 = 0))</f>
        <v>4.75</v>
      </c>
      <c r="K268" s="9"/>
      <c r="L268" s="9"/>
      <c r="M268" s="9"/>
    </row>
    <row r="269" spans="1:13">
      <c r="A269" s="9"/>
      <c r="B269" s="9"/>
      <c r="C269" s="10" t="s">
        <v>27</v>
      </c>
      <c r="D269" s="30"/>
      <c r="E269" s="10" t="s">
        <v>17</v>
      </c>
      <c r="F269" s="19">
        <v>1</v>
      </c>
      <c r="G269" s="23">
        <v>3</v>
      </c>
      <c r="H269" s="23">
        <v>0</v>
      </c>
      <c r="I269" s="23">
        <v>2.4500000000000002</v>
      </c>
      <c r="J269" s="17">
        <f>OR(F269&lt;&gt;0,G269&lt;&gt;0,H269&lt;&gt;0,I269&lt;&gt;0)*(F269 + (F269 = 0))*(G269 + (G269 = 0))*(H269 + (H269 = 0))*(I269 + (I269 = 0))</f>
        <v>7.35</v>
      </c>
      <c r="K269" s="9"/>
      <c r="L269" s="9"/>
      <c r="M269" s="9"/>
    </row>
    <row r="270" spans="1:13">
      <c r="A270" s="9"/>
      <c r="B270" s="9"/>
      <c r="C270" s="10" t="s">
        <v>27</v>
      </c>
      <c r="D270" s="30"/>
      <c r="E270" s="10" t="s">
        <v>17</v>
      </c>
      <c r="F270" s="19">
        <v>1</v>
      </c>
      <c r="G270" s="23">
        <v>10.050000000000001</v>
      </c>
      <c r="H270" s="23">
        <v>0</v>
      </c>
      <c r="I270" s="23">
        <v>0</v>
      </c>
      <c r="J270" s="17">
        <f>OR(F270&lt;&gt;0,G270&lt;&gt;0,H270&lt;&gt;0,I270&lt;&gt;0)*(F270 + (F270 = 0))*(G270 + (G270 = 0))*(H270 + (H270 = 0))*(I270 + (I270 = 0))</f>
        <v>10.050000000000001</v>
      </c>
      <c r="K270" s="9"/>
      <c r="L270" s="9"/>
      <c r="M270" s="9"/>
    </row>
    <row r="271" spans="1:13">
      <c r="A271" s="9"/>
      <c r="B271" s="9"/>
      <c r="C271" s="10" t="s">
        <v>27</v>
      </c>
      <c r="D271" s="30"/>
      <c r="E271" s="10" t="s">
        <v>17</v>
      </c>
      <c r="F271" s="19">
        <v>2</v>
      </c>
      <c r="G271" s="23">
        <v>1.8</v>
      </c>
      <c r="H271" s="23">
        <v>0</v>
      </c>
      <c r="I271" s="23">
        <v>0</v>
      </c>
      <c r="J271" s="17">
        <f>OR(F271&lt;&gt;0,G271&lt;&gt;0,H271&lt;&gt;0,I271&lt;&gt;0)*(F271 + (F271 = 0))*(G271 + (G271 = 0))*(H271 + (H271 = 0))*(I271 + (I271 = 0))</f>
        <v>3.6</v>
      </c>
      <c r="K271" s="9"/>
      <c r="L271" s="9"/>
      <c r="M271" s="9"/>
    </row>
    <row r="272" spans="1:13">
      <c r="A272" s="9"/>
      <c r="B272" s="9"/>
      <c r="C272" s="10" t="s">
        <v>27</v>
      </c>
      <c r="D272" s="30"/>
      <c r="E272" s="10" t="s">
        <v>17</v>
      </c>
      <c r="F272" s="19">
        <v>2</v>
      </c>
      <c r="G272" s="23">
        <v>0.5</v>
      </c>
      <c r="H272" s="23">
        <v>0</v>
      </c>
      <c r="I272" s="23">
        <v>2.6</v>
      </c>
      <c r="J272" s="17">
        <f>OR(F272&lt;&gt;0,G272&lt;&gt;0,H272&lt;&gt;0,I272&lt;&gt;0)*(F272 + (F272 = 0))*(G272 + (G272 = 0))*(H272 + (H272 = 0))*(I272 + (I272 = 0))</f>
        <v>2.6</v>
      </c>
      <c r="K272" s="9"/>
      <c r="L272" s="9"/>
      <c r="M272" s="9"/>
    </row>
    <row r="273" spans="1:13">
      <c r="A273" s="9"/>
      <c r="B273" s="9"/>
      <c r="C273" s="10" t="s">
        <v>27</v>
      </c>
      <c r="D273" s="30"/>
      <c r="E273" s="10" t="s">
        <v>248</v>
      </c>
      <c r="F273" s="19">
        <v>1</v>
      </c>
      <c r="G273" s="23">
        <v>10</v>
      </c>
      <c r="H273" s="23">
        <v>0</v>
      </c>
      <c r="I273" s="23">
        <v>0</v>
      </c>
      <c r="J273" s="17">
        <f>OR(F273&lt;&gt;0,G273&lt;&gt;0,H273&lt;&gt;0,I273&lt;&gt;0)*(F273 + (F273 = 0))*(G273 + (G273 = 0))*(H273 + (H273 = 0))*(I273 + (I273 = 0))</f>
        <v>10</v>
      </c>
      <c r="K273" s="9"/>
      <c r="L273" s="9"/>
      <c r="M273" s="9"/>
    </row>
    <row r="274" spans="1:13">
      <c r="A274" s="9"/>
      <c r="B274" s="9"/>
      <c r="C274" s="9"/>
      <c r="D274" s="30"/>
      <c r="E274" s="9"/>
      <c r="F274" s="9"/>
      <c r="G274" s="9"/>
      <c r="H274" s="9"/>
      <c r="I274" s="9"/>
      <c r="J274" s="21" t="s">
        <v>249</v>
      </c>
      <c r="K274" s="22">
        <f>SUM(J264:J273)</f>
        <v>79.349999999999994</v>
      </c>
      <c r="L274" s="23">
        <v>0</v>
      </c>
      <c r="M274" s="24">
        <f>ROUND(K274*L274,2)</f>
        <v>0</v>
      </c>
    </row>
    <row r="275" spans="1:13" ht="0.95" customHeight="1">
      <c r="A275" s="25"/>
      <c r="B275" s="25"/>
      <c r="C275" s="25"/>
      <c r="D275" s="31"/>
      <c r="E275" s="25"/>
      <c r="F275" s="25"/>
      <c r="G275" s="25"/>
      <c r="H275" s="25"/>
      <c r="I275" s="25"/>
      <c r="J275" s="25"/>
      <c r="K275" s="25"/>
      <c r="L275" s="25"/>
      <c r="M275" s="25"/>
    </row>
    <row r="276" spans="1:13" ht="22.5">
      <c r="A276" s="15" t="s">
        <v>250</v>
      </c>
      <c r="B276" s="10" t="s">
        <v>23</v>
      </c>
      <c r="C276" s="10" t="s">
        <v>94</v>
      </c>
      <c r="D276" s="18" t="s">
        <v>251</v>
      </c>
      <c r="E276" s="9"/>
      <c r="F276" s="9"/>
      <c r="G276" s="9"/>
      <c r="H276" s="9"/>
      <c r="I276" s="9"/>
      <c r="J276" s="9"/>
      <c r="K276" s="16">
        <f>K282</f>
        <v>49.13</v>
      </c>
      <c r="L276" s="17">
        <f>L282</f>
        <v>0</v>
      </c>
      <c r="M276" s="17">
        <f>M282</f>
        <v>0</v>
      </c>
    </row>
    <row r="277" spans="1:13">
      <c r="A277" s="9"/>
      <c r="B277" s="9"/>
      <c r="C277" s="9"/>
      <c r="D277" s="18" t="s">
        <v>252</v>
      </c>
      <c r="E277" s="9"/>
      <c r="F277" s="9"/>
      <c r="G277" s="9"/>
      <c r="H277" s="9"/>
      <c r="I277" s="9"/>
      <c r="J277" s="9"/>
      <c r="K277" s="9"/>
      <c r="L277" s="9"/>
      <c r="M277" s="9"/>
    </row>
    <row r="278" spans="1:13">
      <c r="A278" s="9"/>
      <c r="B278" s="9"/>
      <c r="C278" s="10" t="s">
        <v>27</v>
      </c>
      <c r="D278" s="30"/>
      <c r="E278" s="10" t="s">
        <v>111</v>
      </c>
      <c r="F278" s="19">
        <v>1</v>
      </c>
      <c r="G278" s="23">
        <v>6.56</v>
      </c>
      <c r="H278" s="23">
        <v>0</v>
      </c>
      <c r="I278" s="23">
        <v>2.65</v>
      </c>
      <c r="J278" s="17">
        <f>OR(F278&lt;&gt;0,G278&lt;&gt;0,H278&lt;&gt;0,I278&lt;&gt;0)*(F278 + (F278 = 0))*(G278 + (G278 = 0))*(H278 + (H278 = 0))*(I278 + (I278 = 0))</f>
        <v>17.38</v>
      </c>
      <c r="K278" s="9"/>
      <c r="L278" s="9"/>
      <c r="M278" s="9"/>
    </row>
    <row r="279" spans="1:13">
      <c r="A279" s="9"/>
      <c r="B279" s="9"/>
      <c r="C279" s="10" t="s">
        <v>27</v>
      </c>
      <c r="D279" s="30"/>
      <c r="E279" s="10" t="s">
        <v>253</v>
      </c>
      <c r="F279" s="19">
        <v>2</v>
      </c>
      <c r="G279" s="23">
        <v>7</v>
      </c>
      <c r="H279" s="23">
        <v>0</v>
      </c>
      <c r="I279" s="23">
        <v>0</v>
      </c>
      <c r="J279" s="17">
        <f>OR(F279&lt;&gt;0,G279&lt;&gt;0,H279&lt;&gt;0,I279&lt;&gt;0)*(F279 + (F279 = 0))*(G279 + (G279 = 0))*(H279 + (H279 = 0))*(I279 + (I279 = 0))</f>
        <v>14</v>
      </c>
      <c r="K279" s="9"/>
      <c r="L279" s="9"/>
      <c r="M279" s="9"/>
    </row>
    <row r="280" spans="1:13">
      <c r="A280" s="9"/>
      <c r="B280" s="9"/>
      <c r="C280" s="10" t="s">
        <v>27</v>
      </c>
      <c r="D280" s="30"/>
      <c r="E280" s="10" t="s">
        <v>17</v>
      </c>
      <c r="F280" s="19">
        <v>1</v>
      </c>
      <c r="G280" s="23">
        <v>5.37</v>
      </c>
      <c r="H280" s="23">
        <v>0</v>
      </c>
      <c r="I280" s="23">
        <v>2.42</v>
      </c>
      <c r="J280" s="17">
        <f>OR(F280&lt;&gt;0,G280&lt;&gt;0,H280&lt;&gt;0,I280&lt;&gt;0)*(F280 + (F280 = 0))*(G280 + (G280 = 0))*(H280 + (H280 = 0))*(I280 + (I280 = 0))</f>
        <v>13</v>
      </c>
      <c r="K280" s="9"/>
      <c r="L280" s="9"/>
      <c r="M280" s="9"/>
    </row>
    <row r="281" spans="1:13">
      <c r="A281" s="9"/>
      <c r="B281" s="9"/>
      <c r="C281" s="10" t="s">
        <v>27</v>
      </c>
      <c r="D281" s="30"/>
      <c r="E281" s="10" t="s">
        <v>254</v>
      </c>
      <c r="F281" s="19">
        <v>1</v>
      </c>
      <c r="G281" s="23">
        <v>4.75</v>
      </c>
      <c r="H281" s="23">
        <v>0</v>
      </c>
      <c r="I281" s="23">
        <v>0</v>
      </c>
      <c r="J281" s="17">
        <f>OR(F281&lt;&gt;0,G281&lt;&gt;0,H281&lt;&gt;0,I281&lt;&gt;0)*(F281 + (F281 = 0))*(G281 + (G281 = 0))*(H281 + (H281 = 0))*(I281 + (I281 = 0))</f>
        <v>4.75</v>
      </c>
      <c r="K281" s="9"/>
      <c r="L281" s="9"/>
      <c r="M281" s="9"/>
    </row>
    <row r="282" spans="1:13">
      <c r="A282" s="9"/>
      <c r="B282" s="9"/>
      <c r="C282" s="9"/>
      <c r="D282" s="30"/>
      <c r="E282" s="9"/>
      <c r="F282" s="9"/>
      <c r="G282" s="9"/>
      <c r="H282" s="9"/>
      <c r="I282" s="9"/>
      <c r="J282" s="21" t="s">
        <v>255</v>
      </c>
      <c r="K282" s="22">
        <f>SUM(J278:J281)</f>
        <v>49.13</v>
      </c>
      <c r="L282" s="23">
        <v>0</v>
      </c>
      <c r="M282" s="24">
        <f>ROUND(K282*L282,2)</f>
        <v>0</v>
      </c>
    </row>
    <row r="283" spans="1:13" ht="0.95" customHeight="1">
      <c r="A283" s="25"/>
      <c r="B283" s="25"/>
      <c r="C283" s="25"/>
      <c r="D283" s="31"/>
      <c r="E283" s="25"/>
      <c r="F283" s="25"/>
      <c r="G283" s="25"/>
      <c r="H283" s="25"/>
      <c r="I283" s="25"/>
      <c r="J283" s="25"/>
      <c r="K283" s="25"/>
      <c r="L283" s="25"/>
      <c r="M283" s="25"/>
    </row>
    <row r="284" spans="1:13">
      <c r="A284" s="9"/>
      <c r="B284" s="9"/>
      <c r="C284" s="9"/>
      <c r="D284" s="30"/>
      <c r="E284" s="9"/>
      <c r="F284" s="9"/>
      <c r="G284" s="9"/>
      <c r="H284" s="9"/>
      <c r="I284" s="9"/>
      <c r="J284" s="21" t="s">
        <v>256</v>
      </c>
      <c r="K284" s="20">
        <v>1</v>
      </c>
      <c r="L284" s="24">
        <f>M262+M276</f>
        <v>0</v>
      </c>
      <c r="M284" s="24">
        <f>ROUND(K284*L284,2)</f>
        <v>0</v>
      </c>
    </row>
    <row r="285" spans="1:13" ht="0.95" customHeight="1">
      <c r="A285" s="25"/>
      <c r="B285" s="25"/>
      <c r="C285" s="25"/>
      <c r="D285" s="31"/>
      <c r="E285" s="25"/>
      <c r="F285" s="25"/>
      <c r="G285" s="25"/>
      <c r="H285" s="25"/>
      <c r="I285" s="25"/>
      <c r="J285" s="25"/>
      <c r="K285" s="25"/>
      <c r="L285" s="25"/>
      <c r="M285" s="25"/>
    </row>
    <row r="286" spans="1:13">
      <c r="A286" s="11" t="s">
        <v>257</v>
      </c>
      <c r="B286" s="11" t="s">
        <v>16</v>
      </c>
      <c r="C286" s="11" t="s">
        <v>17</v>
      </c>
      <c r="D286" s="29" t="s">
        <v>258</v>
      </c>
      <c r="E286" s="12"/>
      <c r="F286" s="12"/>
      <c r="G286" s="12"/>
      <c r="H286" s="12"/>
      <c r="I286" s="12"/>
      <c r="J286" s="12"/>
      <c r="K286" s="13">
        <f>K312</f>
        <v>1</v>
      </c>
      <c r="L286" s="14">
        <f>L312</f>
        <v>0</v>
      </c>
      <c r="M286" s="14">
        <f>M312</f>
        <v>0</v>
      </c>
    </row>
    <row r="287" spans="1:13">
      <c r="A287" s="15" t="s">
        <v>259</v>
      </c>
      <c r="B287" s="10" t="s">
        <v>23</v>
      </c>
      <c r="C287" s="10" t="s">
        <v>66</v>
      </c>
      <c r="D287" s="18" t="s">
        <v>260</v>
      </c>
      <c r="E287" s="9"/>
      <c r="F287" s="9"/>
      <c r="G287" s="9"/>
      <c r="H287" s="9"/>
      <c r="I287" s="9"/>
      <c r="J287" s="9"/>
      <c r="K287" s="16">
        <f>K290</f>
        <v>5.25</v>
      </c>
      <c r="L287" s="17">
        <f>L290</f>
        <v>0</v>
      </c>
      <c r="M287" s="17">
        <f>M290</f>
        <v>0</v>
      </c>
    </row>
    <row r="288" spans="1:13">
      <c r="A288" s="9"/>
      <c r="B288" s="9"/>
      <c r="C288" s="9"/>
      <c r="D288" s="18" t="s">
        <v>261</v>
      </c>
      <c r="E288" s="9"/>
      <c r="F288" s="9"/>
      <c r="G288" s="9"/>
      <c r="H288" s="9"/>
      <c r="I288" s="9"/>
      <c r="J288" s="9"/>
      <c r="K288" s="9"/>
      <c r="L288" s="9"/>
      <c r="M288" s="9"/>
    </row>
    <row r="289" spans="1:13">
      <c r="A289" s="9"/>
      <c r="B289" s="9"/>
      <c r="C289" s="10" t="s">
        <v>27</v>
      </c>
      <c r="D289" s="30"/>
      <c r="E289" s="10" t="s">
        <v>17</v>
      </c>
      <c r="F289" s="19">
        <v>1</v>
      </c>
      <c r="G289" s="23">
        <v>5.25</v>
      </c>
      <c r="H289" s="23">
        <v>0</v>
      </c>
      <c r="I289" s="23">
        <v>0</v>
      </c>
      <c r="J289" s="17">
        <f>OR(F289&lt;&gt;0,G289&lt;&gt;0,H289&lt;&gt;0,I289&lt;&gt;0)*(F289 + (F289 = 0))*(G289 + (G289 = 0))*(H289 + (H289 = 0))*(I289 + (I289 = 0))</f>
        <v>5.25</v>
      </c>
      <c r="K289" s="9"/>
      <c r="L289" s="9"/>
      <c r="M289" s="9"/>
    </row>
    <row r="290" spans="1:13">
      <c r="A290" s="9"/>
      <c r="B290" s="9"/>
      <c r="C290" s="9"/>
      <c r="D290" s="30"/>
      <c r="E290" s="9"/>
      <c r="F290" s="9"/>
      <c r="G290" s="9"/>
      <c r="H290" s="9"/>
      <c r="I290" s="9"/>
      <c r="J290" s="21" t="s">
        <v>262</v>
      </c>
      <c r="K290" s="22">
        <f>J289</f>
        <v>5.25</v>
      </c>
      <c r="L290" s="23">
        <v>0</v>
      </c>
      <c r="M290" s="24">
        <f>ROUND(K290*L290,2)</f>
        <v>0</v>
      </c>
    </row>
    <row r="291" spans="1:13" ht="0.95" customHeight="1">
      <c r="A291" s="25"/>
      <c r="B291" s="25"/>
      <c r="C291" s="25"/>
      <c r="D291" s="31"/>
      <c r="E291" s="25"/>
      <c r="F291" s="25"/>
      <c r="G291" s="25"/>
      <c r="H291" s="25"/>
      <c r="I291" s="25"/>
      <c r="J291" s="25"/>
      <c r="K291" s="25"/>
      <c r="L291" s="25"/>
      <c r="M291" s="25"/>
    </row>
    <row r="292" spans="1:13">
      <c r="A292" s="15" t="s">
        <v>263</v>
      </c>
      <c r="B292" s="10" t="s">
        <v>23</v>
      </c>
      <c r="C292" s="10" t="s">
        <v>66</v>
      </c>
      <c r="D292" s="18" t="s">
        <v>264</v>
      </c>
      <c r="E292" s="9"/>
      <c r="F292" s="9"/>
      <c r="G292" s="9"/>
      <c r="H292" s="9"/>
      <c r="I292" s="9"/>
      <c r="J292" s="9"/>
      <c r="K292" s="16">
        <f>K297</f>
        <v>8.4499999999999993</v>
      </c>
      <c r="L292" s="17">
        <f>L297</f>
        <v>0</v>
      </c>
      <c r="M292" s="17">
        <f>M297</f>
        <v>0</v>
      </c>
    </row>
    <row r="293" spans="1:13">
      <c r="A293" s="9"/>
      <c r="B293" s="9"/>
      <c r="C293" s="9"/>
      <c r="D293" s="18" t="s">
        <v>265</v>
      </c>
      <c r="E293" s="9"/>
      <c r="F293" s="9"/>
      <c r="G293" s="9"/>
      <c r="H293" s="9"/>
      <c r="I293" s="9"/>
      <c r="J293" s="9"/>
      <c r="K293" s="9"/>
      <c r="L293" s="9"/>
      <c r="M293" s="9"/>
    </row>
    <row r="294" spans="1:13">
      <c r="A294" s="9"/>
      <c r="B294" s="9"/>
      <c r="C294" s="10" t="s">
        <v>27</v>
      </c>
      <c r="D294" s="30"/>
      <c r="E294" s="10" t="s">
        <v>111</v>
      </c>
      <c r="F294" s="19">
        <v>1</v>
      </c>
      <c r="G294" s="20">
        <v>3.8</v>
      </c>
      <c r="H294" s="20">
        <v>0</v>
      </c>
      <c r="I294" s="20">
        <v>0</v>
      </c>
      <c r="J294" s="16">
        <f>OR(F294&lt;&gt;0,G294&lt;&gt;0,H294&lt;&gt;0,I294&lt;&gt;0)*(F294 + (F294 = 0))*(G294 + (G294 = 0))*(H294 + (H294 = 0))*(I294 + (I294 = 0))</f>
        <v>3.8</v>
      </c>
      <c r="K294" s="9"/>
      <c r="L294" s="9"/>
      <c r="M294" s="9"/>
    </row>
    <row r="295" spans="1:13">
      <c r="A295" s="9"/>
      <c r="B295" s="9"/>
      <c r="C295" s="10" t="s">
        <v>27</v>
      </c>
      <c r="D295" s="30"/>
      <c r="E295" s="10" t="s">
        <v>253</v>
      </c>
      <c r="F295" s="19">
        <v>1</v>
      </c>
      <c r="G295" s="20">
        <v>3.8</v>
      </c>
      <c r="H295" s="20">
        <v>0</v>
      </c>
      <c r="I295" s="20">
        <v>0</v>
      </c>
      <c r="J295" s="16">
        <f>OR(F295&lt;&gt;0,G295&lt;&gt;0,H295&lt;&gt;0,I295&lt;&gt;0)*(F295 + (F295 = 0))*(G295 + (G295 = 0))*(H295 + (H295 = 0))*(I295 + (I295 = 0))</f>
        <v>3.8</v>
      </c>
      <c r="K295" s="9"/>
      <c r="L295" s="9"/>
      <c r="M295" s="9"/>
    </row>
    <row r="296" spans="1:13">
      <c r="A296" s="9"/>
      <c r="B296" s="9"/>
      <c r="C296" s="10" t="s">
        <v>27</v>
      </c>
      <c r="D296" s="30"/>
      <c r="E296" s="10" t="s">
        <v>17</v>
      </c>
      <c r="F296" s="19">
        <v>1</v>
      </c>
      <c r="G296" s="20">
        <v>0.85</v>
      </c>
      <c r="H296" s="20">
        <v>0</v>
      </c>
      <c r="I296" s="20">
        <v>0</v>
      </c>
      <c r="J296" s="16">
        <f>OR(F296&lt;&gt;0,G296&lt;&gt;0,H296&lt;&gt;0,I296&lt;&gt;0)*(F296 + (F296 = 0))*(G296 + (G296 = 0))*(H296 + (H296 = 0))*(I296 + (I296 = 0))</f>
        <v>0.85</v>
      </c>
      <c r="K296" s="9"/>
      <c r="L296" s="9"/>
      <c r="M296" s="9"/>
    </row>
    <row r="297" spans="1:13">
      <c r="A297" s="9"/>
      <c r="B297" s="9"/>
      <c r="C297" s="9"/>
      <c r="D297" s="30"/>
      <c r="E297" s="9"/>
      <c r="F297" s="9"/>
      <c r="G297" s="9"/>
      <c r="H297" s="9"/>
      <c r="I297" s="9"/>
      <c r="J297" s="21" t="s">
        <v>266</v>
      </c>
      <c r="K297" s="22">
        <f>SUM(J294:J296)</f>
        <v>8.4499999999999993</v>
      </c>
      <c r="L297" s="23">
        <v>0</v>
      </c>
      <c r="M297" s="24">
        <f>ROUND(K297*L297,2)</f>
        <v>0</v>
      </c>
    </row>
    <row r="298" spans="1:13" ht="0.95" customHeight="1">
      <c r="A298" s="25"/>
      <c r="B298" s="25"/>
      <c r="C298" s="25"/>
      <c r="D298" s="31"/>
      <c r="E298" s="25"/>
      <c r="F298" s="25"/>
      <c r="G298" s="25"/>
      <c r="H298" s="25"/>
      <c r="I298" s="25"/>
      <c r="J298" s="25"/>
      <c r="K298" s="25"/>
      <c r="L298" s="25"/>
      <c r="M298" s="25"/>
    </row>
    <row r="299" spans="1:13" ht="22.5">
      <c r="A299" s="15" t="s">
        <v>267</v>
      </c>
      <c r="B299" s="10" t="s">
        <v>23</v>
      </c>
      <c r="C299" s="10" t="s">
        <v>66</v>
      </c>
      <c r="D299" s="18" t="s">
        <v>268</v>
      </c>
      <c r="E299" s="9"/>
      <c r="F299" s="9"/>
      <c r="G299" s="9"/>
      <c r="H299" s="9"/>
      <c r="I299" s="9"/>
      <c r="J299" s="9"/>
      <c r="K299" s="16">
        <f>K305</f>
        <v>18</v>
      </c>
      <c r="L299" s="17">
        <f>L305</f>
        <v>0</v>
      </c>
      <c r="M299" s="17">
        <f>M305</f>
        <v>0</v>
      </c>
    </row>
    <row r="300" spans="1:13">
      <c r="A300" s="9"/>
      <c r="B300" s="9"/>
      <c r="C300" s="9"/>
      <c r="D300" s="18" t="s">
        <v>269</v>
      </c>
      <c r="E300" s="9"/>
      <c r="F300" s="9"/>
      <c r="G300" s="9"/>
      <c r="H300" s="9"/>
      <c r="I300" s="9"/>
      <c r="J300" s="9"/>
      <c r="K300" s="9"/>
      <c r="L300" s="9"/>
      <c r="M300" s="9"/>
    </row>
    <row r="301" spans="1:13">
      <c r="A301" s="9"/>
      <c r="B301" s="9"/>
      <c r="C301" s="10" t="s">
        <v>27</v>
      </c>
      <c r="D301" s="30"/>
      <c r="E301" s="10" t="s">
        <v>270</v>
      </c>
      <c r="F301" s="19">
        <v>1</v>
      </c>
      <c r="G301" s="20">
        <v>4.55</v>
      </c>
      <c r="H301" s="20">
        <v>0</v>
      </c>
      <c r="I301" s="20">
        <v>0</v>
      </c>
      <c r="J301" s="16">
        <f>OR(F301&lt;&gt;0,G301&lt;&gt;0,H301&lt;&gt;0,I301&lt;&gt;0)*(F301 + (F301 = 0))*(G301 + (G301 = 0))*(H301 + (H301 = 0))*(I301 + (I301 = 0))</f>
        <v>4.55</v>
      </c>
      <c r="K301" s="9"/>
      <c r="L301" s="9"/>
      <c r="M301" s="9"/>
    </row>
    <row r="302" spans="1:13">
      <c r="A302" s="9"/>
      <c r="B302" s="9"/>
      <c r="C302" s="10" t="s">
        <v>27</v>
      </c>
      <c r="D302" s="30"/>
      <c r="E302" s="10" t="s">
        <v>17</v>
      </c>
      <c r="F302" s="19">
        <v>1</v>
      </c>
      <c r="G302" s="20">
        <v>2.8</v>
      </c>
      <c r="H302" s="20">
        <v>0</v>
      </c>
      <c r="I302" s="20">
        <v>0</v>
      </c>
      <c r="J302" s="16">
        <f>OR(F302&lt;&gt;0,G302&lt;&gt;0,H302&lt;&gt;0,I302&lt;&gt;0)*(F302 + (F302 = 0))*(G302 + (G302 = 0))*(H302 + (H302 = 0))*(I302 + (I302 = 0))</f>
        <v>2.8</v>
      </c>
      <c r="K302" s="9"/>
      <c r="L302" s="9"/>
      <c r="M302" s="9"/>
    </row>
    <row r="303" spans="1:13">
      <c r="A303" s="9"/>
      <c r="B303" s="9"/>
      <c r="C303" s="10" t="s">
        <v>27</v>
      </c>
      <c r="D303" s="30"/>
      <c r="E303" s="10" t="s">
        <v>17</v>
      </c>
      <c r="F303" s="19">
        <v>1</v>
      </c>
      <c r="G303" s="20">
        <v>5.3</v>
      </c>
      <c r="H303" s="20">
        <v>0</v>
      </c>
      <c r="I303" s="20">
        <v>0</v>
      </c>
      <c r="J303" s="16">
        <f>OR(F303&lt;&gt;0,G303&lt;&gt;0,H303&lt;&gt;0,I303&lt;&gt;0)*(F303 + (F303 = 0))*(G303 + (G303 = 0))*(H303 + (H303 = 0))*(I303 + (I303 = 0))</f>
        <v>5.3</v>
      </c>
      <c r="K303" s="9"/>
      <c r="L303" s="9"/>
      <c r="M303" s="9"/>
    </row>
    <row r="304" spans="1:13">
      <c r="A304" s="9"/>
      <c r="B304" s="9"/>
      <c r="C304" s="10" t="s">
        <v>27</v>
      </c>
      <c r="D304" s="30"/>
      <c r="E304" s="10" t="s">
        <v>17</v>
      </c>
      <c r="F304" s="19">
        <v>1</v>
      </c>
      <c r="G304" s="20">
        <v>5.35</v>
      </c>
      <c r="H304" s="20">
        <v>0</v>
      </c>
      <c r="I304" s="20">
        <v>0</v>
      </c>
      <c r="J304" s="16">
        <f>OR(F304&lt;&gt;0,G304&lt;&gt;0,H304&lt;&gt;0,I304&lt;&gt;0)*(F304 + (F304 = 0))*(G304 + (G304 = 0))*(H304 + (H304 = 0))*(I304 + (I304 = 0))</f>
        <v>5.35</v>
      </c>
      <c r="K304" s="9"/>
      <c r="L304" s="9"/>
      <c r="M304" s="9"/>
    </row>
    <row r="305" spans="1:13">
      <c r="A305" s="9"/>
      <c r="B305" s="9"/>
      <c r="C305" s="9"/>
      <c r="D305" s="30"/>
      <c r="E305" s="9"/>
      <c r="F305" s="9"/>
      <c r="G305" s="9"/>
      <c r="H305" s="9"/>
      <c r="I305" s="9"/>
      <c r="J305" s="21" t="s">
        <v>271</v>
      </c>
      <c r="K305" s="22">
        <f>SUM(J301:J304)</f>
        <v>18</v>
      </c>
      <c r="L305" s="23">
        <v>0</v>
      </c>
      <c r="M305" s="24">
        <f>ROUND(K305*L305,2)</f>
        <v>0</v>
      </c>
    </row>
    <row r="306" spans="1:13" ht="0.95" customHeight="1">
      <c r="A306" s="25"/>
      <c r="B306" s="25"/>
      <c r="C306" s="25"/>
      <c r="D306" s="31"/>
      <c r="E306" s="25"/>
      <c r="F306" s="25"/>
      <c r="G306" s="25"/>
      <c r="H306" s="25"/>
      <c r="I306" s="25"/>
      <c r="J306" s="25"/>
      <c r="K306" s="25"/>
      <c r="L306" s="25"/>
      <c r="M306" s="25"/>
    </row>
    <row r="307" spans="1:13">
      <c r="A307" s="15" t="s">
        <v>272</v>
      </c>
      <c r="B307" s="10" t="s">
        <v>23</v>
      </c>
      <c r="C307" s="10" t="s">
        <v>66</v>
      </c>
      <c r="D307" s="18" t="s">
        <v>273</v>
      </c>
      <c r="E307" s="9"/>
      <c r="F307" s="9"/>
      <c r="G307" s="9"/>
      <c r="H307" s="9"/>
      <c r="I307" s="9"/>
      <c r="J307" s="9"/>
      <c r="K307" s="16">
        <f>K310</f>
        <v>5.25</v>
      </c>
      <c r="L307" s="17">
        <f>L310</f>
        <v>0</v>
      </c>
      <c r="M307" s="17">
        <f>M310</f>
        <v>0</v>
      </c>
    </row>
    <row r="308" spans="1:13">
      <c r="A308" s="9"/>
      <c r="B308" s="9"/>
      <c r="C308" s="9"/>
      <c r="D308" s="18" t="s">
        <v>274</v>
      </c>
      <c r="E308" s="9"/>
      <c r="F308" s="9"/>
      <c r="G308" s="9"/>
      <c r="H308" s="9"/>
      <c r="I308" s="9"/>
      <c r="J308" s="9"/>
      <c r="K308" s="9"/>
      <c r="L308" s="9"/>
      <c r="M308" s="9"/>
    </row>
    <row r="309" spans="1:13">
      <c r="A309" s="9"/>
      <c r="B309" s="9"/>
      <c r="C309" s="10" t="s">
        <v>27</v>
      </c>
      <c r="D309" s="30"/>
      <c r="E309" s="10" t="s">
        <v>17</v>
      </c>
      <c r="F309" s="19">
        <v>1</v>
      </c>
      <c r="G309" s="23">
        <v>5.25</v>
      </c>
      <c r="H309" s="23">
        <v>0</v>
      </c>
      <c r="I309" s="23">
        <v>0</v>
      </c>
      <c r="J309" s="17">
        <f>OR(F309&lt;&gt;0,G309&lt;&gt;0,H309&lt;&gt;0,I309&lt;&gt;0)*(F309 + (F309 = 0))*(G309 + (G309 = 0))*(H309 + (H309 = 0))*(I309 + (I309 = 0))</f>
        <v>5.25</v>
      </c>
      <c r="K309" s="9"/>
      <c r="L309" s="9"/>
      <c r="M309" s="9"/>
    </row>
    <row r="310" spans="1:13">
      <c r="A310" s="9"/>
      <c r="B310" s="9"/>
      <c r="C310" s="9"/>
      <c r="D310" s="30"/>
      <c r="E310" s="9"/>
      <c r="F310" s="9"/>
      <c r="G310" s="9"/>
      <c r="H310" s="9"/>
      <c r="I310" s="9"/>
      <c r="J310" s="21" t="s">
        <v>275</v>
      </c>
      <c r="K310" s="22">
        <f>J309</f>
        <v>5.25</v>
      </c>
      <c r="L310" s="23">
        <v>0</v>
      </c>
      <c r="M310" s="24">
        <f>ROUND(K310*L310,2)</f>
        <v>0</v>
      </c>
    </row>
    <row r="311" spans="1:13" ht="0.95" customHeight="1">
      <c r="A311" s="25"/>
      <c r="B311" s="25"/>
      <c r="C311" s="25"/>
      <c r="D311" s="31"/>
      <c r="E311" s="25"/>
      <c r="F311" s="25"/>
      <c r="G311" s="25"/>
      <c r="H311" s="25"/>
      <c r="I311" s="25"/>
      <c r="J311" s="25"/>
      <c r="K311" s="25"/>
      <c r="L311" s="25"/>
      <c r="M311" s="25"/>
    </row>
    <row r="312" spans="1:13">
      <c r="A312" s="9"/>
      <c r="B312" s="9"/>
      <c r="C312" s="9"/>
      <c r="D312" s="30"/>
      <c r="E312" s="9"/>
      <c r="F312" s="9"/>
      <c r="G312" s="9"/>
      <c r="H312" s="9"/>
      <c r="I312" s="9"/>
      <c r="J312" s="21" t="s">
        <v>276</v>
      </c>
      <c r="K312" s="20">
        <v>1</v>
      </c>
      <c r="L312" s="24">
        <f>M287+M292+M299+M307</f>
        <v>0</v>
      </c>
      <c r="M312" s="24">
        <f>ROUND(K312*L312,2)</f>
        <v>0</v>
      </c>
    </row>
    <row r="313" spans="1:13" ht="0.95" customHeight="1">
      <c r="A313" s="25"/>
      <c r="B313" s="25"/>
      <c r="C313" s="25"/>
      <c r="D313" s="31"/>
      <c r="E313" s="25"/>
      <c r="F313" s="25"/>
      <c r="G313" s="25"/>
      <c r="H313" s="25"/>
      <c r="I313" s="25"/>
      <c r="J313" s="25"/>
      <c r="K313" s="25"/>
      <c r="L313" s="25"/>
      <c r="M313" s="25"/>
    </row>
    <row r="314" spans="1:13">
      <c r="A314" s="9"/>
      <c r="B314" s="9"/>
      <c r="C314" s="9"/>
      <c r="D314" s="30"/>
      <c r="E314" s="9"/>
      <c r="F314" s="9"/>
      <c r="G314" s="9"/>
      <c r="H314" s="9"/>
      <c r="I314" s="9"/>
      <c r="J314" s="21" t="s">
        <v>277</v>
      </c>
      <c r="K314" s="26">
        <v>1</v>
      </c>
      <c r="L314" s="24">
        <f>M235+M261+M286</f>
        <v>0</v>
      </c>
      <c r="M314" s="24">
        <f>ROUND(K314*L314,2)</f>
        <v>0</v>
      </c>
    </row>
    <row r="315" spans="1:13" ht="0.95" customHeight="1">
      <c r="A315" s="25"/>
      <c r="B315" s="25"/>
      <c r="C315" s="25"/>
      <c r="D315" s="31"/>
      <c r="E315" s="25"/>
      <c r="F315" s="25"/>
      <c r="G315" s="25"/>
      <c r="H315" s="25"/>
      <c r="I315" s="25"/>
      <c r="J315" s="25"/>
      <c r="K315" s="25"/>
      <c r="L315" s="25"/>
      <c r="M315" s="25"/>
    </row>
    <row r="316" spans="1:13" ht="22.5">
      <c r="A316" s="5" t="s">
        <v>278</v>
      </c>
      <c r="B316" s="5" t="s">
        <v>16</v>
      </c>
      <c r="C316" s="5" t="s">
        <v>17</v>
      </c>
      <c r="D316" s="28" t="s">
        <v>279</v>
      </c>
      <c r="E316" s="6"/>
      <c r="F316" s="6"/>
      <c r="G316" s="6"/>
      <c r="H316" s="6"/>
      <c r="I316" s="6"/>
      <c r="J316" s="6"/>
      <c r="K316" s="7">
        <f>K681</f>
        <v>1</v>
      </c>
      <c r="L316" s="8">
        <f>L681</f>
        <v>0</v>
      </c>
      <c r="M316" s="8">
        <f>M681</f>
        <v>0</v>
      </c>
    </row>
    <row r="317" spans="1:13">
      <c r="A317" s="11" t="s">
        <v>280</v>
      </c>
      <c r="B317" s="11" t="s">
        <v>16</v>
      </c>
      <c r="C317" s="11" t="s">
        <v>17</v>
      </c>
      <c r="D317" s="29" t="s">
        <v>281</v>
      </c>
      <c r="E317" s="12"/>
      <c r="F317" s="12"/>
      <c r="G317" s="12"/>
      <c r="H317" s="12"/>
      <c r="I317" s="12"/>
      <c r="J317" s="12"/>
      <c r="K317" s="13">
        <f>K481</f>
        <v>1</v>
      </c>
      <c r="L317" s="14">
        <f>L481</f>
        <v>0</v>
      </c>
      <c r="M317" s="14">
        <f>M481</f>
        <v>0</v>
      </c>
    </row>
    <row r="318" spans="1:13" ht="22.5">
      <c r="A318" s="15" t="s">
        <v>282</v>
      </c>
      <c r="B318" s="10" t="s">
        <v>23</v>
      </c>
      <c r="C318" s="10" t="s">
        <v>4</v>
      </c>
      <c r="D318" s="18" t="s">
        <v>283</v>
      </c>
      <c r="E318" s="9"/>
      <c r="F318" s="9"/>
      <c r="G318" s="9"/>
      <c r="H318" s="9"/>
      <c r="I318" s="9"/>
      <c r="J318" s="9"/>
      <c r="K318" s="16">
        <f>K322</f>
        <v>2</v>
      </c>
      <c r="L318" s="17">
        <f>L322</f>
        <v>0</v>
      </c>
      <c r="M318" s="17">
        <f>M322</f>
        <v>0</v>
      </c>
    </row>
    <row r="319" spans="1:13">
      <c r="A319" s="9"/>
      <c r="B319" s="9"/>
      <c r="C319" s="9"/>
      <c r="D319" s="18" t="s">
        <v>284</v>
      </c>
      <c r="E319" s="9"/>
      <c r="F319" s="9"/>
      <c r="G319" s="9"/>
      <c r="H319" s="9"/>
      <c r="I319" s="9"/>
      <c r="J319" s="9"/>
      <c r="K319" s="9"/>
      <c r="L319" s="9"/>
      <c r="M319" s="9"/>
    </row>
    <row r="320" spans="1:13">
      <c r="A320" s="9"/>
      <c r="B320" s="9"/>
      <c r="C320" s="10" t="s">
        <v>27</v>
      </c>
      <c r="D320" s="30"/>
      <c r="E320" s="10" t="s">
        <v>285</v>
      </c>
      <c r="F320" s="19">
        <v>1</v>
      </c>
      <c r="G320" s="20">
        <v>0</v>
      </c>
      <c r="H320" s="20">
        <v>0</v>
      </c>
      <c r="I320" s="20">
        <v>0</v>
      </c>
      <c r="J320" s="16">
        <f>OR(F320&lt;&gt;0,G320&lt;&gt;0,H320&lt;&gt;0,I320&lt;&gt;0)*(F320 + (F320 = 0))*(G320 + (G320 = 0))*(H320 + (H320 = 0))*(I320 + (I320 = 0))</f>
        <v>1</v>
      </c>
      <c r="K320" s="9"/>
      <c r="L320" s="9"/>
      <c r="M320" s="9"/>
    </row>
    <row r="321" spans="1:13">
      <c r="A321" s="9"/>
      <c r="B321" s="9"/>
      <c r="C321" s="10" t="s">
        <v>27</v>
      </c>
      <c r="D321" s="30"/>
      <c r="E321" s="10" t="s">
        <v>286</v>
      </c>
      <c r="F321" s="19">
        <v>1</v>
      </c>
      <c r="G321" s="20">
        <v>0</v>
      </c>
      <c r="H321" s="20">
        <v>0</v>
      </c>
      <c r="I321" s="20">
        <v>0</v>
      </c>
      <c r="J321" s="16">
        <f>OR(F321&lt;&gt;0,G321&lt;&gt;0,H321&lt;&gt;0,I321&lt;&gt;0)*(F321 + (F321 = 0))*(G321 + (G321 = 0))*(H321 + (H321 = 0))*(I321 + (I321 = 0))</f>
        <v>1</v>
      </c>
      <c r="K321" s="9"/>
      <c r="L321" s="9"/>
      <c r="M321" s="9"/>
    </row>
    <row r="322" spans="1:13">
      <c r="A322" s="9"/>
      <c r="B322" s="9"/>
      <c r="C322" s="9"/>
      <c r="D322" s="30"/>
      <c r="E322" s="9"/>
      <c r="F322" s="9"/>
      <c r="G322" s="9"/>
      <c r="H322" s="9"/>
      <c r="I322" s="9"/>
      <c r="J322" s="21" t="s">
        <v>287</v>
      </c>
      <c r="K322" s="22">
        <f>SUM(J320:J321)</f>
        <v>2</v>
      </c>
      <c r="L322" s="23">
        <v>0</v>
      </c>
      <c r="M322" s="24">
        <f>ROUND(K322*L322,2)</f>
        <v>0</v>
      </c>
    </row>
    <row r="323" spans="1:13" ht="0.95" customHeight="1">
      <c r="A323" s="25"/>
      <c r="B323" s="25"/>
      <c r="C323" s="25"/>
      <c r="D323" s="31"/>
      <c r="E323" s="25"/>
      <c r="F323" s="25"/>
      <c r="G323" s="25"/>
      <c r="H323" s="25"/>
      <c r="I323" s="25"/>
      <c r="J323" s="25"/>
      <c r="K323" s="25"/>
      <c r="L323" s="25"/>
      <c r="M323" s="25"/>
    </row>
    <row r="324" spans="1:13" ht="22.5">
      <c r="A324" s="15" t="s">
        <v>288</v>
      </c>
      <c r="B324" s="10" t="s">
        <v>23</v>
      </c>
      <c r="C324" s="10" t="s">
        <v>4</v>
      </c>
      <c r="D324" s="18" t="s">
        <v>289</v>
      </c>
      <c r="E324" s="9"/>
      <c r="F324" s="9"/>
      <c r="G324" s="9"/>
      <c r="H324" s="9"/>
      <c r="I324" s="9"/>
      <c r="J324" s="9"/>
      <c r="K324" s="16">
        <f>K328</f>
        <v>2</v>
      </c>
      <c r="L324" s="17">
        <f>L328</f>
        <v>0</v>
      </c>
      <c r="M324" s="17">
        <f>M328</f>
        <v>0</v>
      </c>
    </row>
    <row r="325" spans="1:13">
      <c r="A325" s="9"/>
      <c r="B325" s="9"/>
      <c r="C325" s="9"/>
      <c r="D325" s="18" t="s">
        <v>290</v>
      </c>
      <c r="E325" s="9"/>
      <c r="F325" s="9"/>
      <c r="G325" s="9"/>
      <c r="H325" s="9"/>
      <c r="I325" s="9"/>
      <c r="J325" s="9"/>
      <c r="K325" s="9"/>
      <c r="L325" s="9"/>
      <c r="M325" s="9"/>
    </row>
    <row r="326" spans="1:13">
      <c r="A326" s="9"/>
      <c r="B326" s="9"/>
      <c r="C326" s="10" t="s">
        <v>27</v>
      </c>
      <c r="D326" s="30"/>
      <c r="E326" s="10" t="s">
        <v>285</v>
      </c>
      <c r="F326" s="19">
        <v>1</v>
      </c>
      <c r="G326" s="20">
        <v>0</v>
      </c>
      <c r="H326" s="20">
        <v>0</v>
      </c>
      <c r="I326" s="20">
        <v>0</v>
      </c>
      <c r="J326" s="16">
        <f>OR(F326&lt;&gt;0,G326&lt;&gt;0,H326&lt;&gt;0,I326&lt;&gt;0)*(F326 + (F326 = 0))*(G326 + (G326 = 0))*(H326 + (H326 = 0))*(I326 + (I326 = 0))</f>
        <v>1</v>
      </c>
      <c r="K326" s="9"/>
      <c r="L326" s="9"/>
      <c r="M326" s="9"/>
    </row>
    <row r="327" spans="1:13">
      <c r="A327" s="9"/>
      <c r="B327" s="9"/>
      <c r="C327" s="10" t="s">
        <v>27</v>
      </c>
      <c r="D327" s="30"/>
      <c r="E327" s="10" t="s">
        <v>286</v>
      </c>
      <c r="F327" s="19">
        <v>1</v>
      </c>
      <c r="G327" s="20">
        <v>0</v>
      </c>
      <c r="H327" s="20">
        <v>0</v>
      </c>
      <c r="I327" s="20">
        <v>0</v>
      </c>
      <c r="J327" s="16">
        <f>OR(F327&lt;&gt;0,G327&lt;&gt;0,H327&lt;&gt;0,I327&lt;&gt;0)*(F327 + (F327 = 0))*(G327 + (G327 = 0))*(H327 + (H327 = 0))*(I327 + (I327 = 0))</f>
        <v>1</v>
      </c>
      <c r="K327" s="9"/>
      <c r="L327" s="9"/>
      <c r="M327" s="9"/>
    </row>
    <row r="328" spans="1:13">
      <c r="A328" s="9"/>
      <c r="B328" s="9"/>
      <c r="C328" s="9"/>
      <c r="D328" s="30"/>
      <c r="E328" s="9"/>
      <c r="F328" s="9"/>
      <c r="G328" s="9"/>
      <c r="H328" s="9"/>
      <c r="I328" s="9"/>
      <c r="J328" s="21" t="s">
        <v>291</v>
      </c>
      <c r="K328" s="22">
        <f>SUM(J326:J327)</f>
        <v>2</v>
      </c>
      <c r="L328" s="23">
        <v>0</v>
      </c>
      <c r="M328" s="24">
        <f>ROUND(K328*L328,2)</f>
        <v>0</v>
      </c>
    </row>
    <row r="329" spans="1:13" ht="0.95" customHeight="1">
      <c r="A329" s="25"/>
      <c r="B329" s="25"/>
      <c r="C329" s="25"/>
      <c r="D329" s="31"/>
      <c r="E329" s="25"/>
      <c r="F329" s="25"/>
      <c r="G329" s="25"/>
      <c r="H329" s="25"/>
      <c r="I329" s="25"/>
      <c r="J329" s="25"/>
      <c r="K329" s="25"/>
      <c r="L329" s="25"/>
      <c r="M329" s="25"/>
    </row>
    <row r="330" spans="1:13" ht="22.5">
      <c r="A330" s="10" t="s">
        <v>292</v>
      </c>
      <c r="B330" s="10" t="s">
        <v>23</v>
      </c>
      <c r="C330" s="10" t="s">
        <v>4</v>
      </c>
      <c r="D330" s="18" t="s">
        <v>293</v>
      </c>
      <c r="E330" s="9"/>
      <c r="F330" s="9"/>
      <c r="G330" s="9"/>
      <c r="H330" s="9"/>
      <c r="I330" s="9"/>
      <c r="J330" s="9"/>
      <c r="K330" s="16">
        <f>K333</f>
        <v>1</v>
      </c>
      <c r="L330" s="17">
        <f>L333</f>
        <v>0</v>
      </c>
      <c r="M330" s="17">
        <f>M333</f>
        <v>0</v>
      </c>
    </row>
    <row r="331" spans="1:13">
      <c r="A331" s="9"/>
      <c r="B331" s="9"/>
      <c r="C331" s="9"/>
      <c r="D331" s="18" t="s">
        <v>294</v>
      </c>
      <c r="E331" s="9"/>
      <c r="F331" s="9"/>
      <c r="G331" s="9"/>
      <c r="H331" s="9"/>
      <c r="I331" s="9"/>
      <c r="J331" s="9"/>
      <c r="K331" s="9"/>
      <c r="L331" s="9"/>
      <c r="M331" s="9"/>
    </row>
    <row r="332" spans="1:13">
      <c r="A332" s="9"/>
      <c r="B332" s="9"/>
      <c r="C332" s="10" t="s">
        <v>27</v>
      </c>
      <c r="D332" s="30"/>
      <c r="E332" s="10" t="s">
        <v>295</v>
      </c>
      <c r="F332" s="19">
        <v>1</v>
      </c>
      <c r="G332" s="23">
        <v>0</v>
      </c>
      <c r="H332" s="23">
        <v>0</v>
      </c>
      <c r="I332" s="23">
        <v>0</v>
      </c>
      <c r="J332" s="17">
        <f>OR(F332&lt;&gt;0,G332&lt;&gt;0,H332&lt;&gt;0,I332&lt;&gt;0)*(F332 + (F332 = 0))*(G332 + (G332 = 0))*(H332 + (H332 = 0))*(I332 + (I332 = 0))</f>
        <v>1</v>
      </c>
      <c r="K332" s="9"/>
      <c r="L332" s="9"/>
      <c r="M332" s="9"/>
    </row>
    <row r="333" spans="1:13">
      <c r="A333" s="9"/>
      <c r="B333" s="9"/>
      <c r="C333" s="9"/>
      <c r="D333" s="30"/>
      <c r="E333" s="9"/>
      <c r="F333" s="9"/>
      <c r="G333" s="9"/>
      <c r="H333" s="9"/>
      <c r="I333" s="9"/>
      <c r="J333" s="21" t="s">
        <v>296</v>
      </c>
      <c r="K333" s="22">
        <f>J332</f>
        <v>1</v>
      </c>
      <c r="L333" s="23">
        <v>0</v>
      </c>
      <c r="M333" s="24">
        <f>ROUND(K333*L333,2)</f>
        <v>0</v>
      </c>
    </row>
    <row r="334" spans="1:13" ht="0.95" customHeight="1">
      <c r="A334" s="25"/>
      <c r="B334" s="25"/>
      <c r="C334" s="25"/>
      <c r="D334" s="31"/>
      <c r="E334" s="25"/>
      <c r="F334" s="25"/>
      <c r="G334" s="25"/>
      <c r="H334" s="25"/>
      <c r="I334" s="25"/>
      <c r="J334" s="25"/>
      <c r="K334" s="25"/>
      <c r="L334" s="25"/>
      <c r="M334" s="25"/>
    </row>
    <row r="335" spans="1:13" ht="22.5">
      <c r="A335" s="15" t="s">
        <v>297</v>
      </c>
      <c r="B335" s="10" t="s">
        <v>23</v>
      </c>
      <c r="C335" s="10" t="s">
        <v>4</v>
      </c>
      <c r="D335" s="18" t="s">
        <v>298</v>
      </c>
      <c r="E335" s="9"/>
      <c r="F335" s="9"/>
      <c r="G335" s="9"/>
      <c r="H335" s="9"/>
      <c r="I335" s="9"/>
      <c r="J335" s="9"/>
      <c r="K335" s="16">
        <f>K338</f>
        <v>1</v>
      </c>
      <c r="L335" s="17">
        <f>L338</f>
        <v>0</v>
      </c>
      <c r="M335" s="17">
        <f>M338</f>
        <v>0</v>
      </c>
    </row>
    <row r="336" spans="1:13">
      <c r="A336" s="9"/>
      <c r="B336" s="9"/>
      <c r="C336" s="9"/>
      <c r="D336" s="18" t="s">
        <v>299</v>
      </c>
      <c r="E336" s="9"/>
      <c r="F336" s="9"/>
      <c r="G336" s="9"/>
      <c r="H336" s="9"/>
      <c r="I336" s="9"/>
      <c r="J336" s="9"/>
      <c r="K336" s="9"/>
      <c r="L336" s="9"/>
      <c r="M336" s="9"/>
    </row>
    <row r="337" spans="1:13">
      <c r="A337" s="9"/>
      <c r="B337" s="9"/>
      <c r="C337" s="10" t="s">
        <v>27</v>
      </c>
      <c r="D337" s="30"/>
      <c r="E337" s="10" t="s">
        <v>300</v>
      </c>
      <c r="F337" s="19">
        <v>1</v>
      </c>
      <c r="G337" s="23">
        <v>0</v>
      </c>
      <c r="H337" s="23">
        <v>0</v>
      </c>
      <c r="I337" s="23">
        <v>0</v>
      </c>
      <c r="J337" s="17">
        <f>OR(F337&lt;&gt;0,G337&lt;&gt;0,H337&lt;&gt;0,I337&lt;&gt;0)*(F337 + (F337 = 0))*(G337 + (G337 = 0))*(H337 + (H337 = 0))*(I337 + (I337 = 0))</f>
        <v>1</v>
      </c>
      <c r="K337" s="9"/>
      <c r="L337" s="9"/>
      <c r="M337" s="9"/>
    </row>
    <row r="338" spans="1:13">
      <c r="A338" s="9"/>
      <c r="B338" s="9"/>
      <c r="C338" s="9"/>
      <c r="D338" s="30"/>
      <c r="E338" s="9"/>
      <c r="F338" s="9"/>
      <c r="G338" s="9"/>
      <c r="H338" s="9"/>
      <c r="I338" s="9"/>
      <c r="J338" s="21" t="s">
        <v>301</v>
      </c>
      <c r="K338" s="22">
        <f>J337</f>
        <v>1</v>
      </c>
      <c r="L338" s="23">
        <v>0</v>
      </c>
      <c r="M338" s="24">
        <f>ROUND(K338*L338,2)</f>
        <v>0</v>
      </c>
    </row>
    <row r="339" spans="1:13" ht="0.95" customHeight="1">
      <c r="A339" s="25"/>
      <c r="B339" s="25"/>
      <c r="C339" s="25"/>
      <c r="D339" s="31"/>
      <c r="E339" s="25"/>
      <c r="F339" s="25"/>
      <c r="G339" s="25"/>
      <c r="H339" s="25"/>
      <c r="I339" s="25"/>
      <c r="J339" s="25"/>
      <c r="K339" s="25"/>
      <c r="L339" s="25"/>
      <c r="M339" s="25"/>
    </row>
    <row r="340" spans="1:13" ht="22.5">
      <c r="A340" s="15" t="s">
        <v>302</v>
      </c>
      <c r="B340" s="10" t="s">
        <v>23</v>
      </c>
      <c r="C340" s="10" t="s">
        <v>4</v>
      </c>
      <c r="D340" s="18" t="s">
        <v>303</v>
      </c>
      <c r="E340" s="9"/>
      <c r="F340" s="9"/>
      <c r="G340" s="9"/>
      <c r="H340" s="9"/>
      <c r="I340" s="9"/>
      <c r="J340" s="9"/>
      <c r="K340" s="16">
        <f>K343</f>
        <v>1</v>
      </c>
      <c r="L340" s="17">
        <f>L343</f>
        <v>0</v>
      </c>
      <c r="M340" s="17">
        <f>M343</f>
        <v>0</v>
      </c>
    </row>
    <row r="341" spans="1:13">
      <c r="A341" s="9"/>
      <c r="B341" s="9"/>
      <c r="C341" s="9"/>
      <c r="D341" s="18" t="s">
        <v>304</v>
      </c>
      <c r="E341" s="9"/>
      <c r="F341" s="9"/>
      <c r="G341" s="9"/>
      <c r="H341" s="9"/>
      <c r="I341" s="9"/>
      <c r="J341" s="9"/>
      <c r="K341" s="9"/>
      <c r="L341" s="9"/>
      <c r="M341" s="9"/>
    </row>
    <row r="342" spans="1:13">
      <c r="A342" s="9"/>
      <c r="B342" s="9"/>
      <c r="C342" s="10" t="s">
        <v>27</v>
      </c>
      <c r="D342" s="30"/>
      <c r="E342" s="10" t="s">
        <v>305</v>
      </c>
      <c r="F342" s="19">
        <v>1</v>
      </c>
      <c r="G342" s="23">
        <v>0</v>
      </c>
      <c r="H342" s="23">
        <v>0</v>
      </c>
      <c r="I342" s="23">
        <v>0</v>
      </c>
      <c r="J342" s="17">
        <f>OR(F342&lt;&gt;0,G342&lt;&gt;0,H342&lt;&gt;0,I342&lt;&gt;0)*(F342 + (F342 = 0))*(G342 + (G342 = 0))*(H342 + (H342 = 0))*(I342 + (I342 = 0))</f>
        <v>1</v>
      </c>
      <c r="K342" s="9"/>
      <c r="L342" s="9"/>
      <c r="M342" s="9"/>
    </row>
    <row r="343" spans="1:13">
      <c r="A343" s="9"/>
      <c r="B343" s="9"/>
      <c r="C343" s="9"/>
      <c r="D343" s="30"/>
      <c r="E343" s="9"/>
      <c r="F343" s="9"/>
      <c r="G343" s="9"/>
      <c r="H343" s="9"/>
      <c r="I343" s="9"/>
      <c r="J343" s="21" t="s">
        <v>306</v>
      </c>
      <c r="K343" s="22">
        <f>J342</f>
        <v>1</v>
      </c>
      <c r="L343" s="23">
        <v>0</v>
      </c>
      <c r="M343" s="24">
        <f>ROUND(K343*L343,2)</f>
        <v>0</v>
      </c>
    </row>
    <row r="344" spans="1:13" ht="0.95" customHeight="1">
      <c r="A344" s="25"/>
      <c r="B344" s="25"/>
      <c r="C344" s="25"/>
      <c r="D344" s="31"/>
      <c r="E344" s="25"/>
      <c r="F344" s="25"/>
      <c r="G344" s="25"/>
      <c r="H344" s="25"/>
      <c r="I344" s="25"/>
      <c r="J344" s="25"/>
      <c r="K344" s="25"/>
      <c r="L344" s="25"/>
      <c r="M344" s="25"/>
    </row>
    <row r="345" spans="1:13" ht="22.5">
      <c r="A345" s="15" t="s">
        <v>307</v>
      </c>
      <c r="B345" s="10" t="s">
        <v>23</v>
      </c>
      <c r="C345" s="10" t="s">
        <v>4</v>
      </c>
      <c r="D345" s="18" t="s">
        <v>308</v>
      </c>
      <c r="E345" s="9"/>
      <c r="F345" s="9"/>
      <c r="G345" s="9"/>
      <c r="H345" s="9"/>
      <c r="I345" s="9"/>
      <c r="J345" s="9"/>
      <c r="K345" s="16">
        <f>K348</f>
        <v>1</v>
      </c>
      <c r="L345" s="17">
        <f>L348</f>
        <v>0</v>
      </c>
      <c r="M345" s="17">
        <f>M348</f>
        <v>0</v>
      </c>
    </row>
    <row r="346" spans="1:13">
      <c r="A346" s="9"/>
      <c r="B346" s="9"/>
      <c r="C346" s="9"/>
      <c r="D346" s="18" t="s">
        <v>309</v>
      </c>
      <c r="E346" s="9"/>
      <c r="F346" s="9"/>
      <c r="G346" s="9"/>
      <c r="H346" s="9"/>
      <c r="I346" s="9"/>
      <c r="J346" s="9"/>
      <c r="K346" s="9"/>
      <c r="L346" s="9"/>
      <c r="M346" s="9"/>
    </row>
    <row r="347" spans="1:13">
      <c r="A347" s="9"/>
      <c r="B347" s="9"/>
      <c r="C347" s="10" t="s">
        <v>27</v>
      </c>
      <c r="D347" s="30"/>
      <c r="E347" s="10" t="s">
        <v>310</v>
      </c>
      <c r="F347" s="19">
        <v>1</v>
      </c>
      <c r="G347" s="23">
        <v>0</v>
      </c>
      <c r="H347" s="23">
        <v>0</v>
      </c>
      <c r="I347" s="23">
        <v>0</v>
      </c>
      <c r="J347" s="17">
        <f>OR(F347&lt;&gt;0,G347&lt;&gt;0,H347&lt;&gt;0,I347&lt;&gt;0)*(F347 + (F347 = 0))*(G347 + (G347 = 0))*(H347 + (H347 = 0))*(I347 + (I347 = 0))</f>
        <v>1</v>
      </c>
      <c r="K347" s="9"/>
      <c r="L347" s="9"/>
      <c r="M347" s="9"/>
    </row>
    <row r="348" spans="1:13">
      <c r="A348" s="9"/>
      <c r="B348" s="9"/>
      <c r="C348" s="9"/>
      <c r="D348" s="30"/>
      <c r="E348" s="9"/>
      <c r="F348" s="9"/>
      <c r="G348" s="9"/>
      <c r="H348" s="9"/>
      <c r="I348" s="9"/>
      <c r="J348" s="21" t="s">
        <v>311</v>
      </c>
      <c r="K348" s="22">
        <f>J347</f>
        <v>1</v>
      </c>
      <c r="L348" s="23">
        <v>0</v>
      </c>
      <c r="M348" s="24">
        <f>ROUND(K348*L348,2)</f>
        <v>0</v>
      </c>
    </row>
    <row r="349" spans="1:13" ht="0.95" customHeight="1">
      <c r="A349" s="25"/>
      <c r="B349" s="25"/>
      <c r="C349" s="25"/>
      <c r="D349" s="31"/>
      <c r="E349" s="25"/>
      <c r="F349" s="25"/>
      <c r="G349" s="25"/>
      <c r="H349" s="25"/>
      <c r="I349" s="25"/>
      <c r="J349" s="25"/>
      <c r="K349" s="25"/>
      <c r="L349" s="25"/>
      <c r="M349" s="25"/>
    </row>
    <row r="350" spans="1:13" ht="22.5">
      <c r="A350" s="15" t="s">
        <v>312</v>
      </c>
      <c r="B350" s="10" t="s">
        <v>23</v>
      </c>
      <c r="C350" s="10" t="s">
        <v>4</v>
      </c>
      <c r="D350" s="18" t="s">
        <v>313</v>
      </c>
      <c r="E350" s="9"/>
      <c r="F350" s="9"/>
      <c r="G350" s="9"/>
      <c r="H350" s="9"/>
      <c r="I350" s="9"/>
      <c r="J350" s="9"/>
      <c r="K350" s="16">
        <f>K353</f>
        <v>1</v>
      </c>
      <c r="L350" s="17">
        <f>L353</f>
        <v>0</v>
      </c>
      <c r="M350" s="17">
        <f>M353</f>
        <v>0</v>
      </c>
    </row>
    <row r="351" spans="1:13">
      <c r="A351" s="9"/>
      <c r="B351" s="9"/>
      <c r="C351" s="9"/>
      <c r="D351" s="18" t="s">
        <v>314</v>
      </c>
      <c r="E351" s="9"/>
      <c r="F351" s="9"/>
      <c r="G351" s="9"/>
      <c r="H351" s="9"/>
      <c r="I351" s="9"/>
      <c r="J351" s="9"/>
      <c r="K351" s="9"/>
      <c r="L351" s="9"/>
      <c r="M351" s="9"/>
    </row>
    <row r="352" spans="1:13">
      <c r="A352" s="9"/>
      <c r="B352" s="9"/>
      <c r="C352" s="10" t="s">
        <v>27</v>
      </c>
      <c r="D352" s="30"/>
      <c r="E352" s="10" t="s">
        <v>315</v>
      </c>
      <c r="F352" s="19">
        <v>1</v>
      </c>
      <c r="G352" s="23">
        <v>0</v>
      </c>
      <c r="H352" s="23">
        <v>0</v>
      </c>
      <c r="I352" s="23">
        <v>0</v>
      </c>
      <c r="J352" s="17">
        <f>OR(F352&lt;&gt;0,G352&lt;&gt;0,H352&lt;&gt;0,I352&lt;&gt;0)*(F352 + (F352 = 0))*(G352 + (G352 = 0))*(H352 + (H352 = 0))*(I352 + (I352 = 0))</f>
        <v>1</v>
      </c>
      <c r="K352" s="9"/>
      <c r="L352" s="9"/>
      <c r="M352" s="9"/>
    </row>
    <row r="353" spans="1:13">
      <c r="A353" s="9"/>
      <c r="B353" s="9"/>
      <c r="C353" s="9"/>
      <c r="D353" s="30"/>
      <c r="E353" s="9"/>
      <c r="F353" s="9"/>
      <c r="G353" s="9"/>
      <c r="H353" s="9"/>
      <c r="I353" s="9"/>
      <c r="J353" s="21" t="s">
        <v>316</v>
      </c>
      <c r="K353" s="22">
        <f>J352</f>
        <v>1</v>
      </c>
      <c r="L353" s="23">
        <v>0</v>
      </c>
      <c r="M353" s="24">
        <f>ROUND(K353*L353,2)</f>
        <v>0</v>
      </c>
    </row>
    <row r="354" spans="1:13" ht="0.95" customHeight="1">
      <c r="A354" s="25"/>
      <c r="B354" s="25"/>
      <c r="C354" s="25"/>
      <c r="D354" s="31"/>
      <c r="E354" s="25"/>
      <c r="F354" s="25"/>
      <c r="G354" s="25"/>
      <c r="H354" s="25"/>
      <c r="I354" s="25"/>
      <c r="J354" s="25"/>
      <c r="K354" s="25"/>
      <c r="L354" s="25"/>
      <c r="M354" s="25"/>
    </row>
    <row r="355" spans="1:13" ht="22.5">
      <c r="A355" s="15" t="s">
        <v>317</v>
      </c>
      <c r="B355" s="10" t="s">
        <v>23</v>
      </c>
      <c r="C355" s="10" t="s">
        <v>4</v>
      </c>
      <c r="D355" s="18" t="s">
        <v>318</v>
      </c>
      <c r="E355" s="9"/>
      <c r="F355" s="9"/>
      <c r="G355" s="9"/>
      <c r="H355" s="9"/>
      <c r="I355" s="9"/>
      <c r="J355" s="9"/>
      <c r="K355" s="16">
        <f>K358</f>
        <v>1</v>
      </c>
      <c r="L355" s="17">
        <f>L358</f>
        <v>0</v>
      </c>
      <c r="M355" s="17">
        <f>M358</f>
        <v>0</v>
      </c>
    </row>
    <row r="356" spans="1:13">
      <c r="A356" s="9"/>
      <c r="B356" s="9"/>
      <c r="C356" s="9"/>
      <c r="D356" s="18" t="s">
        <v>319</v>
      </c>
      <c r="E356" s="9"/>
      <c r="F356" s="9"/>
      <c r="G356" s="9"/>
      <c r="H356" s="9"/>
      <c r="I356" s="9"/>
      <c r="J356" s="9"/>
      <c r="K356" s="9"/>
      <c r="L356" s="9"/>
      <c r="M356" s="9"/>
    </row>
    <row r="357" spans="1:13">
      <c r="A357" s="9"/>
      <c r="B357" s="9"/>
      <c r="C357" s="10" t="s">
        <v>27</v>
      </c>
      <c r="D357" s="30"/>
      <c r="E357" s="10" t="s">
        <v>320</v>
      </c>
      <c r="F357" s="19">
        <v>1</v>
      </c>
      <c r="G357" s="20">
        <v>0</v>
      </c>
      <c r="H357" s="20">
        <v>0</v>
      </c>
      <c r="I357" s="20">
        <v>0</v>
      </c>
      <c r="J357" s="16">
        <f>OR(F357&lt;&gt;0,G357&lt;&gt;0,H357&lt;&gt;0,I357&lt;&gt;0)*(F357 + (F357 = 0))*(G357 + (G357 = 0))*(H357 + (H357 = 0))*(I357 + (I357 = 0))</f>
        <v>1</v>
      </c>
      <c r="K357" s="9"/>
      <c r="L357" s="9"/>
      <c r="M357" s="9"/>
    </row>
    <row r="358" spans="1:13">
      <c r="A358" s="9"/>
      <c r="B358" s="9"/>
      <c r="C358" s="9"/>
      <c r="D358" s="30"/>
      <c r="E358" s="9"/>
      <c r="F358" s="9"/>
      <c r="G358" s="9"/>
      <c r="H358" s="9"/>
      <c r="I358" s="9"/>
      <c r="J358" s="21" t="s">
        <v>321</v>
      </c>
      <c r="K358" s="22">
        <f>J357</f>
        <v>1</v>
      </c>
      <c r="L358" s="23">
        <v>0</v>
      </c>
      <c r="M358" s="24">
        <f>ROUND(K358*L358,2)</f>
        <v>0</v>
      </c>
    </row>
    <row r="359" spans="1:13" ht="0.95" customHeight="1">
      <c r="A359" s="25"/>
      <c r="B359" s="25"/>
      <c r="C359" s="25"/>
      <c r="D359" s="31"/>
      <c r="E359" s="25"/>
      <c r="F359" s="25"/>
      <c r="G359" s="25"/>
      <c r="H359" s="25"/>
      <c r="I359" s="25"/>
      <c r="J359" s="25"/>
      <c r="K359" s="25"/>
      <c r="L359" s="25"/>
      <c r="M359" s="25"/>
    </row>
    <row r="360" spans="1:13" ht="22.5">
      <c r="A360" s="15" t="s">
        <v>322</v>
      </c>
      <c r="B360" s="10" t="s">
        <v>23</v>
      </c>
      <c r="C360" s="10" t="s">
        <v>4</v>
      </c>
      <c r="D360" s="18" t="s">
        <v>323</v>
      </c>
      <c r="E360" s="9"/>
      <c r="F360" s="9"/>
      <c r="G360" s="9"/>
      <c r="H360" s="9"/>
      <c r="I360" s="9"/>
      <c r="J360" s="9"/>
      <c r="K360" s="16">
        <f>K363</f>
        <v>1</v>
      </c>
      <c r="L360" s="17">
        <f>L363</f>
        <v>0</v>
      </c>
      <c r="M360" s="17">
        <f>M363</f>
        <v>0</v>
      </c>
    </row>
    <row r="361" spans="1:13">
      <c r="A361" s="9"/>
      <c r="B361" s="9"/>
      <c r="C361" s="9"/>
      <c r="D361" s="18" t="s">
        <v>324</v>
      </c>
      <c r="E361" s="9"/>
      <c r="F361" s="9"/>
      <c r="G361" s="9"/>
      <c r="H361" s="9"/>
      <c r="I361" s="9"/>
      <c r="J361" s="9"/>
      <c r="K361" s="9"/>
      <c r="L361" s="9"/>
      <c r="M361" s="9"/>
    </row>
    <row r="362" spans="1:13">
      <c r="A362" s="9"/>
      <c r="B362" s="9"/>
      <c r="C362" s="10" t="s">
        <v>27</v>
      </c>
      <c r="D362" s="30"/>
      <c r="E362" s="10" t="s">
        <v>325</v>
      </c>
      <c r="F362" s="19">
        <v>1</v>
      </c>
      <c r="G362" s="20">
        <v>0</v>
      </c>
      <c r="H362" s="20">
        <v>0</v>
      </c>
      <c r="I362" s="20">
        <v>0</v>
      </c>
      <c r="J362" s="16">
        <f>OR(F362&lt;&gt;0,G362&lt;&gt;0,H362&lt;&gt;0,I362&lt;&gt;0)*(F362 + (F362 = 0))*(G362 + (G362 = 0))*(H362 + (H362 = 0))*(I362 + (I362 = 0))</f>
        <v>1</v>
      </c>
      <c r="K362" s="9"/>
      <c r="L362" s="9"/>
      <c r="M362" s="9"/>
    </row>
    <row r="363" spans="1:13">
      <c r="A363" s="9"/>
      <c r="B363" s="9"/>
      <c r="C363" s="9"/>
      <c r="D363" s="30"/>
      <c r="E363" s="9"/>
      <c r="F363" s="9"/>
      <c r="G363" s="9"/>
      <c r="H363" s="9"/>
      <c r="I363" s="9"/>
      <c r="J363" s="21" t="s">
        <v>326</v>
      </c>
      <c r="K363" s="22">
        <f>J362</f>
        <v>1</v>
      </c>
      <c r="L363" s="23">
        <v>0</v>
      </c>
      <c r="M363" s="24">
        <f>ROUND(K363*L363,2)</f>
        <v>0</v>
      </c>
    </row>
    <row r="364" spans="1:13" ht="0.95" customHeight="1">
      <c r="A364" s="25"/>
      <c r="B364" s="25"/>
      <c r="C364" s="25"/>
      <c r="D364" s="31"/>
      <c r="E364" s="25"/>
      <c r="F364" s="25"/>
      <c r="G364" s="25"/>
      <c r="H364" s="25"/>
      <c r="I364" s="25"/>
      <c r="J364" s="25"/>
      <c r="K364" s="25"/>
      <c r="L364" s="25"/>
      <c r="M364" s="25"/>
    </row>
    <row r="365" spans="1:13" ht="22.5">
      <c r="A365" s="15" t="s">
        <v>327</v>
      </c>
      <c r="B365" s="10" t="s">
        <v>23</v>
      </c>
      <c r="C365" s="10" t="s">
        <v>4</v>
      </c>
      <c r="D365" s="18" t="s">
        <v>328</v>
      </c>
      <c r="E365" s="9"/>
      <c r="F365" s="9"/>
      <c r="G365" s="9"/>
      <c r="H365" s="9"/>
      <c r="I365" s="9"/>
      <c r="J365" s="9"/>
      <c r="K365" s="16">
        <f>K368</f>
        <v>1</v>
      </c>
      <c r="L365" s="17">
        <f>L368</f>
        <v>0</v>
      </c>
      <c r="M365" s="17">
        <f>M368</f>
        <v>0</v>
      </c>
    </row>
    <row r="366" spans="1:13">
      <c r="A366" s="9"/>
      <c r="B366" s="9"/>
      <c r="C366" s="9"/>
      <c r="D366" s="18" t="s">
        <v>329</v>
      </c>
      <c r="E366" s="9"/>
      <c r="F366" s="9"/>
      <c r="G366" s="9"/>
      <c r="H366" s="9"/>
      <c r="I366" s="9"/>
      <c r="J366" s="9"/>
      <c r="K366" s="9"/>
      <c r="L366" s="9"/>
      <c r="M366" s="9"/>
    </row>
    <row r="367" spans="1:13">
      <c r="A367" s="9"/>
      <c r="B367" s="9"/>
      <c r="C367" s="10" t="s">
        <v>27</v>
      </c>
      <c r="D367" s="30"/>
      <c r="E367" s="10" t="s">
        <v>330</v>
      </c>
      <c r="F367" s="19">
        <v>1</v>
      </c>
      <c r="G367" s="20">
        <v>0</v>
      </c>
      <c r="H367" s="20">
        <v>0</v>
      </c>
      <c r="I367" s="20">
        <v>0</v>
      </c>
      <c r="J367" s="16">
        <f>OR(F367&lt;&gt;0,G367&lt;&gt;0,H367&lt;&gt;0,I367&lt;&gt;0)*(F367 + (F367 = 0))*(G367 + (G367 = 0))*(H367 + (H367 = 0))*(I367 + (I367 = 0))</f>
        <v>1</v>
      </c>
      <c r="K367" s="9"/>
      <c r="L367" s="9"/>
      <c r="M367" s="9"/>
    </row>
    <row r="368" spans="1:13">
      <c r="A368" s="9"/>
      <c r="B368" s="9"/>
      <c r="C368" s="9"/>
      <c r="D368" s="30"/>
      <c r="E368" s="9"/>
      <c r="F368" s="9"/>
      <c r="G368" s="9"/>
      <c r="H368" s="9"/>
      <c r="I368" s="9"/>
      <c r="J368" s="21" t="s">
        <v>331</v>
      </c>
      <c r="K368" s="22">
        <f>J367</f>
        <v>1</v>
      </c>
      <c r="L368" s="23">
        <v>0</v>
      </c>
      <c r="M368" s="24">
        <f>ROUND(K368*L368,2)</f>
        <v>0</v>
      </c>
    </row>
    <row r="369" spans="1:13" ht="0.95" customHeight="1">
      <c r="A369" s="25"/>
      <c r="B369" s="25"/>
      <c r="C369" s="25"/>
      <c r="D369" s="31"/>
      <c r="E369" s="25"/>
      <c r="F369" s="25"/>
      <c r="G369" s="25"/>
      <c r="H369" s="25"/>
      <c r="I369" s="25"/>
      <c r="J369" s="25"/>
      <c r="K369" s="25"/>
      <c r="L369" s="25"/>
      <c r="M369" s="25"/>
    </row>
    <row r="370" spans="1:13" ht="22.5">
      <c r="A370" s="15" t="s">
        <v>332</v>
      </c>
      <c r="B370" s="10" t="s">
        <v>23</v>
      </c>
      <c r="C370" s="10" t="s">
        <v>4</v>
      </c>
      <c r="D370" s="18" t="s">
        <v>333</v>
      </c>
      <c r="E370" s="9"/>
      <c r="F370" s="9"/>
      <c r="G370" s="9"/>
      <c r="H370" s="9"/>
      <c r="I370" s="9"/>
      <c r="J370" s="9"/>
      <c r="K370" s="16">
        <f>K373</f>
        <v>1</v>
      </c>
      <c r="L370" s="17">
        <f>L373</f>
        <v>0</v>
      </c>
      <c r="M370" s="17">
        <f>M373</f>
        <v>0</v>
      </c>
    </row>
    <row r="371" spans="1:13">
      <c r="A371" s="9"/>
      <c r="B371" s="9"/>
      <c r="C371" s="9"/>
      <c r="D371" s="18" t="s">
        <v>334</v>
      </c>
      <c r="E371" s="9"/>
      <c r="F371" s="9"/>
      <c r="G371" s="9"/>
      <c r="H371" s="9"/>
      <c r="I371" s="9"/>
      <c r="J371" s="9"/>
      <c r="K371" s="9"/>
      <c r="L371" s="9"/>
      <c r="M371" s="9"/>
    </row>
    <row r="372" spans="1:13">
      <c r="A372" s="9"/>
      <c r="B372" s="9"/>
      <c r="C372" s="10" t="s">
        <v>27</v>
      </c>
      <c r="D372" s="30"/>
      <c r="E372" s="10" t="s">
        <v>335</v>
      </c>
      <c r="F372" s="19">
        <v>1</v>
      </c>
      <c r="G372" s="20">
        <v>0</v>
      </c>
      <c r="H372" s="20">
        <v>0</v>
      </c>
      <c r="I372" s="20">
        <v>0</v>
      </c>
      <c r="J372" s="16">
        <f>OR(F372&lt;&gt;0,G372&lt;&gt;0,H372&lt;&gt;0,I372&lt;&gt;0)*(F372 + (F372 = 0))*(G372 + (G372 = 0))*(H372 + (H372 = 0))*(I372 + (I372 = 0))</f>
        <v>1</v>
      </c>
      <c r="K372" s="9"/>
      <c r="L372" s="9"/>
      <c r="M372" s="9"/>
    </row>
    <row r="373" spans="1:13">
      <c r="A373" s="9"/>
      <c r="B373" s="9"/>
      <c r="C373" s="9"/>
      <c r="D373" s="30"/>
      <c r="E373" s="9"/>
      <c r="F373" s="9"/>
      <c r="G373" s="9"/>
      <c r="H373" s="9"/>
      <c r="I373" s="9"/>
      <c r="J373" s="21" t="s">
        <v>336</v>
      </c>
      <c r="K373" s="22">
        <f>J372</f>
        <v>1</v>
      </c>
      <c r="L373" s="23">
        <v>0</v>
      </c>
      <c r="M373" s="24">
        <f>ROUND(K373*L373,2)</f>
        <v>0</v>
      </c>
    </row>
    <row r="374" spans="1:13" ht="0.95" customHeight="1">
      <c r="A374" s="25"/>
      <c r="B374" s="25"/>
      <c r="C374" s="25"/>
      <c r="D374" s="31"/>
      <c r="E374" s="25"/>
      <c r="F374" s="25"/>
      <c r="G374" s="25"/>
      <c r="H374" s="25"/>
      <c r="I374" s="25"/>
      <c r="J374" s="25"/>
      <c r="K374" s="25"/>
      <c r="L374" s="25"/>
      <c r="M374" s="25"/>
    </row>
    <row r="375" spans="1:13" ht="22.5">
      <c r="A375" s="15" t="s">
        <v>337</v>
      </c>
      <c r="B375" s="10" t="s">
        <v>23</v>
      </c>
      <c r="C375" s="10" t="s">
        <v>4</v>
      </c>
      <c r="D375" s="18" t="s">
        <v>338</v>
      </c>
      <c r="E375" s="9"/>
      <c r="F375" s="9"/>
      <c r="G375" s="9"/>
      <c r="H375" s="9"/>
      <c r="I375" s="9"/>
      <c r="J375" s="9"/>
      <c r="K375" s="16">
        <f>K379</f>
        <v>2</v>
      </c>
      <c r="L375" s="17">
        <f>L379</f>
        <v>0</v>
      </c>
      <c r="M375" s="17">
        <f>M379</f>
        <v>0</v>
      </c>
    </row>
    <row r="376" spans="1:13">
      <c r="A376" s="9"/>
      <c r="B376" s="9"/>
      <c r="C376" s="9"/>
      <c r="D376" s="18" t="s">
        <v>339</v>
      </c>
      <c r="E376" s="9"/>
      <c r="F376" s="9"/>
      <c r="G376" s="9"/>
      <c r="H376" s="9"/>
      <c r="I376" s="9"/>
      <c r="J376" s="9"/>
      <c r="K376" s="9"/>
      <c r="L376" s="9"/>
      <c r="M376" s="9"/>
    </row>
    <row r="377" spans="1:13">
      <c r="A377" s="9"/>
      <c r="B377" s="9"/>
      <c r="C377" s="10" t="s">
        <v>27</v>
      </c>
      <c r="D377" s="30"/>
      <c r="E377" s="10" t="s">
        <v>340</v>
      </c>
      <c r="F377" s="19">
        <v>1</v>
      </c>
      <c r="G377" s="20">
        <v>0</v>
      </c>
      <c r="H377" s="20">
        <v>0</v>
      </c>
      <c r="I377" s="20">
        <v>0</v>
      </c>
      <c r="J377" s="16">
        <f>OR(F377&lt;&gt;0,G377&lt;&gt;0,H377&lt;&gt;0,I377&lt;&gt;0)*(F377 + (F377 = 0))*(G377 + (G377 = 0))*(H377 + (H377 = 0))*(I377 + (I377 = 0))</f>
        <v>1</v>
      </c>
      <c r="K377" s="9"/>
      <c r="L377" s="9"/>
      <c r="M377" s="9"/>
    </row>
    <row r="378" spans="1:13">
      <c r="A378" s="9"/>
      <c r="B378" s="9"/>
      <c r="C378" s="10" t="s">
        <v>27</v>
      </c>
      <c r="D378" s="30"/>
      <c r="E378" s="10" t="s">
        <v>341</v>
      </c>
      <c r="F378" s="19">
        <v>1</v>
      </c>
      <c r="G378" s="20">
        <v>0</v>
      </c>
      <c r="H378" s="20">
        <v>0</v>
      </c>
      <c r="I378" s="20">
        <v>0</v>
      </c>
      <c r="J378" s="16">
        <f>OR(F378&lt;&gt;0,G378&lt;&gt;0,H378&lt;&gt;0,I378&lt;&gt;0)*(F378 + (F378 = 0))*(G378 + (G378 = 0))*(H378 + (H378 = 0))*(I378 + (I378 = 0))</f>
        <v>1</v>
      </c>
      <c r="K378" s="9"/>
      <c r="L378" s="9"/>
      <c r="M378" s="9"/>
    </row>
    <row r="379" spans="1:13">
      <c r="A379" s="9"/>
      <c r="B379" s="9"/>
      <c r="C379" s="9"/>
      <c r="D379" s="30"/>
      <c r="E379" s="9"/>
      <c r="F379" s="9"/>
      <c r="G379" s="9"/>
      <c r="H379" s="9"/>
      <c r="I379" s="9"/>
      <c r="J379" s="21" t="s">
        <v>342</v>
      </c>
      <c r="K379" s="22">
        <f>SUM(J377:J378)</f>
        <v>2</v>
      </c>
      <c r="L379" s="23">
        <v>0</v>
      </c>
      <c r="M379" s="24">
        <f>ROUND(K379*L379,2)</f>
        <v>0</v>
      </c>
    </row>
    <row r="380" spans="1:13" ht="0.95" customHeight="1">
      <c r="A380" s="25"/>
      <c r="B380" s="25"/>
      <c r="C380" s="25"/>
      <c r="D380" s="31"/>
      <c r="E380" s="25"/>
      <c r="F380" s="25"/>
      <c r="G380" s="25"/>
      <c r="H380" s="25"/>
      <c r="I380" s="25"/>
      <c r="J380" s="25"/>
      <c r="K380" s="25"/>
      <c r="L380" s="25"/>
      <c r="M380" s="25"/>
    </row>
    <row r="381" spans="1:13" ht="22.5">
      <c r="A381" s="15" t="s">
        <v>343</v>
      </c>
      <c r="B381" s="10" t="s">
        <v>23</v>
      </c>
      <c r="C381" s="10" t="s">
        <v>4</v>
      </c>
      <c r="D381" s="18" t="s">
        <v>344</v>
      </c>
      <c r="E381" s="9"/>
      <c r="F381" s="9"/>
      <c r="G381" s="9"/>
      <c r="H381" s="9"/>
      <c r="I381" s="9"/>
      <c r="J381" s="9"/>
      <c r="K381" s="16">
        <f>K384</f>
        <v>1</v>
      </c>
      <c r="L381" s="17">
        <f>L384</f>
        <v>0</v>
      </c>
      <c r="M381" s="17">
        <f>M384</f>
        <v>0</v>
      </c>
    </row>
    <row r="382" spans="1:13">
      <c r="A382" s="9"/>
      <c r="B382" s="9"/>
      <c r="C382" s="9"/>
      <c r="D382" s="18" t="s">
        <v>345</v>
      </c>
      <c r="E382" s="9"/>
      <c r="F382" s="9"/>
      <c r="G382" s="9"/>
      <c r="H382" s="9"/>
      <c r="I382" s="9"/>
      <c r="J382" s="9"/>
      <c r="K382" s="9"/>
      <c r="L382" s="9"/>
      <c r="M382" s="9"/>
    </row>
    <row r="383" spans="1:13">
      <c r="A383" s="9"/>
      <c r="B383" s="9"/>
      <c r="C383" s="10" t="s">
        <v>27</v>
      </c>
      <c r="D383" s="30"/>
      <c r="E383" s="10" t="s">
        <v>346</v>
      </c>
      <c r="F383" s="19">
        <v>1</v>
      </c>
      <c r="G383" s="20">
        <v>0</v>
      </c>
      <c r="H383" s="20">
        <v>0</v>
      </c>
      <c r="I383" s="20">
        <v>0</v>
      </c>
      <c r="J383" s="16">
        <f>OR(F383&lt;&gt;0,G383&lt;&gt;0,H383&lt;&gt;0,I383&lt;&gt;0)*(F383 + (F383 = 0))*(G383 + (G383 = 0))*(H383 + (H383 = 0))*(I383 + (I383 = 0))</f>
        <v>1</v>
      </c>
      <c r="K383" s="9"/>
      <c r="L383" s="9"/>
      <c r="M383" s="9"/>
    </row>
    <row r="384" spans="1:13">
      <c r="A384" s="9"/>
      <c r="B384" s="9"/>
      <c r="C384" s="9"/>
      <c r="D384" s="30"/>
      <c r="E384" s="9"/>
      <c r="F384" s="9"/>
      <c r="G384" s="9"/>
      <c r="H384" s="9"/>
      <c r="I384" s="9"/>
      <c r="J384" s="21" t="s">
        <v>347</v>
      </c>
      <c r="K384" s="22">
        <f>J383</f>
        <v>1</v>
      </c>
      <c r="L384" s="23">
        <v>0</v>
      </c>
      <c r="M384" s="24">
        <f>ROUND(K384*L384,2)</f>
        <v>0</v>
      </c>
    </row>
    <row r="385" spans="1:13" ht="0.95" customHeight="1">
      <c r="A385" s="25"/>
      <c r="B385" s="25"/>
      <c r="C385" s="25"/>
      <c r="D385" s="31"/>
      <c r="E385" s="25"/>
      <c r="F385" s="25"/>
      <c r="G385" s="25"/>
      <c r="H385" s="25"/>
      <c r="I385" s="25"/>
      <c r="J385" s="25"/>
      <c r="K385" s="25"/>
      <c r="L385" s="25"/>
      <c r="M385" s="25"/>
    </row>
    <row r="386" spans="1:13" ht="22.5">
      <c r="A386" s="15" t="s">
        <v>348</v>
      </c>
      <c r="B386" s="10" t="s">
        <v>23</v>
      </c>
      <c r="C386" s="10" t="s">
        <v>4</v>
      </c>
      <c r="D386" s="18" t="s">
        <v>349</v>
      </c>
      <c r="E386" s="9"/>
      <c r="F386" s="9"/>
      <c r="G386" s="9"/>
      <c r="H386" s="9"/>
      <c r="I386" s="9"/>
      <c r="J386" s="9"/>
      <c r="K386" s="16">
        <f>K389</f>
        <v>1</v>
      </c>
      <c r="L386" s="17">
        <f>L389</f>
        <v>0</v>
      </c>
      <c r="M386" s="17">
        <f>M389</f>
        <v>0</v>
      </c>
    </row>
    <row r="387" spans="1:13">
      <c r="A387" s="9"/>
      <c r="B387" s="9"/>
      <c r="C387" s="9"/>
      <c r="D387" s="18" t="s">
        <v>350</v>
      </c>
      <c r="E387" s="9"/>
      <c r="F387" s="9"/>
      <c r="G387" s="9"/>
      <c r="H387" s="9"/>
      <c r="I387" s="9"/>
      <c r="J387" s="9"/>
      <c r="K387" s="9"/>
      <c r="L387" s="9"/>
      <c r="M387" s="9"/>
    </row>
    <row r="388" spans="1:13">
      <c r="A388" s="9"/>
      <c r="B388" s="9"/>
      <c r="C388" s="10" t="s">
        <v>27</v>
      </c>
      <c r="D388" s="30"/>
      <c r="E388" s="10" t="s">
        <v>351</v>
      </c>
      <c r="F388" s="19">
        <v>1</v>
      </c>
      <c r="G388" s="20">
        <v>0</v>
      </c>
      <c r="H388" s="20">
        <v>0</v>
      </c>
      <c r="I388" s="20">
        <v>0</v>
      </c>
      <c r="J388" s="16">
        <f>OR(F388&lt;&gt;0,G388&lt;&gt;0,H388&lt;&gt;0,I388&lt;&gt;0)*(F388 + (F388 = 0))*(G388 + (G388 = 0))*(H388 + (H388 = 0))*(I388 + (I388 = 0))</f>
        <v>1</v>
      </c>
      <c r="K388" s="9"/>
      <c r="L388" s="9"/>
      <c r="M388" s="9"/>
    </row>
    <row r="389" spans="1:13">
      <c r="A389" s="9"/>
      <c r="B389" s="9"/>
      <c r="C389" s="9"/>
      <c r="D389" s="30"/>
      <c r="E389" s="9"/>
      <c r="F389" s="9"/>
      <c r="G389" s="9"/>
      <c r="H389" s="9"/>
      <c r="I389" s="9"/>
      <c r="J389" s="21" t="s">
        <v>352</v>
      </c>
      <c r="K389" s="22">
        <f>J388</f>
        <v>1</v>
      </c>
      <c r="L389" s="23">
        <v>0</v>
      </c>
      <c r="M389" s="24">
        <f>ROUND(K389*L389,2)</f>
        <v>0</v>
      </c>
    </row>
    <row r="390" spans="1:13" ht="0.95" customHeight="1">
      <c r="A390" s="25"/>
      <c r="B390" s="25"/>
      <c r="C390" s="25"/>
      <c r="D390" s="31"/>
      <c r="E390" s="25"/>
      <c r="F390" s="25"/>
      <c r="G390" s="25"/>
      <c r="H390" s="25"/>
      <c r="I390" s="25"/>
      <c r="J390" s="25"/>
      <c r="K390" s="25"/>
      <c r="L390" s="25"/>
      <c r="M390" s="25"/>
    </row>
    <row r="391" spans="1:13" ht="22.5">
      <c r="A391" s="15" t="s">
        <v>353</v>
      </c>
      <c r="B391" s="10" t="s">
        <v>23</v>
      </c>
      <c r="C391" s="10" t="s">
        <v>4</v>
      </c>
      <c r="D391" s="18" t="s">
        <v>354</v>
      </c>
      <c r="E391" s="9"/>
      <c r="F391" s="9"/>
      <c r="G391" s="9"/>
      <c r="H391" s="9"/>
      <c r="I391" s="9"/>
      <c r="J391" s="9"/>
      <c r="K391" s="16">
        <f>K394</f>
        <v>1</v>
      </c>
      <c r="L391" s="17">
        <f>L394</f>
        <v>0</v>
      </c>
      <c r="M391" s="17">
        <f>M394</f>
        <v>0</v>
      </c>
    </row>
    <row r="392" spans="1:13">
      <c r="A392" s="9"/>
      <c r="B392" s="9"/>
      <c r="C392" s="9"/>
      <c r="D392" s="18" t="s">
        <v>355</v>
      </c>
      <c r="E392" s="9"/>
      <c r="F392" s="9"/>
      <c r="G392" s="9"/>
      <c r="H392" s="9"/>
      <c r="I392" s="9"/>
      <c r="J392" s="9"/>
      <c r="K392" s="9"/>
      <c r="L392" s="9"/>
      <c r="M392" s="9"/>
    </row>
    <row r="393" spans="1:13">
      <c r="A393" s="9"/>
      <c r="B393" s="9"/>
      <c r="C393" s="10" t="s">
        <v>27</v>
      </c>
      <c r="D393" s="30"/>
      <c r="E393" s="10" t="s">
        <v>356</v>
      </c>
      <c r="F393" s="19">
        <v>1</v>
      </c>
      <c r="G393" s="20">
        <v>0</v>
      </c>
      <c r="H393" s="20">
        <v>0</v>
      </c>
      <c r="I393" s="20">
        <v>0</v>
      </c>
      <c r="J393" s="16">
        <f>OR(F393&lt;&gt;0,G393&lt;&gt;0,H393&lt;&gt;0,I393&lt;&gt;0)*(F393 + (F393 = 0))*(G393 + (G393 = 0))*(H393 + (H393 = 0))*(I393 + (I393 = 0))</f>
        <v>1</v>
      </c>
      <c r="K393" s="9"/>
      <c r="L393" s="9"/>
      <c r="M393" s="9"/>
    </row>
    <row r="394" spans="1:13">
      <c r="A394" s="9"/>
      <c r="B394" s="9"/>
      <c r="C394" s="9"/>
      <c r="D394" s="30"/>
      <c r="E394" s="9"/>
      <c r="F394" s="9"/>
      <c r="G394" s="9"/>
      <c r="H394" s="9"/>
      <c r="I394" s="9"/>
      <c r="J394" s="21" t="s">
        <v>357</v>
      </c>
      <c r="K394" s="22">
        <f>J393</f>
        <v>1</v>
      </c>
      <c r="L394" s="23">
        <v>0</v>
      </c>
      <c r="M394" s="24">
        <f>ROUND(K394*L394,2)</f>
        <v>0</v>
      </c>
    </row>
    <row r="395" spans="1:13" ht="0.95" customHeight="1">
      <c r="A395" s="25"/>
      <c r="B395" s="25"/>
      <c r="C395" s="25"/>
      <c r="D395" s="31"/>
      <c r="E395" s="25"/>
      <c r="F395" s="25"/>
      <c r="G395" s="25"/>
      <c r="H395" s="25"/>
      <c r="I395" s="25"/>
      <c r="J395" s="25"/>
      <c r="K395" s="25"/>
      <c r="L395" s="25"/>
      <c r="M395" s="25"/>
    </row>
    <row r="396" spans="1:13" ht="22.5">
      <c r="A396" s="15" t="s">
        <v>358</v>
      </c>
      <c r="B396" s="10" t="s">
        <v>23</v>
      </c>
      <c r="C396" s="10" t="s">
        <v>4</v>
      </c>
      <c r="D396" s="18" t="s">
        <v>359</v>
      </c>
      <c r="E396" s="9"/>
      <c r="F396" s="9"/>
      <c r="G396" s="9"/>
      <c r="H396" s="9"/>
      <c r="I396" s="9"/>
      <c r="J396" s="9"/>
      <c r="K396" s="16">
        <f>K399</f>
        <v>1</v>
      </c>
      <c r="L396" s="17">
        <f>L399</f>
        <v>0</v>
      </c>
      <c r="M396" s="17">
        <f>M399</f>
        <v>0</v>
      </c>
    </row>
    <row r="397" spans="1:13">
      <c r="A397" s="9"/>
      <c r="B397" s="9"/>
      <c r="C397" s="9"/>
      <c r="D397" s="18" t="s">
        <v>360</v>
      </c>
      <c r="E397" s="9"/>
      <c r="F397" s="9"/>
      <c r="G397" s="9"/>
      <c r="H397" s="9"/>
      <c r="I397" s="9"/>
      <c r="J397" s="9"/>
      <c r="K397" s="9"/>
      <c r="L397" s="9"/>
      <c r="M397" s="9"/>
    </row>
    <row r="398" spans="1:13">
      <c r="A398" s="9"/>
      <c r="B398" s="9"/>
      <c r="C398" s="10" t="s">
        <v>27</v>
      </c>
      <c r="D398" s="30"/>
      <c r="E398" s="10" t="s">
        <v>361</v>
      </c>
      <c r="F398" s="19">
        <v>1</v>
      </c>
      <c r="G398" s="20">
        <v>0</v>
      </c>
      <c r="H398" s="20">
        <v>0</v>
      </c>
      <c r="I398" s="20">
        <v>0</v>
      </c>
      <c r="J398" s="16">
        <f>OR(F398&lt;&gt;0,G398&lt;&gt;0,H398&lt;&gt;0,I398&lt;&gt;0)*(F398 + (F398 = 0))*(G398 + (G398 = 0))*(H398 + (H398 = 0))*(I398 + (I398 = 0))</f>
        <v>1</v>
      </c>
      <c r="K398" s="9"/>
      <c r="L398" s="9"/>
      <c r="M398" s="9"/>
    </row>
    <row r="399" spans="1:13">
      <c r="A399" s="9"/>
      <c r="B399" s="9"/>
      <c r="C399" s="9"/>
      <c r="D399" s="30"/>
      <c r="E399" s="9"/>
      <c r="F399" s="9"/>
      <c r="G399" s="9"/>
      <c r="H399" s="9"/>
      <c r="I399" s="9"/>
      <c r="J399" s="21" t="s">
        <v>362</v>
      </c>
      <c r="K399" s="22">
        <f>J398</f>
        <v>1</v>
      </c>
      <c r="L399" s="23">
        <v>0</v>
      </c>
      <c r="M399" s="24">
        <f>ROUND(K399*L399,2)</f>
        <v>0</v>
      </c>
    </row>
    <row r="400" spans="1:13" ht="0.95" customHeight="1">
      <c r="A400" s="25"/>
      <c r="B400" s="25"/>
      <c r="C400" s="25"/>
      <c r="D400" s="31"/>
      <c r="E400" s="25"/>
      <c r="F400" s="25"/>
      <c r="G400" s="25"/>
      <c r="H400" s="25"/>
      <c r="I400" s="25"/>
      <c r="J400" s="25"/>
      <c r="K400" s="25"/>
      <c r="L400" s="25"/>
      <c r="M400" s="25"/>
    </row>
    <row r="401" spans="1:13" ht="22.5">
      <c r="A401" s="15" t="s">
        <v>363</v>
      </c>
      <c r="B401" s="10" t="s">
        <v>23</v>
      </c>
      <c r="C401" s="10" t="s">
        <v>4</v>
      </c>
      <c r="D401" s="18" t="s">
        <v>364</v>
      </c>
      <c r="E401" s="9"/>
      <c r="F401" s="9"/>
      <c r="G401" s="9"/>
      <c r="H401" s="9"/>
      <c r="I401" s="9"/>
      <c r="J401" s="9"/>
      <c r="K401" s="16">
        <f>K404</f>
        <v>1</v>
      </c>
      <c r="L401" s="17">
        <f>L404</f>
        <v>0</v>
      </c>
      <c r="M401" s="17">
        <f>M404</f>
        <v>0</v>
      </c>
    </row>
    <row r="402" spans="1:13">
      <c r="A402" s="9"/>
      <c r="B402" s="9"/>
      <c r="C402" s="9"/>
      <c r="D402" s="18" t="s">
        <v>365</v>
      </c>
      <c r="E402" s="9"/>
      <c r="F402" s="9"/>
      <c r="G402" s="9"/>
      <c r="H402" s="9"/>
      <c r="I402" s="9"/>
      <c r="J402" s="9"/>
      <c r="K402" s="9"/>
      <c r="L402" s="9"/>
      <c r="M402" s="9"/>
    </row>
    <row r="403" spans="1:13">
      <c r="A403" s="9"/>
      <c r="B403" s="9"/>
      <c r="C403" s="10" t="s">
        <v>27</v>
      </c>
      <c r="D403" s="30"/>
      <c r="E403" s="10" t="s">
        <v>366</v>
      </c>
      <c r="F403" s="19">
        <v>1</v>
      </c>
      <c r="G403" s="23">
        <v>0</v>
      </c>
      <c r="H403" s="23">
        <v>0</v>
      </c>
      <c r="I403" s="23">
        <v>0</v>
      </c>
      <c r="J403" s="17">
        <f>OR(F403&lt;&gt;0,G403&lt;&gt;0,H403&lt;&gt;0,I403&lt;&gt;0)*(F403 + (F403 = 0))*(G403 + (G403 = 0))*(H403 + (H403 = 0))*(I403 + (I403 = 0))</f>
        <v>1</v>
      </c>
      <c r="K403" s="9"/>
      <c r="L403" s="9"/>
      <c r="M403" s="9"/>
    </row>
    <row r="404" spans="1:13">
      <c r="A404" s="9"/>
      <c r="B404" s="9"/>
      <c r="C404" s="9"/>
      <c r="D404" s="30"/>
      <c r="E404" s="9"/>
      <c r="F404" s="9"/>
      <c r="G404" s="9"/>
      <c r="H404" s="9"/>
      <c r="I404" s="9"/>
      <c r="J404" s="21" t="s">
        <v>367</v>
      </c>
      <c r="K404" s="22">
        <f>J403</f>
        <v>1</v>
      </c>
      <c r="L404" s="23">
        <v>0</v>
      </c>
      <c r="M404" s="24">
        <f>ROUND(K404*L404,2)</f>
        <v>0</v>
      </c>
    </row>
    <row r="405" spans="1:13" ht="0.95" customHeight="1">
      <c r="A405" s="25"/>
      <c r="B405" s="25"/>
      <c r="C405" s="25"/>
      <c r="D405" s="31"/>
      <c r="E405" s="25"/>
      <c r="F405" s="25"/>
      <c r="G405" s="25"/>
      <c r="H405" s="25"/>
      <c r="I405" s="25"/>
      <c r="J405" s="25"/>
      <c r="K405" s="25"/>
      <c r="L405" s="25"/>
      <c r="M405" s="25"/>
    </row>
    <row r="406" spans="1:13" ht="22.5">
      <c r="A406" s="15" t="s">
        <v>368</v>
      </c>
      <c r="B406" s="10" t="s">
        <v>23</v>
      </c>
      <c r="C406" s="10" t="s">
        <v>4</v>
      </c>
      <c r="D406" s="18" t="s">
        <v>369</v>
      </c>
      <c r="E406" s="9"/>
      <c r="F406" s="9"/>
      <c r="G406" s="9"/>
      <c r="H406" s="9"/>
      <c r="I406" s="9"/>
      <c r="J406" s="9"/>
      <c r="K406" s="16">
        <f>K409</f>
        <v>1</v>
      </c>
      <c r="L406" s="17">
        <f>L409</f>
        <v>0</v>
      </c>
      <c r="M406" s="17">
        <f>M409</f>
        <v>0</v>
      </c>
    </row>
    <row r="407" spans="1:13">
      <c r="A407" s="9"/>
      <c r="B407" s="9"/>
      <c r="C407" s="9"/>
      <c r="D407" s="18" t="s">
        <v>370</v>
      </c>
      <c r="E407" s="9"/>
      <c r="F407" s="9"/>
      <c r="G407" s="9"/>
      <c r="H407" s="9"/>
      <c r="I407" s="9"/>
      <c r="J407" s="9"/>
      <c r="K407" s="9"/>
      <c r="L407" s="9"/>
      <c r="M407" s="9"/>
    </row>
    <row r="408" spans="1:13">
      <c r="A408" s="9"/>
      <c r="B408" s="9"/>
      <c r="C408" s="10" t="s">
        <v>27</v>
      </c>
      <c r="D408" s="30"/>
      <c r="E408" s="10" t="s">
        <v>371</v>
      </c>
      <c r="F408" s="19">
        <v>1</v>
      </c>
      <c r="G408" s="20">
        <v>0</v>
      </c>
      <c r="H408" s="20">
        <v>0</v>
      </c>
      <c r="I408" s="20">
        <v>0</v>
      </c>
      <c r="J408" s="16">
        <f>OR(F408&lt;&gt;0,G408&lt;&gt;0,H408&lt;&gt;0,I408&lt;&gt;0)*(F408 + (F408 = 0))*(G408 + (G408 = 0))*(H408 + (H408 = 0))*(I408 + (I408 = 0))</f>
        <v>1</v>
      </c>
      <c r="K408" s="9"/>
      <c r="L408" s="9"/>
      <c r="M408" s="9"/>
    </row>
    <row r="409" spans="1:13">
      <c r="A409" s="9"/>
      <c r="B409" s="9"/>
      <c r="C409" s="9"/>
      <c r="D409" s="30"/>
      <c r="E409" s="9"/>
      <c r="F409" s="9"/>
      <c r="G409" s="9"/>
      <c r="H409" s="9"/>
      <c r="I409" s="9"/>
      <c r="J409" s="21" t="s">
        <v>372</v>
      </c>
      <c r="K409" s="22">
        <f>J408</f>
        <v>1</v>
      </c>
      <c r="L409" s="23">
        <v>0</v>
      </c>
      <c r="M409" s="24">
        <f>ROUND(K409*L409,2)</f>
        <v>0</v>
      </c>
    </row>
    <row r="410" spans="1:13" ht="0.95" customHeight="1">
      <c r="A410" s="25"/>
      <c r="B410" s="25"/>
      <c r="C410" s="25"/>
      <c r="D410" s="31"/>
      <c r="E410" s="25"/>
      <c r="F410" s="25"/>
      <c r="G410" s="25"/>
      <c r="H410" s="25"/>
      <c r="I410" s="25"/>
      <c r="J410" s="25"/>
      <c r="K410" s="25"/>
      <c r="L410" s="25"/>
      <c r="M410" s="25"/>
    </row>
    <row r="411" spans="1:13" ht="22.5">
      <c r="A411" s="15" t="s">
        <v>373</v>
      </c>
      <c r="B411" s="10" t="s">
        <v>23</v>
      </c>
      <c r="C411" s="10" t="s">
        <v>4</v>
      </c>
      <c r="D411" s="18" t="s">
        <v>374</v>
      </c>
      <c r="E411" s="9"/>
      <c r="F411" s="9"/>
      <c r="G411" s="9"/>
      <c r="H411" s="9"/>
      <c r="I411" s="9"/>
      <c r="J411" s="9"/>
      <c r="K411" s="16">
        <f>K414</f>
        <v>1</v>
      </c>
      <c r="L411" s="17">
        <f>L414</f>
        <v>0</v>
      </c>
      <c r="M411" s="17">
        <f>M414</f>
        <v>0</v>
      </c>
    </row>
    <row r="412" spans="1:13">
      <c r="A412" s="9"/>
      <c r="B412" s="9"/>
      <c r="C412" s="9"/>
      <c r="D412" s="18" t="s">
        <v>375</v>
      </c>
      <c r="E412" s="9"/>
      <c r="F412" s="9"/>
      <c r="G412" s="9"/>
      <c r="H412" s="9"/>
      <c r="I412" s="9"/>
      <c r="J412" s="9"/>
      <c r="K412" s="9"/>
      <c r="L412" s="9"/>
      <c r="M412" s="9"/>
    </row>
    <row r="413" spans="1:13">
      <c r="A413" s="9"/>
      <c r="B413" s="9"/>
      <c r="C413" s="10" t="s">
        <v>27</v>
      </c>
      <c r="D413" s="30"/>
      <c r="E413" s="10" t="s">
        <v>371</v>
      </c>
      <c r="F413" s="19">
        <v>1</v>
      </c>
      <c r="G413" s="20">
        <v>0</v>
      </c>
      <c r="H413" s="20">
        <v>0</v>
      </c>
      <c r="I413" s="20">
        <v>0</v>
      </c>
      <c r="J413" s="16">
        <f>OR(F413&lt;&gt;0,G413&lt;&gt;0,H413&lt;&gt;0,I413&lt;&gt;0)*(F413 + (F413 = 0))*(G413 + (G413 = 0))*(H413 + (H413 = 0))*(I413 + (I413 = 0))</f>
        <v>1</v>
      </c>
      <c r="K413" s="9"/>
      <c r="L413" s="9"/>
      <c r="M413" s="9"/>
    </row>
    <row r="414" spans="1:13">
      <c r="A414" s="9"/>
      <c r="B414" s="9"/>
      <c r="C414" s="9"/>
      <c r="D414" s="30"/>
      <c r="E414" s="9"/>
      <c r="F414" s="9"/>
      <c r="G414" s="9"/>
      <c r="H414" s="9"/>
      <c r="I414" s="9"/>
      <c r="J414" s="21" t="s">
        <v>376</v>
      </c>
      <c r="K414" s="22">
        <f>J413</f>
        <v>1</v>
      </c>
      <c r="L414" s="23">
        <v>0</v>
      </c>
      <c r="M414" s="24">
        <f>ROUND(K414*L414,2)</f>
        <v>0</v>
      </c>
    </row>
    <row r="415" spans="1:13" ht="0.95" customHeight="1">
      <c r="A415" s="25"/>
      <c r="B415" s="25"/>
      <c r="C415" s="25"/>
      <c r="D415" s="31"/>
      <c r="E415" s="25"/>
      <c r="F415" s="25"/>
      <c r="G415" s="25"/>
      <c r="H415" s="25"/>
      <c r="I415" s="25"/>
      <c r="J415" s="25"/>
      <c r="K415" s="25"/>
      <c r="L415" s="25"/>
      <c r="M415" s="25"/>
    </row>
    <row r="416" spans="1:13" ht="22.5">
      <c r="A416" s="15" t="s">
        <v>377</v>
      </c>
      <c r="B416" s="10" t="s">
        <v>23</v>
      </c>
      <c r="C416" s="10" t="s">
        <v>4</v>
      </c>
      <c r="D416" s="18" t="s">
        <v>378</v>
      </c>
      <c r="E416" s="9"/>
      <c r="F416" s="9"/>
      <c r="G416" s="9"/>
      <c r="H416" s="9"/>
      <c r="I416" s="9"/>
      <c r="J416" s="9"/>
      <c r="K416" s="16">
        <f>K419</f>
        <v>1</v>
      </c>
      <c r="L416" s="17">
        <f>L419</f>
        <v>0</v>
      </c>
      <c r="M416" s="17">
        <f>M419</f>
        <v>0</v>
      </c>
    </row>
    <row r="417" spans="1:13">
      <c r="A417" s="9"/>
      <c r="B417" s="9"/>
      <c r="C417" s="9"/>
      <c r="D417" s="18" t="s">
        <v>379</v>
      </c>
      <c r="E417" s="9"/>
      <c r="F417" s="9"/>
      <c r="G417" s="9"/>
      <c r="H417" s="9"/>
      <c r="I417" s="9"/>
      <c r="J417" s="9"/>
      <c r="K417" s="9"/>
      <c r="L417" s="9"/>
      <c r="M417" s="9"/>
    </row>
    <row r="418" spans="1:13">
      <c r="A418" s="9"/>
      <c r="B418" s="9"/>
      <c r="C418" s="10" t="s">
        <v>27</v>
      </c>
      <c r="D418" s="30"/>
      <c r="E418" s="10" t="s">
        <v>380</v>
      </c>
      <c r="F418" s="19">
        <v>1</v>
      </c>
      <c r="G418" s="20">
        <v>0</v>
      </c>
      <c r="H418" s="20">
        <v>0</v>
      </c>
      <c r="I418" s="20">
        <v>0</v>
      </c>
      <c r="J418" s="16">
        <f>OR(F418&lt;&gt;0,G418&lt;&gt;0,H418&lt;&gt;0,I418&lt;&gt;0)*(F418 + (F418 = 0))*(G418 + (G418 = 0))*(H418 + (H418 = 0))*(I418 + (I418 = 0))</f>
        <v>1</v>
      </c>
      <c r="K418" s="9"/>
      <c r="L418" s="9"/>
      <c r="M418" s="9"/>
    </row>
    <row r="419" spans="1:13">
      <c r="A419" s="9"/>
      <c r="B419" s="9"/>
      <c r="C419" s="9"/>
      <c r="D419" s="30"/>
      <c r="E419" s="9"/>
      <c r="F419" s="9"/>
      <c r="G419" s="9"/>
      <c r="H419" s="9"/>
      <c r="I419" s="9"/>
      <c r="J419" s="21" t="s">
        <v>381</v>
      </c>
      <c r="K419" s="22">
        <f>J418</f>
        <v>1</v>
      </c>
      <c r="L419" s="23">
        <v>0</v>
      </c>
      <c r="M419" s="24">
        <f>ROUND(K419*L419,2)</f>
        <v>0</v>
      </c>
    </row>
    <row r="420" spans="1:13" ht="0.95" customHeight="1">
      <c r="A420" s="25"/>
      <c r="B420" s="25"/>
      <c r="C420" s="25"/>
      <c r="D420" s="31"/>
      <c r="E420" s="25"/>
      <c r="F420" s="25"/>
      <c r="G420" s="25"/>
      <c r="H420" s="25"/>
      <c r="I420" s="25"/>
      <c r="J420" s="25"/>
      <c r="K420" s="25"/>
      <c r="L420" s="25"/>
      <c r="M420" s="25"/>
    </row>
    <row r="421" spans="1:13" ht="22.5">
      <c r="A421" s="15" t="s">
        <v>382</v>
      </c>
      <c r="B421" s="10" t="s">
        <v>23</v>
      </c>
      <c r="C421" s="10" t="s">
        <v>4</v>
      </c>
      <c r="D421" s="18" t="s">
        <v>383</v>
      </c>
      <c r="E421" s="9"/>
      <c r="F421" s="9"/>
      <c r="G421" s="9"/>
      <c r="H421" s="9"/>
      <c r="I421" s="9"/>
      <c r="J421" s="9"/>
      <c r="K421" s="16">
        <f>K424</f>
        <v>2</v>
      </c>
      <c r="L421" s="17">
        <f>L424</f>
        <v>0</v>
      </c>
      <c r="M421" s="17">
        <f>M424</f>
        <v>0</v>
      </c>
    </row>
    <row r="422" spans="1:13">
      <c r="A422" s="9"/>
      <c r="B422" s="9"/>
      <c r="C422" s="9"/>
      <c r="D422" s="18" t="s">
        <v>384</v>
      </c>
      <c r="E422" s="9"/>
      <c r="F422" s="9"/>
      <c r="G422" s="9"/>
      <c r="H422" s="9"/>
      <c r="I422" s="9"/>
      <c r="J422" s="9"/>
      <c r="K422" s="9"/>
      <c r="L422" s="9"/>
      <c r="M422" s="9"/>
    </row>
    <row r="423" spans="1:13">
      <c r="A423" s="9"/>
      <c r="B423" s="9"/>
      <c r="C423" s="10" t="s">
        <v>27</v>
      </c>
      <c r="D423" s="30"/>
      <c r="E423" s="10" t="s">
        <v>385</v>
      </c>
      <c r="F423" s="19">
        <v>2</v>
      </c>
      <c r="G423" s="20">
        <v>0</v>
      </c>
      <c r="H423" s="20">
        <v>0</v>
      </c>
      <c r="I423" s="20">
        <v>0</v>
      </c>
      <c r="J423" s="16">
        <f>OR(F423&lt;&gt;0,G423&lt;&gt;0,H423&lt;&gt;0,I423&lt;&gt;0)*(F423 + (F423 = 0))*(G423 + (G423 = 0))*(H423 + (H423 = 0))*(I423 + (I423 = 0))</f>
        <v>2</v>
      </c>
      <c r="K423" s="9"/>
      <c r="L423" s="9"/>
      <c r="M423" s="9"/>
    </row>
    <row r="424" spans="1:13">
      <c r="A424" s="9"/>
      <c r="B424" s="9"/>
      <c r="C424" s="9"/>
      <c r="D424" s="30"/>
      <c r="E424" s="9"/>
      <c r="F424" s="9"/>
      <c r="G424" s="9"/>
      <c r="H424" s="9"/>
      <c r="I424" s="9"/>
      <c r="J424" s="21" t="s">
        <v>386</v>
      </c>
      <c r="K424" s="22">
        <f>J423</f>
        <v>2</v>
      </c>
      <c r="L424" s="23">
        <v>0</v>
      </c>
      <c r="M424" s="24">
        <f>ROUND(K424*L424,2)</f>
        <v>0</v>
      </c>
    </row>
    <row r="425" spans="1:13" ht="0.95" customHeight="1">
      <c r="A425" s="25"/>
      <c r="B425" s="25"/>
      <c r="C425" s="25"/>
      <c r="D425" s="31"/>
      <c r="E425" s="25"/>
      <c r="F425" s="25"/>
      <c r="G425" s="25"/>
      <c r="H425" s="25"/>
      <c r="I425" s="25"/>
      <c r="J425" s="25"/>
      <c r="K425" s="25"/>
      <c r="L425" s="25"/>
      <c r="M425" s="25"/>
    </row>
    <row r="426" spans="1:13" ht="22.5">
      <c r="A426" s="15" t="s">
        <v>387</v>
      </c>
      <c r="B426" s="10" t="s">
        <v>23</v>
      </c>
      <c r="C426" s="10" t="s">
        <v>4</v>
      </c>
      <c r="D426" s="18" t="s">
        <v>388</v>
      </c>
      <c r="E426" s="9"/>
      <c r="F426" s="9"/>
      <c r="G426" s="9"/>
      <c r="H426" s="9"/>
      <c r="I426" s="9"/>
      <c r="J426" s="9"/>
      <c r="K426" s="16">
        <f>K429</f>
        <v>1</v>
      </c>
      <c r="L426" s="17">
        <f>L429</f>
        <v>0</v>
      </c>
      <c r="M426" s="17">
        <f>M429</f>
        <v>0</v>
      </c>
    </row>
    <row r="427" spans="1:13">
      <c r="A427" s="9"/>
      <c r="B427" s="9"/>
      <c r="C427" s="9"/>
      <c r="D427" s="18" t="s">
        <v>389</v>
      </c>
      <c r="E427" s="9"/>
      <c r="F427" s="9"/>
      <c r="G427" s="9"/>
      <c r="H427" s="9"/>
      <c r="I427" s="9"/>
      <c r="J427" s="9"/>
      <c r="K427" s="9"/>
      <c r="L427" s="9"/>
      <c r="M427" s="9"/>
    </row>
    <row r="428" spans="1:13">
      <c r="A428" s="9"/>
      <c r="B428" s="9"/>
      <c r="C428" s="10" t="s">
        <v>27</v>
      </c>
      <c r="D428" s="30"/>
      <c r="E428" s="10" t="s">
        <v>390</v>
      </c>
      <c r="F428" s="19">
        <v>1</v>
      </c>
      <c r="G428" s="20">
        <v>0</v>
      </c>
      <c r="H428" s="20">
        <v>0</v>
      </c>
      <c r="I428" s="20">
        <v>0</v>
      </c>
      <c r="J428" s="16">
        <f>OR(F428&lt;&gt;0,G428&lt;&gt;0,H428&lt;&gt;0,I428&lt;&gt;0)*(F428 + (F428 = 0))*(G428 + (G428 = 0))*(H428 + (H428 = 0))*(I428 + (I428 = 0))</f>
        <v>1</v>
      </c>
      <c r="K428" s="9"/>
      <c r="L428" s="9"/>
      <c r="M428" s="9"/>
    </row>
    <row r="429" spans="1:13">
      <c r="A429" s="9"/>
      <c r="B429" s="9"/>
      <c r="C429" s="9"/>
      <c r="D429" s="30"/>
      <c r="E429" s="9"/>
      <c r="F429" s="9"/>
      <c r="G429" s="9"/>
      <c r="H429" s="9"/>
      <c r="I429" s="9"/>
      <c r="J429" s="21" t="s">
        <v>391</v>
      </c>
      <c r="K429" s="22">
        <f>J428</f>
        <v>1</v>
      </c>
      <c r="L429" s="23">
        <v>0</v>
      </c>
      <c r="M429" s="24">
        <f>ROUND(K429*L429,2)</f>
        <v>0</v>
      </c>
    </row>
    <row r="430" spans="1:13" ht="0.95" customHeight="1">
      <c r="A430" s="25"/>
      <c r="B430" s="25"/>
      <c r="C430" s="25"/>
      <c r="D430" s="31"/>
      <c r="E430" s="25"/>
      <c r="F430" s="25"/>
      <c r="G430" s="25"/>
      <c r="H430" s="25"/>
      <c r="I430" s="25"/>
      <c r="J430" s="25"/>
      <c r="K430" s="25"/>
      <c r="L430" s="25"/>
      <c r="M430" s="25"/>
    </row>
    <row r="431" spans="1:13" ht="22.5">
      <c r="A431" s="15" t="s">
        <v>392</v>
      </c>
      <c r="B431" s="10" t="s">
        <v>23</v>
      </c>
      <c r="C431" s="10" t="s">
        <v>4</v>
      </c>
      <c r="D431" s="18" t="s">
        <v>393</v>
      </c>
      <c r="E431" s="9"/>
      <c r="F431" s="9"/>
      <c r="G431" s="9"/>
      <c r="H431" s="9"/>
      <c r="I431" s="9"/>
      <c r="J431" s="9"/>
      <c r="K431" s="16">
        <f>K434</f>
        <v>1</v>
      </c>
      <c r="L431" s="17">
        <f>L434</f>
        <v>0</v>
      </c>
      <c r="M431" s="17">
        <f>M434</f>
        <v>0</v>
      </c>
    </row>
    <row r="432" spans="1:13">
      <c r="A432" s="9"/>
      <c r="B432" s="9"/>
      <c r="C432" s="9"/>
      <c r="D432" s="18" t="s">
        <v>394</v>
      </c>
      <c r="E432" s="9"/>
      <c r="F432" s="9"/>
      <c r="G432" s="9"/>
      <c r="H432" s="9"/>
      <c r="I432" s="9"/>
      <c r="J432" s="9"/>
      <c r="K432" s="9"/>
      <c r="L432" s="9"/>
      <c r="M432" s="9"/>
    </row>
    <row r="433" spans="1:13">
      <c r="A433" s="9"/>
      <c r="B433" s="9"/>
      <c r="C433" s="10" t="s">
        <v>27</v>
      </c>
      <c r="D433" s="30"/>
      <c r="E433" s="10" t="s">
        <v>395</v>
      </c>
      <c r="F433" s="19">
        <v>1</v>
      </c>
      <c r="G433" s="20">
        <v>0</v>
      </c>
      <c r="H433" s="20">
        <v>0</v>
      </c>
      <c r="I433" s="20">
        <v>0</v>
      </c>
      <c r="J433" s="16">
        <f>OR(F433&lt;&gt;0,G433&lt;&gt;0,H433&lt;&gt;0,I433&lt;&gt;0)*(F433 + (F433 = 0))*(G433 + (G433 = 0))*(H433 + (H433 = 0))*(I433 + (I433 = 0))</f>
        <v>1</v>
      </c>
      <c r="K433" s="9"/>
      <c r="L433" s="9"/>
      <c r="M433" s="9"/>
    </row>
    <row r="434" spans="1:13">
      <c r="A434" s="9"/>
      <c r="B434" s="9"/>
      <c r="C434" s="9"/>
      <c r="D434" s="30"/>
      <c r="E434" s="9"/>
      <c r="F434" s="9"/>
      <c r="G434" s="9"/>
      <c r="H434" s="9"/>
      <c r="I434" s="9"/>
      <c r="J434" s="21" t="s">
        <v>396</v>
      </c>
      <c r="K434" s="22">
        <f>J433</f>
        <v>1</v>
      </c>
      <c r="L434" s="23">
        <v>0</v>
      </c>
      <c r="M434" s="24">
        <f>ROUND(K434*L434,2)</f>
        <v>0</v>
      </c>
    </row>
    <row r="435" spans="1:13" ht="0.95" customHeight="1">
      <c r="A435" s="25"/>
      <c r="B435" s="25"/>
      <c r="C435" s="25"/>
      <c r="D435" s="31"/>
      <c r="E435" s="25"/>
      <c r="F435" s="25"/>
      <c r="G435" s="25"/>
      <c r="H435" s="25"/>
      <c r="I435" s="25"/>
      <c r="J435" s="25"/>
      <c r="K435" s="25"/>
      <c r="L435" s="25"/>
      <c r="M435" s="25"/>
    </row>
    <row r="436" spans="1:13" ht="22.5">
      <c r="A436" s="15" t="s">
        <v>397</v>
      </c>
      <c r="B436" s="10" t="s">
        <v>23</v>
      </c>
      <c r="C436" s="10" t="s">
        <v>4</v>
      </c>
      <c r="D436" s="18" t="s">
        <v>398</v>
      </c>
      <c r="E436" s="9"/>
      <c r="F436" s="9"/>
      <c r="G436" s="9"/>
      <c r="H436" s="9"/>
      <c r="I436" s="9"/>
      <c r="J436" s="9"/>
      <c r="K436" s="16">
        <f>K439</f>
        <v>1</v>
      </c>
      <c r="L436" s="17">
        <f>L439</f>
        <v>0</v>
      </c>
      <c r="M436" s="17">
        <f>M439</f>
        <v>0</v>
      </c>
    </row>
    <row r="437" spans="1:13">
      <c r="A437" s="9"/>
      <c r="B437" s="9"/>
      <c r="C437" s="9"/>
      <c r="D437" s="18" t="s">
        <v>399</v>
      </c>
      <c r="E437" s="9"/>
      <c r="F437" s="9"/>
      <c r="G437" s="9"/>
      <c r="H437" s="9"/>
      <c r="I437" s="9"/>
      <c r="J437" s="9"/>
      <c r="K437" s="9"/>
      <c r="L437" s="9"/>
      <c r="M437" s="9"/>
    </row>
    <row r="438" spans="1:13">
      <c r="A438" s="9"/>
      <c r="B438" s="9"/>
      <c r="C438" s="10" t="s">
        <v>27</v>
      </c>
      <c r="D438" s="30"/>
      <c r="E438" s="10" t="s">
        <v>400</v>
      </c>
      <c r="F438" s="19">
        <v>1</v>
      </c>
      <c r="G438" s="20">
        <v>0</v>
      </c>
      <c r="H438" s="20">
        <v>0</v>
      </c>
      <c r="I438" s="20">
        <v>0</v>
      </c>
      <c r="J438" s="16">
        <f>OR(F438&lt;&gt;0,G438&lt;&gt;0,H438&lt;&gt;0,I438&lt;&gt;0)*(F438 + (F438 = 0))*(G438 + (G438 = 0))*(H438 + (H438 = 0))*(I438 + (I438 = 0))</f>
        <v>1</v>
      </c>
      <c r="K438" s="9"/>
      <c r="L438" s="9"/>
      <c r="M438" s="9"/>
    </row>
    <row r="439" spans="1:13">
      <c r="A439" s="9"/>
      <c r="B439" s="9"/>
      <c r="C439" s="9"/>
      <c r="D439" s="30"/>
      <c r="E439" s="9"/>
      <c r="F439" s="9"/>
      <c r="G439" s="9"/>
      <c r="H439" s="9"/>
      <c r="I439" s="9"/>
      <c r="J439" s="21" t="s">
        <v>401</v>
      </c>
      <c r="K439" s="22">
        <f>J438</f>
        <v>1</v>
      </c>
      <c r="L439" s="23">
        <v>0</v>
      </c>
      <c r="M439" s="24">
        <f>ROUND(K439*L439,2)</f>
        <v>0</v>
      </c>
    </row>
    <row r="440" spans="1:13" ht="0.95" customHeight="1">
      <c r="A440" s="25"/>
      <c r="B440" s="25"/>
      <c r="C440" s="25"/>
      <c r="D440" s="31"/>
      <c r="E440" s="25"/>
      <c r="F440" s="25"/>
      <c r="G440" s="25"/>
      <c r="H440" s="25"/>
      <c r="I440" s="25"/>
      <c r="J440" s="25"/>
      <c r="K440" s="25"/>
      <c r="L440" s="25"/>
      <c r="M440" s="25"/>
    </row>
    <row r="441" spans="1:13" ht="22.5">
      <c r="A441" s="15" t="s">
        <v>402</v>
      </c>
      <c r="B441" s="10" t="s">
        <v>23</v>
      </c>
      <c r="C441" s="10" t="s">
        <v>4</v>
      </c>
      <c r="D441" s="18" t="s">
        <v>403</v>
      </c>
      <c r="E441" s="9"/>
      <c r="F441" s="9"/>
      <c r="G441" s="9"/>
      <c r="H441" s="9"/>
      <c r="I441" s="9"/>
      <c r="J441" s="9"/>
      <c r="K441" s="16">
        <f>K444</f>
        <v>1</v>
      </c>
      <c r="L441" s="17">
        <f>L444</f>
        <v>0</v>
      </c>
      <c r="M441" s="17">
        <f>M444</f>
        <v>0</v>
      </c>
    </row>
    <row r="442" spans="1:13">
      <c r="A442" s="9"/>
      <c r="B442" s="9"/>
      <c r="C442" s="9"/>
      <c r="D442" s="18" t="s">
        <v>404</v>
      </c>
      <c r="E442" s="9"/>
      <c r="F442" s="9"/>
      <c r="G442" s="9"/>
      <c r="H442" s="9"/>
      <c r="I442" s="9"/>
      <c r="J442" s="9"/>
      <c r="K442" s="9"/>
      <c r="L442" s="9"/>
      <c r="M442" s="9"/>
    </row>
    <row r="443" spans="1:13">
      <c r="A443" s="9"/>
      <c r="B443" s="9"/>
      <c r="C443" s="10" t="s">
        <v>27</v>
      </c>
      <c r="D443" s="30"/>
      <c r="E443" s="10" t="s">
        <v>405</v>
      </c>
      <c r="F443" s="19">
        <v>1</v>
      </c>
      <c r="G443" s="20">
        <v>0</v>
      </c>
      <c r="H443" s="20">
        <v>0</v>
      </c>
      <c r="I443" s="20">
        <v>0</v>
      </c>
      <c r="J443" s="16">
        <f>OR(F443&lt;&gt;0,G443&lt;&gt;0,H443&lt;&gt;0,I443&lt;&gt;0)*(F443 + (F443 = 0))*(G443 + (G443 = 0))*(H443 + (H443 = 0))*(I443 + (I443 = 0))</f>
        <v>1</v>
      </c>
      <c r="K443" s="9"/>
      <c r="L443" s="9"/>
      <c r="M443" s="9"/>
    </row>
    <row r="444" spans="1:13">
      <c r="A444" s="9"/>
      <c r="B444" s="9"/>
      <c r="C444" s="9"/>
      <c r="D444" s="30"/>
      <c r="E444" s="9"/>
      <c r="F444" s="9"/>
      <c r="G444" s="9"/>
      <c r="H444" s="9"/>
      <c r="I444" s="9"/>
      <c r="J444" s="21" t="s">
        <v>406</v>
      </c>
      <c r="K444" s="22">
        <f>J443</f>
        <v>1</v>
      </c>
      <c r="L444" s="23">
        <v>0</v>
      </c>
      <c r="M444" s="24">
        <f>ROUND(K444*L444,2)</f>
        <v>0</v>
      </c>
    </row>
    <row r="445" spans="1:13" ht="0.95" customHeight="1">
      <c r="A445" s="25"/>
      <c r="B445" s="25"/>
      <c r="C445" s="25"/>
      <c r="D445" s="31"/>
      <c r="E445" s="25"/>
      <c r="F445" s="25"/>
      <c r="G445" s="25"/>
      <c r="H445" s="25"/>
      <c r="I445" s="25"/>
      <c r="J445" s="25"/>
      <c r="K445" s="25"/>
      <c r="L445" s="25"/>
      <c r="M445" s="25"/>
    </row>
    <row r="446" spans="1:13" ht="22.5">
      <c r="A446" s="15" t="s">
        <v>407</v>
      </c>
      <c r="B446" s="10" t="s">
        <v>23</v>
      </c>
      <c r="C446" s="10" t="s">
        <v>4</v>
      </c>
      <c r="D446" s="18" t="s">
        <v>408</v>
      </c>
      <c r="E446" s="9"/>
      <c r="F446" s="9"/>
      <c r="G446" s="9"/>
      <c r="H446" s="9"/>
      <c r="I446" s="9"/>
      <c r="J446" s="9"/>
      <c r="K446" s="16">
        <f>K449</f>
        <v>1</v>
      </c>
      <c r="L446" s="17">
        <f>L449</f>
        <v>0</v>
      </c>
      <c r="M446" s="17">
        <f>M449</f>
        <v>0</v>
      </c>
    </row>
    <row r="447" spans="1:13">
      <c r="A447" s="9"/>
      <c r="B447" s="9"/>
      <c r="C447" s="9"/>
      <c r="D447" s="18" t="s">
        <v>409</v>
      </c>
      <c r="E447" s="9"/>
      <c r="F447" s="9"/>
      <c r="G447" s="9"/>
      <c r="H447" s="9"/>
      <c r="I447" s="9"/>
      <c r="J447" s="9"/>
      <c r="K447" s="9"/>
      <c r="L447" s="9"/>
      <c r="M447" s="9"/>
    </row>
    <row r="448" spans="1:13">
      <c r="A448" s="9"/>
      <c r="B448" s="9"/>
      <c r="C448" s="10" t="s">
        <v>27</v>
      </c>
      <c r="D448" s="30"/>
      <c r="E448" s="10" t="s">
        <v>410</v>
      </c>
      <c r="F448" s="19">
        <v>1</v>
      </c>
      <c r="G448" s="20">
        <v>0</v>
      </c>
      <c r="H448" s="20">
        <v>0</v>
      </c>
      <c r="I448" s="20">
        <v>0</v>
      </c>
      <c r="J448" s="16">
        <f>OR(F448&lt;&gt;0,G448&lt;&gt;0,H448&lt;&gt;0,I448&lt;&gt;0)*(F448 + (F448 = 0))*(G448 + (G448 = 0))*(H448 + (H448 = 0))*(I448 + (I448 = 0))</f>
        <v>1</v>
      </c>
      <c r="K448" s="9"/>
      <c r="L448" s="9"/>
      <c r="M448" s="9"/>
    </row>
    <row r="449" spans="1:13">
      <c r="A449" s="9"/>
      <c r="B449" s="9"/>
      <c r="C449" s="9"/>
      <c r="D449" s="30"/>
      <c r="E449" s="9"/>
      <c r="F449" s="9"/>
      <c r="G449" s="9"/>
      <c r="H449" s="9"/>
      <c r="I449" s="9"/>
      <c r="J449" s="21" t="s">
        <v>411</v>
      </c>
      <c r="K449" s="22">
        <f>J448</f>
        <v>1</v>
      </c>
      <c r="L449" s="23">
        <v>0</v>
      </c>
      <c r="M449" s="24">
        <f>ROUND(K449*L449,2)</f>
        <v>0</v>
      </c>
    </row>
    <row r="450" spans="1:13" ht="0.95" customHeight="1">
      <c r="A450" s="25"/>
      <c r="B450" s="25"/>
      <c r="C450" s="25"/>
      <c r="D450" s="31"/>
      <c r="E450" s="25"/>
      <c r="F450" s="25"/>
      <c r="G450" s="25"/>
      <c r="H450" s="25"/>
      <c r="I450" s="25"/>
      <c r="J450" s="25"/>
      <c r="K450" s="25"/>
      <c r="L450" s="25"/>
      <c r="M450" s="25"/>
    </row>
    <row r="451" spans="1:13" ht="22.5">
      <c r="A451" s="15" t="s">
        <v>412</v>
      </c>
      <c r="B451" s="10" t="s">
        <v>23</v>
      </c>
      <c r="C451" s="10" t="s">
        <v>4</v>
      </c>
      <c r="D451" s="18" t="s">
        <v>413</v>
      </c>
      <c r="E451" s="9"/>
      <c r="F451" s="9"/>
      <c r="G451" s="9"/>
      <c r="H451" s="9"/>
      <c r="I451" s="9"/>
      <c r="J451" s="9"/>
      <c r="K451" s="16">
        <f>K454</f>
        <v>1</v>
      </c>
      <c r="L451" s="17">
        <f>L454</f>
        <v>0</v>
      </c>
      <c r="M451" s="17">
        <f>M454</f>
        <v>0</v>
      </c>
    </row>
    <row r="452" spans="1:13">
      <c r="A452" s="9"/>
      <c r="B452" s="9"/>
      <c r="C452" s="9"/>
      <c r="D452" s="18" t="s">
        <v>414</v>
      </c>
      <c r="E452" s="9"/>
      <c r="F452" s="9"/>
      <c r="G452" s="9"/>
      <c r="H452" s="9"/>
      <c r="I452" s="9"/>
      <c r="J452" s="9"/>
      <c r="K452" s="9"/>
      <c r="L452" s="9"/>
      <c r="M452" s="9"/>
    </row>
    <row r="453" spans="1:13">
      <c r="A453" s="9"/>
      <c r="B453" s="9"/>
      <c r="C453" s="10" t="s">
        <v>27</v>
      </c>
      <c r="D453" s="30"/>
      <c r="E453" s="10" t="s">
        <v>415</v>
      </c>
      <c r="F453" s="19">
        <v>1</v>
      </c>
      <c r="G453" s="20">
        <v>0</v>
      </c>
      <c r="H453" s="20">
        <v>0</v>
      </c>
      <c r="I453" s="20">
        <v>0</v>
      </c>
      <c r="J453" s="16">
        <f>OR(F453&lt;&gt;0,G453&lt;&gt;0,H453&lt;&gt;0,I453&lt;&gt;0)*(F453 + (F453 = 0))*(G453 + (G453 = 0))*(H453 + (H453 = 0))*(I453 + (I453 = 0))</f>
        <v>1</v>
      </c>
      <c r="K453" s="9"/>
      <c r="L453" s="9"/>
      <c r="M453" s="9"/>
    </row>
    <row r="454" spans="1:13">
      <c r="A454" s="9"/>
      <c r="B454" s="9"/>
      <c r="C454" s="9"/>
      <c r="D454" s="30"/>
      <c r="E454" s="9"/>
      <c r="F454" s="9"/>
      <c r="G454" s="9"/>
      <c r="H454" s="9"/>
      <c r="I454" s="9"/>
      <c r="J454" s="21" t="s">
        <v>416</v>
      </c>
      <c r="K454" s="22">
        <f>J453</f>
        <v>1</v>
      </c>
      <c r="L454" s="23">
        <v>0</v>
      </c>
      <c r="M454" s="24">
        <f>ROUND(K454*L454,2)</f>
        <v>0</v>
      </c>
    </row>
    <row r="455" spans="1:13" ht="0.95" customHeight="1">
      <c r="A455" s="25"/>
      <c r="B455" s="25"/>
      <c r="C455" s="25"/>
      <c r="D455" s="31"/>
      <c r="E455" s="25"/>
      <c r="F455" s="25"/>
      <c r="G455" s="25"/>
      <c r="H455" s="25"/>
      <c r="I455" s="25"/>
      <c r="J455" s="25"/>
      <c r="K455" s="25"/>
      <c r="L455" s="25"/>
      <c r="M455" s="25"/>
    </row>
    <row r="456" spans="1:13" ht="22.5">
      <c r="A456" s="15" t="s">
        <v>417</v>
      </c>
      <c r="B456" s="10" t="s">
        <v>23</v>
      </c>
      <c r="C456" s="10" t="s">
        <v>4</v>
      </c>
      <c r="D456" s="18" t="s">
        <v>418</v>
      </c>
      <c r="E456" s="9"/>
      <c r="F456" s="9"/>
      <c r="G456" s="9"/>
      <c r="H456" s="9"/>
      <c r="I456" s="9"/>
      <c r="J456" s="9"/>
      <c r="K456" s="16">
        <f>K459</f>
        <v>1</v>
      </c>
      <c r="L456" s="17">
        <f>L459</f>
        <v>0</v>
      </c>
      <c r="M456" s="17">
        <f>M459</f>
        <v>0</v>
      </c>
    </row>
    <row r="457" spans="1:13">
      <c r="A457" s="9"/>
      <c r="B457" s="9"/>
      <c r="C457" s="9"/>
      <c r="D457" s="18" t="s">
        <v>419</v>
      </c>
      <c r="E457" s="9"/>
      <c r="F457" s="9"/>
      <c r="G457" s="9"/>
      <c r="H457" s="9"/>
      <c r="I457" s="9"/>
      <c r="J457" s="9"/>
      <c r="K457" s="9"/>
      <c r="L457" s="9"/>
      <c r="M457" s="9"/>
    </row>
    <row r="458" spans="1:13">
      <c r="A458" s="9"/>
      <c r="B458" s="9"/>
      <c r="C458" s="10" t="s">
        <v>27</v>
      </c>
      <c r="D458" s="30"/>
      <c r="E458" s="10" t="s">
        <v>420</v>
      </c>
      <c r="F458" s="19">
        <v>1</v>
      </c>
      <c r="G458" s="20">
        <v>0</v>
      </c>
      <c r="H458" s="20">
        <v>0</v>
      </c>
      <c r="I458" s="20">
        <v>0</v>
      </c>
      <c r="J458" s="16">
        <f>OR(F458&lt;&gt;0,G458&lt;&gt;0,H458&lt;&gt;0,I458&lt;&gt;0)*(F458 + (F458 = 0))*(G458 + (G458 = 0))*(H458 + (H458 = 0))*(I458 + (I458 = 0))</f>
        <v>1</v>
      </c>
      <c r="K458" s="9"/>
      <c r="L458" s="9"/>
      <c r="M458" s="9"/>
    </row>
    <row r="459" spans="1:13">
      <c r="A459" s="9"/>
      <c r="B459" s="9"/>
      <c r="C459" s="9"/>
      <c r="D459" s="30"/>
      <c r="E459" s="9"/>
      <c r="F459" s="9"/>
      <c r="G459" s="9"/>
      <c r="H459" s="9"/>
      <c r="I459" s="9"/>
      <c r="J459" s="21" t="s">
        <v>421</v>
      </c>
      <c r="K459" s="22">
        <f>J458</f>
        <v>1</v>
      </c>
      <c r="L459" s="23">
        <v>0</v>
      </c>
      <c r="M459" s="24">
        <f>ROUND(K459*L459,2)</f>
        <v>0</v>
      </c>
    </row>
    <row r="460" spans="1:13" ht="0.95" customHeight="1">
      <c r="A460" s="25"/>
      <c r="B460" s="25"/>
      <c r="C460" s="25"/>
      <c r="D460" s="31"/>
      <c r="E460" s="25"/>
      <c r="F460" s="25"/>
      <c r="G460" s="25"/>
      <c r="H460" s="25"/>
      <c r="I460" s="25"/>
      <c r="J460" s="25"/>
      <c r="K460" s="25"/>
      <c r="L460" s="25"/>
      <c r="M460" s="25"/>
    </row>
    <row r="461" spans="1:13" ht="22.5">
      <c r="A461" s="15" t="s">
        <v>422</v>
      </c>
      <c r="B461" s="10" t="s">
        <v>23</v>
      </c>
      <c r="C461" s="10" t="s">
        <v>4</v>
      </c>
      <c r="D461" s="18" t="s">
        <v>423</v>
      </c>
      <c r="E461" s="9"/>
      <c r="F461" s="9"/>
      <c r="G461" s="9"/>
      <c r="H461" s="9"/>
      <c r="I461" s="9"/>
      <c r="J461" s="9"/>
      <c r="K461" s="16">
        <f>K464</f>
        <v>1</v>
      </c>
      <c r="L461" s="17">
        <f>L464</f>
        <v>0</v>
      </c>
      <c r="M461" s="17">
        <f>M464</f>
        <v>0</v>
      </c>
    </row>
    <row r="462" spans="1:13">
      <c r="A462" s="9"/>
      <c r="B462" s="9"/>
      <c r="C462" s="9"/>
      <c r="D462" s="18" t="s">
        <v>424</v>
      </c>
      <c r="E462" s="9"/>
      <c r="F462" s="9"/>
      <c r="G462" s="9"/>
      <c r="H462" s="9"/>
      <c r="I462" s="9"/>
      <c r="J462" s="9"/>
      <c r="K462" s="9"/>
      <c r="L462" s="9"/>
      <c r="M462" s="9"/>
    </row>
    <row r="463" spans="1:13">
      <c r="A463" s="9"/>
      <c r="B463" s="9"/>
      <c r="C463" s="10" t="s">
        <v>27</v>
      </c>
      <c r="D463" s="30"/>
      <c r="E463" s="10" t="s">
        <v>425</v>
      </c>
      <c r="F463" s="19">
        <v>1</v>
      </c>
      <c r="G463" s="20">
        <v>0</v>
      </c>
      <c r="H463" s="20">
        <v>0</v>
      </c>
      <c r="I463" s="20">
        <v>0</v>
      </c>
      <c r="J463" s="16">
        <f>OR(F463&lt;&gt;0,G463&lt;&gt;0,H463&lt;&gt;0,I463&lt;&gt;0)*(F463 + (F463 = 0))*(G463 + (G463 = 0))*(H463 + (H463 = 0))*(I463 + (I463 = 0))</f>
        <v>1</v>
      </c>
      <c r="K463" s="9"/>
      <c r="L463" s="9"/>
      <c r="M463" s="9"/>
    </row>
    <row r="464" spans="1:13">
      <c r="A464" s="9"/>
      <c r="B464" s="9"/>
      <c r="C464" s="9"/>
      <c r="D464" s="30"/>
      <c r="E464" s="9"/>
      <c r="F464" s="9"/>
      <c r="G464" s="9"/>
      <c r="H464" s="9"/>
      <c r="I464" s="9"/>
      <c r="J464" s="21" t="s">
        <v>426</v>
      </c>
      <c r="K464" s="22">
        <f>J463</f>
        <v>1</v>
      </c>
      <c r="L464" s="23">
        <v>0</v>
      </c>
      <c r="M464" s="24">
        <f>ROUND(K464*L464,2)</f>
        <v>0</v>
      </c>
    </row>
    <row r="465" spans="1:13" ht="0.95" customHeight="1">
      <c r="A465" s="25"/>
      <c r="B465" s="25"/>
      <c r="C465" s="25"/>
      <c r="D465" s="31"/>
      <c r="E465" s="25"/>
      <c r="F465" s="25"/>
      <c r="G465" s="25"/>
      <c r="H465" s="25"/>
      <c r="I465" s="25"/>
      <c r="J465" s="25"/>
      <c r="K465" s="25"/>
      <c r="L465" s="25"/>
      <c r="M465" s="25"/>
    </row>
    <row r="466" spans="1:13" ht="22.5">
      <c r="A466" s="15" t="s">
        <v>427</v>
      </c>
      <c r="B466" s="10" t="s">
        <v>23</v>
      </c>
      <c r="C466" s="10" t="s">
        <v>4</v>
      </c>
      <c r="D466" s="18" t="s">
        <v>428</v>
      </c>
      <c r="E466" s="9"/>
      <c r="F466" s="9"/>
      <c r="G466" s="9"/>
      <c r="H466" s="9"/>
      <c r="I466" s="9"/>
      <c r="J466" s="9"/>
      <c r="K466" s="16">
        <f>K469</f>
        <v>1</v>
      </c>
      <c r="L466" s="17">
        <f>L469</f>
        <v>0</v>
      </c>
      <c r="M466" s="17">
        <f>M469</f>
        <v>0</v>
      </c>
    </row>
    <row r="467" spans="1:13">
      <c r="A467" s="9"/>
      <c r="B467" s="9"/>
      <c r="C467" s="9"/>
      <c r="D467" s="18" t="s">
        <v>429</v>
      </c>
      <c r="E467" s="9"/>
      <c r="F467" s="9"/>
      <c r="G467" s="9"/>
      <c r="H467" s="9"/>
      <c r="I467" s="9"/>
      <c r="J467" s="9"/>
      <c r="K467" s="9"/>
      <c r="L467" s="9"/>
      <c r="M467" s="9"/>
    </row>
    <row r="468" spans="1:13">
      <c r="A468" s="9"/>
      <c r="B468" s="9"/>
      <c r="C468" s="10" t="s">
        <v>27</v>
      </c>
      <c r="D468" s="30"/>
      <c r="E468" s="10" t="s">
        <v>430</v>
      </c>
      <c r="F468" s="19">
        <v>1</v>
      </c>
      <c r="G468" s="20">
        <v>0</v>
      </c>
      <c r="H468" s="20">
        <v>0</v>
      </c>
      <c r="I468" s="20">
        <v>0</v>
      </c>
      <c r="J468" s="16">
        <f>OR(F468&lt;&gt;0,G468&lt;&gt;0,H468&lt;&gt;0,I468&lt;&gt;0)*(F468 + (F468 = 0))*(G468 + (G468 = 0))*(H468 + (H468 = 0))*(I468 + (I468 = 0))</f>
        <v>1</v>
      </c>
      <c r="K468" s="9"/>
      <c r="L468" s="9"/>
      <c r="M468" s="9"/>
    </row>
    <row r="469" spans="1:13">
      <c r="A469" s="9"/>
      <c r="B469" s="9"/>
      <c r="C469" s="9"/>
      <c r="D469" s="30"/>
      <c r="E469" s="9"/>
      <c r="F469" s="9"/>
      <c r="G469" s="9"/>
      <c r="H469" s="9"/>
      <c r="I469" s="9"/>
      <c r="J469" s="21" t="s">
        <v>431</v>
      </c>
      <c r="K469" s="22">
        <f>J468</f>
        <v>1</v>
      </c>
      <c r="L469" s="23">
        <v>0</v>
      </c>
      <c r="M469" s="24">
        <f>ROUND(K469*L469,2)</f>
        <v>0</v>
      </c>
    </row>
    <row r="470" spans="1:13" ht="0.95" customHeight="1">
      <c r="A470" s="25"/>
      <c r="B470" s="25"/>
      <c r="C470" s="25"/>
      <c r="D470" s="31"/>
      <c r="E470" s="25"/>
      <c r="F470" s="25"/>
      <c r="G470" s="25"/>
      <c r="H470" s="25"/>
      <c r="I470" s="25"/>
      <c r="J470" s="25"/>
      <c r="K470" s="25"/>
      <c r="L470" s="25"/>
      <c r="M470" s="25"/>
    </row>
    <row r="471" spans="1:13" ht="22.5">
      <c r="A471" s="15" t="s">
        <v>432</v>
      </c>
      <c r="B471" s="10" t="s">
        <v>23</v>
      </c>
      <c r="C471" s="10" t="s">
        <v>4</v>
      </c>
      <c r="D471" s="18" t="s">
        <v>433</v>
      </c>
      <c r="E471" s="9"/>
      <c r="F471" s="9"/>
      <c r="G471" s="9"/>
      <c r="H471" s="9"/>
      <c r="I471" s="9"/>
      <c r="J471" s="9"/>
      <c r="K471" s="16">
        <f>K474</f>
        <v>1</v>
      </c>
      <c r="L471" s="17">
        <f>L474</f>
        <v>0</v>
      </c>
      <c r="M471" s="17">
        <f>M474</f>
        <v>0</v>
      </c>
    </row>
    <row r="472" spans="1:13">
      <c r="A472" s="9"/>
      <c r="B472" s="9"/>
      <c r="C472" s="9"/>
      <c r="D472" s="18" t="s">
        <v>434</v>
      </c>
      <c r="E472" s="9"/>
      <c r="F472" s="9"/>
      <c r="G472" s="9"/>
      <c r="H472" s="9"/>
      <c r="I472" s="9"/>
      <c r="J472" s="9"/>
      <c r="K472" s="9"/>
      <c r="L472" s="9"/>
      <c r="M472" s="9"/>
    </row>
    <row r="473" spans="1:13">
      <c r="A473" s="9"/>
      <c r="B473" s="9"/>
      <c r="C473" s="10" t="s">
        <v>27</v>
      </c>
      <c r="D473" s="30"/>
      <c r="E473" s="10" t="s">
        <v>435</v>
      </c>
      <c r="F473" s="19">
        <v>1</v>
      </c>
      <c r="G473" s="20">
        <v>0</v>
      </c>
      <c r="H473" s="20">
        <v>0</v>
      </c>
      <c r="I473" s="20">
        <v>0</v>
      </c>
      <c r="J473" s="16">
        <f>OR(F473&lt;&gt;0,G473&lt;&gt;0,H473&lt;&gt;0,I473&lt;&gt;0)*(F473 + (F473 = 0))*(G473 + (G473 = 0))*(H473 + (H473 = 0))*(I473 + (I473 = 0))</f>
        <v>1</v>
      </c>
      <c r="K473" s="9"/>
      <c r="L473" s="9"/>
      <c r="M473" s="9"/>
    </row>
    <row r="474" spans="1:13">
      <c r="A474" s="9"/>
      <c r="B474" s="9"/>
      <c r="C474" s="9"/>
      <c r="D474" s="30"/>
      <c r="E474" s="9"/>
      <c r="F474" s="9"/>
      <c r="G474" s="9"/>
      <c r="H474" s="9"/>
      <c r="I474" s="9"/>
      <c r="J474" s="21" t="s">
        <v>436</v>
      </c>
      <c r="K474" s="22">
        <f>J473</f>
        <v>1</v>
      </c>
      <c r="L474" s="23">
        <v>0</v>
      </c>
      <c r="M474" s="24">
        <f>ROUND(K474*L474,2)</f>
        <v>0</v>
      </c>
    </row>
    <row r="475" spans="1:13" ht="0.95" customHeight="1">
      <c r="A475" s="25"/>
      <c r="B475" s="25"/>
      <c r="C475" s="25"/>
      <c r="D475" s="31"/>
      <c r="E475" s="25"/>
      <c r="F475" s="25"/>
      <c r="G475" s="25"/>
      <c r="H475" s="25"/>
      <c r="I475" s="25"/>
      <c r="J475" s="25"/>
      <c r="K475" s="25"/>
      <c r="L475" s="25"/>
      <c r="M475" s="25"/>
    </row>
    <row r="476" spans="1:13" ht="22.5">
      <c r="A476" s="15" t="s">
        <v>437</v>
      </c>
      <c r="B476" s="10" t="s">
        <v>23</v>
      </c>
      <c r="C476" s="10" t="s">
        <v>4</v>
      </c>
      <c r="D476" s="18" t="s">
        <v>438</v>
      </c>
      <c r="E476" s="9"/>
      <c r="F476" s="9"/>
      <c r="G476" s="9"/>
      <c r="H476" s="9"/>
      <c r="I476" s="9"/>
      <c r="J476" s="9"/>
      <c r="K476" s="16">
        <f>K479</f>
        <v>1</v>
      </c>
      <c r="L476" s="17">
        <f>L479</f>
        <v>0</v>
      </c>
      <c r="M476" s="17">
        <f>M479</f>
        <v>0</v>
      </c>
    </row>
    <row r="477" spans="1:13">
      <c r="A477" s="9"/>
      <c r="B477" s="9"/>
      <c r="C477" s="9"/>
      <c r="D477" s="18" t="s">
        <v>439</v>
      </c>
      <c r="E477" s="9"/>
      <c r="F477" s="9"/>
      <c r="G477" s="9"/>
      <c r="H477" s="9"/>
      <c r="I477" s="9"/>
      <c r="J477" s="9"/>
      <c r="K477" s="9"/>
      <c r="L477" s="9"/>
      <c r="M477" s="9"/>
    </row>
    <row r="478" spans="1:13">
      <c r="A478" s="9"/>
      <c r="B478" s="9"/>
      <c r="C478" s="10" t="s">
        <v>27</v>
      </c>
      <c r="D478" s="30"/>
      <c r="E478" s="10" t="s">
        <v>440</v>
      </c>
      <c r="F478" s="19">
        <v>1</v>
      </c>
      <c r="G478" s="20">
        <v>0</v>
      </c>
      <c r="H478" s="20">
        <v>0</v>
      </c>
      <c r="I478" s="20">
        <v>0</v>
      </c>
      <c r="J478" s="16">
        <f>OR(F478&lt;&gt;0,G478&lt;&gt;0,H478&lt;&gt;0,I478&lt;&gt;0)*(F478 + (F478 = 0))*(G478 + (G478 = 0))*(H478 + (H478 = 0))*(I478 + (I478 = 0))</f>
        <v>1</v>
      </c>
      <c r="K478" s="9"/>
      <c r="L478" s="9"/>
      <c r="M478" s="9"/>
    </row>
    <row r="479" spans="1:13">
      <c r="A479" s="9"/>
      <c r="B479" s="9"/>
      <c r="C479" s="9"/>
      <c r="D479" s="30"/>
      <c r="E479" s="9"/>
      <c r="F479" s="9"/>
      <c r="G479" s="9"/>
      <c r="H479" s="9"/>
      <c r="I479" s="9"/>
      <c r="J479" s="21" t="s">
        <v>441</v>
      </c>
      <c r="K479" s="22">
        <f>J478</f>
        <v>1</v>
      </c>
      <c r="L479" s="23">
        <v>0</v>
      </c>
      <c r="M479" s="24">
        <f>ROUND(K479*L479,2)</f>
        <v>0</v>
      </c>
    </row>
    <row r="480" spans="1:13" ht="0.95" customHeight="1">
      <c r="A480" s="25"/>
      <c r="B480" s="25"/>
      <c r="C480" s="25"/>
      <c r="D480" s="31"/>
      <c r="E480" s="25"/>
      <c r="F480" s="25"/>
      <c r="G480" s="25"/>
      <c r="H480" s="25"/>
      <c r="I480" s="25"/>
      <c r="J480" s="25"/>
      <c r="K480" s="25"/>
      <c r="L480" s="25"/>
      <c r="M480" s="25"/>
    </row>
    <row r="481" spans="1:13">
      <c r="A481" s="9"/>
      <c r="B481" s="9"/>
      <c r="C481" s="9"/>
      <c r="D481" s="30"/>
      <c r="E481" s="9"/>
      <c r="F481" s="9"/>
      <c r="G481" s="9"/>
      <c r="H481" s="9"/>
      <c r="I481" s="9"/>
      <c r="J481" s="21" t="s">
        <v>442</v>
      </c>
      <c r="K481" s="20">
        <v>1</v>
      </c>
      <c r="L481" s="24">
        <f>M318+M324+M330+M335+M340+M345+M350+M355+M360+M365+M370+M375+M381+M386+M391+M396+M401+M406+M411+M416+M421+M426+M431+M436+M441+M446+M451+M456+M461+M466+M471+M476</f>
        <v>0</v>
      </c>
      <c r="M481" s="24">
        <f>ROUND(K481*L481,2)</f>
        <v>0</v>
      </c>
    </row>
    <row r="482" spans="1:13" ht="0.95" customHeight="1">
      <c r="A482" s="25"/>
      <c r="B482" s="25"/>
      <c r="C482" s="25"/>
      <c r="D482" s="31"/>
      <c r="E482" s="25"/>
      <c r="F482" s="25"/>
      <c r="G482" s="25"/>
      <c r="H482" s="25"/>
      <c r="I482" s="25"/>
      <c r="J482" s="25"/>
      <c r="K482" s="25"/>
      <c r="L482" s="25"/>
      <c r="M482" s="25"/>
    </row>
    <row r="483" spans="1:13">
      <c r="A483" s="11" t="s">
        <v>443</v>
      </c>
      <c r="B483" s="11" t="s">
        <v>16</v>
      </c>
      <c r="C483" s="11" t="s">
        <v>17</v>
      </c>
      <c r="D483" s="29" t="s">
        <v>444</v>
      </c>
      <c r="E483" s="12"/>
      <c r="F483" s="12"/>
      <c r="G483" s="12"/>
      <c r="H483" s="12"/>
      <c r="I483" s="12"/>
      <c r="J483" s="12"/>
      <c r="K483" s="13">
        <f>K489</f>
        <v>1</v>
      </c>
      <c r="L483" s="14">
        <f>L489</f>
        <v>0</v>
      </c>
      <c r="M483" s="14">
        <f>M489</f>
        <v>0</v>
      </c>
    </row>
    <row r="484" spans="1:13" ht="22.5">
      <c r="A484" s="15" t="s">
        <v>445</v>
      </c>
      <c r="B484" s="10" t="s">
        <v>23</v>
      </c>
      <c r="C484" s="10" t="s">
        <v>4</v>
      </c>
      <c r="D484" s="18" t="s">
        <v>446</v>
      </c>
      <c r="E484" s="9"/>
      <c r="F484" s="9"/>
      <c r="G484" s="9"/>
      <c r="H484" s="9"/>
      <c r="I484" s="9"/>
      <c r="J484" s="9"/>
      <c r="K484" s="16">
        <f>K487</f>
        <v>1</v>
      </c>
      <c r="L484" s="17">
        <f>L487</f>
        <v>0</v>
      </c>
      <c r="M484" s="17">
        <f>M487</f>
        <v>0</v>
      </c>
    </row>
    <row r="485" spans="1:13">
      <c r="A485" s="9"/>
      <c r="B485" s="9"/>
      <c r="C485" s="9"/>
      <c r="D485" s="18" t="s">
        <v>447</v>
      </c>
      <c r="E485" s="9"/>
      <c r="F485" s="9"/>
      <c r="G485" s="9"/>
      <c r="H485" s="9"/>
      <c r="I485" s="9"/>
      <c r="J485" s="9"/>
      <c r="K485" s="9"/>
      <c r="L485" s="9"/>
      <c r="M485" s="9"/>
    </row>
    <row r="486" spans="1:13">
      <c r="A486" s="9"/>
      <c r="B486" s="9"/>
      <c r="C486" s="10" t="s">
        <v>27</v>
      </c>
      <c r="D486" s="30"/>
      <c r="E486" s="10" t="s">
        <v>448</v>
      </c>
      <c r="F486" s="19">
        <v>1</v>
      </c>
      <c r="G486" s="20">
        <v>0</v>
      </c>
      <c r="H486" s="20">
        <v>0</v>
      </c>
      <c r="I486" s="20">
        <v>0</v>
      </c>
      <c r="J486" s="16">
        <f>OR(F486&lt;&gt;0,G486&lt;&gt;0,H486&lt;&gt;0,I486&lt;&gt;0)*(F486 + (F486 = 0))*(G486 + (G486 = 0))*(H486 + (H486 = 0))*(I486 + (I486 = 0))</f>
        <v>1</v>
      </c>
      <c r="K486" s="9"/>
      <c r="L486" s="9"/>
      <c r="M486" s="9"/>
    </row>
    <row r="487" spans="1:13">
      <c r="A487" s="9"/>
      <c r="B487" s="9"/>
      <c r="C487" s="9"/>
      <c r="D487" s="30"/>
      <c r="E487" s="9"/>
      <c r="F487" s="9"/>
      <c r="G487" s="9"/>
      <c r="H487" s="9"/>
      <c r="I487" s="9"/>
      <c r="J487" s="21" t="s">
        <v>449</v>
      </c>
      <c r="K487" s="22">
        <f>J486</f>
        <v>1</v>
      </c>
      <c r="L487" s="23">
        <v>0</v>
      </c>
      <c r="M487" s="24">
        <f>ROUND(K487*L487,2)</f>
        <v>0</v>
      </c>
    </row>
    <row r="488" spans="1:13" ht="0.95" customHeight="1">
      <c r="A488" s="25"/>
      <c r="B488" s="25"/>
      <c r="C488" s="25"/>
      <c r="D488" s="31"/>
      <c r="E488" s="25"/>
      <c r="F488" s="25"/>
      <c r="G488" s="25"/>
      <c r="H488" s="25"/>
      <c r="I488" s="25"/>
      <c r="J488" s="25"/>
      <c r="K488" s="25"/>
      <c r="L488" s="25"/>
      <c r="M488" s="25"/>
    </row>
    <row r="489" spans="1:13">
      <c r="A489" s="9"/>
      <c r="B489" s="9"/>
      <c r="C489" s="9"/>
      <c r="D489" s="30"/>
      <c r="E489" s="9"/>
      <c r="F489" s="9"/>
      <c r="G489" s="9"/>
      <c r="H489" s="9"/>
      <c r="I489" s="9"/>
      <c r="J489" s="21" t="s">
        <v>450</v>
      </c>
      <c r="K489" s="20">
        <v>1</v>
      </c>
      <c r="L489" s="24">
        <f>M484</f>
        <v>0</v>
      </c>
      <c r="M489" s="24">
        <f>ROUND(K489*L489,2)</f>
        <v>0</v>
      </c>
    </row>
    <row r="490" spans="1:13" ht="0.95" customHeight="1">
      <c r="A490" s="25"/>
      <c r="B490" s="25"/>
      <c r="C490" s="25"/>
      <c r="D490" s="31"/>
      <c r="E490" s="25"/>
      <c r="F490" s="25"/>
      <c r="G490" s="25"/>
      <c r="H490" s="25"/>
      <c r="I490" s="25"/>
      <c r="J490" s="25"/>
      <c r="K490" s="25"/>
      <c r="L490" s="25"/>
      <c r="M490" s="25"/>
    </row>
    <row r="491" spans="1:13">
      <c r="A491" s="11" t="s">
        <v>451</v>
      </c>
      <c r="B491" s="11" t="s">
        <v>16</v>
      </c>
      <c r="C491" s="11" t="s">
        <v>17</v>
      </c>
      <c r="D491" s="29" t="s">
        <v>452</v>
      </c>
      <c r="E491" s="12"/>
      <c r="F491" s="12"/>
      <c r="G491" s="12"/>
      <c r="H491" s="12"/>
      <c r="I491" s="12"/>
      <c r="J491" s="12"/>
      <c r="K491" s="13">
        <f>K532</f>
        <v>1</v>
      </c>
      <c r="L491" s="14">
        <f>L532</f>
        <v>0</v>
      </c>
      <c r="M491" s="14">
        <f>M532</f>
        <v>0</v>
      </c>
    </row>
    <row r="492" spans="1:13">
      <c r="A492" s="15" t="s">
        <v>453</v>
      </c>
      <c r="B492" s="10" t="s">
        <v>23</v>
      </c>
      <c r="C492" s="10" t="s">
        <v>4</v>
      </c>
      <c r="D492" s="18" t="s">
        <v>454</v>
      </c>
      <c r="E492" s="9"/>
      <c r="F492" s="9"/>
      <c r="G492" s="9"/>
      <c r="H492" s="9"/>
      <c r="I492" s="9"/>
      <c r="J492" s="9"/>
      <c r="K492" s="16">
        <f>K495</f>
        <v>1</v>
      </c>
      <c r="L492" s="17">
        <f>L495</f>
        <v>0</v>
      </c>
      <c r="M492" s="17">
        <f>M495</f>
        <v>0</v>
      </c>
    </row>
    <row r="493" spans="1:13">
      <c r="A493" s="9"/>
      <c r="B493" s="9"/>
      <c r="C493" s="9"/>
      <c r="D493" s="18" t="s">
        <v>455</v>
      </c>
      <c r="E493" s="9"/>
      <c r="F493" s="9"/>
      <c r="G493" s="9"/>
      <c r="H493" s="9"/>
      <c r="I493" s="9"/>
      <c r="J493" s="9"/>
      <c r="K493" s="9"/>
      <c r="L493" s="9"/>
      <c r="M493" s="9"/>
    </row>
    <row r="494" spans="1:13">
      <c r="A494" s="9"/>
      <c r="B494" s="9"/>
      <c r="C494" s="10" t="s">
        <v>27</v>
      </c>
      <c r="D494" s="30"/>
      <c r="E494" s="10" t="s">
        <v>456</v>
      </c>
      <c r="F494" s="19">
        <v>1</v>
      </c>
      <c r="G494" s="20">
        <v>0</v>
      </c>
      <c r="H494" s="20">
        <v>0</v>
      </c>
      <c r="I494" s="20">
        <v>0</v>
      </c>
      <c r="J494" s="16">
        <f>OR(F494&lt;&gt;0,G494&lt;&gt;0,H494&lt;&gt;0,I494&lt;&gt;0)*(F494 + (F494 = 0))*(G494 + (G494 = 0))*(H494 + (H494 = 0))*(I494 + (I494 = 0))</f>
        <v>1</v>
      </c>
      <c r="K494" s="9"/>
      <c r="L494" s="9"/>
      <c r="M494" s="9"/>
    </row>
    <row r="495" spans="1:13">
      <c r="A495" s="9"/>
      <c r="B495" s="9"/>
      <c r="C495" s="9"/>
      <c r="D495" s="30"/>
      <c r="E495" s="9"/>
      <c r="F495" s="9"/>
      <c r="G495" s="9"/>
      <c r="H495" s="9"/>
      <c r="I495" s="9"/>
      <c r="J495" s="21" t="s">
        <v>457</v>
      </c>
      <c r="K495" s="22">
        <f>J494</f>
        <v>1</v>
      </c>
      <c r="L495" s="23">
        <v>0</v>
      </c>
      <c r="M495" s="24">
        <f>ROUND(K495*L495,2)</f>
        <v>0</v>
      </c>
    </row>
    <row r="496" spans="1:13" ht="0.95" customHeight="1">
      <c r="A496" s="25"/>
      <c r="B496" s="25"/>
      <c r="C496" s="25"/>
      <c r="D496" s="31"/>
      <c r="E496" s="25"/>
      <c r="F496" s="25"/>
      <c r="G496" s="25"/>
      <c r="H496" s="25"/>
      <c r="I496" s="25"/>
      <c r="J496" s="25"/>
      <c r="K496" s="25"/>
      <c r="L496" s="25"/>
      <c r="M496" s="25"/>
    </row>
    <row r="497" spans="1:13">
      <c r="A497" s="15" t="s">
        <v>458</v>
      </c>
      <c r="B497" s="10" t="s">
        <v>23</v>
      </c>
      <c r="C497" s="10" t="s">
        <v>4</v>
      </c>
      <c r="D497" s="18" t="s">
        <v>459</v>
      </c>
      <c r="E497" s="9"/>
      <c r="F497" s="9"/>
      <c r="G497" s="9"/>
      <c r="H497" s="9"/>
      <c r="I497" s="9"/>
      <c r="J497" s="9"/>
      <c r="K497" s="16">
        <f>K500</f>
        <v>1</v>
      </c>
      <c r="L497" s="17">
        <f>L500</f>
        <v>0</v>
      </c>
      <c r="M497" s="17">
        <f>M500</f>
        <v>0</v>
      </c>
    </row>
    <row r="498" spans="1:13">
      <c r="A498" s="9"/>
      <c r="B498" s="9"/>
      <c r="C498" s="9"/>
      <c r="D498" s="18" t="s">
        <v>460</v>
      </c>
      <c r="E498" s="9"/>
      <c r="F498" s="9"/>
      <c r="G498" s="9"/>
      <c r="H498" s="9"/>
      <c r="I498" s="9"/>
      <c r="J498" s="9"/>
      <c r="K498" s="9"/>
      <c r="L498" s="9"/>
      <c r="M498" s="9"/>
    </row>
    <row r="499" spans="1:13">
      <c r="A499" s="9"/>
      <c r="B499" s="9"/>
      <c r="C499" s="10" t="s">
        <v>27</v>
      </c>
      <c r="D499" s="30"/>
      <c r="E499" s="10" t="s">
        <v>461</v>
      </c>
      <c r="F499" s="19">
        <v>1</v>
      </c>
      <c r="G499" s="20">
        <v>0</v>
      </c>
      <c r="H499" s="20">
        <v>0</v>
      </c>
      <c r="I499" s="20">
        <v>0</v>
      </c>
      <c r="J499" s="16">
        <f>OR(F499&lt;&gt;0,G499&lt;&gt;0,H499&lt;&gt;0,I499&lt;&gt;0)*(F499 + (F499 = 0))*(G499 + (G499 = 0))*(H499 + (H499 = 0))*(I499 + (I499 = 0))</f>
        <v>1</v>
      </c>
      <c r="K499" s="9"/>
      <c r="L499" s="9"/>
      <c r="M499" s="9"/>
    </row>
    <row r="500" spans="1:13">
      <c r="A500" s="9"/>
      <c r="B500" s="9"/>
      <c r="C500" s="9"/>
      <c r="D500" s="30"/>
      <c r="E500" s="9"/>
      <c r="F500" s="9"/>
      <c r="G500" s="9"/>
      <c r="H500" s="9"/>
      <c r="I500" s="9"/>
      <c r="J500" s="21" t="s">
        <v>462</v>
      </c>
      <c r="K500" s="22">
        <f>J499</f>
        <v>1</v>
      </c>
      <c r="L500" s="23">
        <v>0</v>
      </c>
      <c r="M500" s="24">
        <f>ROUND(K500*L500,2)</f>
        <v>0</v>
      </c>
    </row>
    <row r="501" spans="1:13" ht="0.95" customHeight="1">
      <c r="A501" s="25"/>
      <c r="B501" s="25"/>
      <c r="C501" s="25"/>
      <c r="D501" s="31"/>
      <c r="E501" s="25"/>
      <c r="F501" s="25"/>
      <c r="G501" s="25"/>
      <c r="H501" s="25"/>
      <c r="I501" s="25"/>
      <c r="J501" s="25"/>
      <c r="K501" s="25"/>
      <c r="L501" s="25"/>
      <c r="M501" s="25"/>
    </row>
    <row r="502" spans="1:13">
      <c r="A502" s="15" t="s">
        <v>463</v>
      </c>
      <c r="B502" s="10" t="s">
        <v>23</v>
      </c>
      <c r="C502" s="10" t="s">
        <v>4</v>
      </c>
      <c r="D502" s="18" t="s">
        <v>464</v>
      </c>
      <c r="E502" s="9"/>
      <c r="F502" s="9"/>
      <c r="G502" s="9"/>
      <c r="H502" s="9"/>
      <c r="I502" s="9"/>
      <c r="J502" s="9"/>
      <c r="K502" s="16">
        <f>K505</f>
        <v>1</v>
      </c>
      <c r="L502" s="17">
        <f>L505</f>
        <v>0</v>
      </c>
      <c r="M502" s="17">
        <f>M505</f>
        <v>0</v>
      </c>
    </row>
    <row r="503" spans="1:13">
      <c r="A503" s="9"/>
      <c r="B503" s="9"/>
      <c r="C503" s="9"/>
      <c r="D503" s="18" t="s">
        <v>465</v>
      </c>
      <c r="E503" s="9"/>
      <c r="F503" s="9"/>
      <c r="G503" s="9"/>
      <c r="H503" s="9"/>
      <c r="I503" s="9"/>
      <c r="J503" s="9"/>
      <c r="K503" s="9"/>
      <c r="L503" s="9"/>
      <c r="M503" s="9"/>
    </row>
    <row r="504" spans="1:13">
      <c r="A504" s="9"/>
      <c r="B504" s="9"/>
      <c r="C504" s="10" t="s">
        <v>27</v>
      </c>
      <c r="D504" s="30"/>
      <c r="E504" s="10" t="s">
        <v>466</v>
      </c>
      <c r="F504" s="19">
        <v>1</v>
      </c>
      <c r="G504" s="20">
        <v>0</v>
      </c>
      <c r="H504" s="20">
        <v>0</v>
      </c>
      <c r="I504" s="20">
        <v>0</v>
      </c>
      <c r="J504" s="16">
        <f>OR(F504&lt;&gt;0,G504&lt;&gt;0,H504&lt;&gt;0,I504&lt;&gt;0)*(F504 + (F504 = 0))*(G504 + (G504 = 0))*(H504 + (H504 = 0))*(I504 + (I504 = 0))</f>
        <v>1</v>
      </c>
      <c r="K504" s="9"/>
      <c r="L504" s="9"/>
      <c r="M504" s="9"/>
    </row>
    <row r="505" spans="1:13">
      <c r="A505" s="9"/>
      <c r="B505" s="9"/>
      <c r="C505" s="9"/>
      <c r="D505" s="30"/>
      <c r="E505" s="9"/>
      <c r="F505" s="9"/>
      <c r="G505" s="9"/>
      <c r="H505" s="9"/>
      <c r="I505" s="9"/>
      <c r="J505" s="21" t="s">
        <v>467</v>
      </c>
      <c r="K505" s="22">
        <f>J504</f>
        <v>1</v>
      </c>
      <c r="L505" s="23">
        <v>0</v>
      </c>
      <c r="M505" s="24">
        <f>ROUND(K505*L505,2)</f>
        <v>0</v>
      </c>
    </row>
    <row r="506" spans="1:13" ht="0.95" customHeight="1">
      <c r="A506" s="25"/>
      <c r="B506" s="25"/>
      <c r="C506" s="25"/>
      <c r="D506" s="31"/>
      <c r="E506" s="25"/>
      <c r="F506" s="25"/>
      <c r="G506" s="25"/>
      <c r="H506" s="25"/>
      <c r="I506" s="25"/>
      <c r="J506" s="25"/>
      <c r="K506" s="25"/>
      <c r="L506" s="25"/>
      <c r="M506" s="25"/>
    </row>
    <row r="507" spans="1:13">
      <c r="A507" s="15" t="s">
        <v>468</v>
      </c>
      <c r="B507" s="10" t="s">
        <v>23</v>
      </c>
      <c r="C507" s="10" t="s">
        <v>4</v>
      </c>
      <c r="D507" s="18" t="s">
        <v>469</v>
      </c>
      <c r="E507" s="9"/>
      <c r="F507" s="9"/>
      <c r="G507" s="9"/>
      <c r="H507" s="9"/>
      <c r="I507" s="9"/>
      <c r="J507" s="9"/>
      <c r="K507" s="16">
        <f>K510</f>
        <v>1</v>
      </c>
      <c r="L507" s="17">
        <f>L510</f>
        <v>0</v>
      </c>
      <c r="M507" s="17">
        <f>M510</f>
        <v>0</v>
      </c>
    </row>
    <row r="508" spans="1:13">
      <c r="A508" s="9"/>
      <c r="B508" s="9"/>
      <c r="C508" s="9"/>
      <c r="D508" s="18" t="s">
        <v>470</v>
      </c>
      <c r="E508" s="9"/>
      <c r="F508" s="9"/>
      <c r="G508" s="9"/>
      <c r="H508" s="9"/>
      <c r="I508" s="9"/>
      <c r="J508" s="9"/>
      <c r="K508" s="9"/>
      <c r="L508" s="9"/>
      <c r="M508" s="9"/>
    </row>
    <row r="509" spans="1:13">
      <c r="A509" s="9"/>
      <c r="B509" s="9"/>
      <c r="C509" s="10" t="s">
        <v>27</v>
      </c>
      <c r="D509" s="30"/>
      <c r="E509" s="10" t="s">
        <v>471</v>
      </c>
      <c r="F509" s="19">
        <v>1</v>
      </c>
      <c r="G509" s="20">
        <v>0</v>
      </c>
      <c r="H509" s="20">
        <v>0</v>
      </c>
      <c r="I509" s="20">
        <v>0</v>
      </c>
      <c r="J509" s="16">
        <f>OR(F509&lt;&gt;0,G509&lt;&gt;0,H509&lt;&gt;0,I509&lt;&gt;0)*(F509 + (F509 = 0))*(G509 + (G509 = 0))*(H509 + (H509 = 0))*(I509 + (I509 = 0))</f>
        <v>1</v>
      </c>
      <c r="K509" s="9"/>
      <c r="L509" s="9"/>
      <c r="M509" s="9"/>
    </row>
    <row r="510" spans="1:13">
      <c r="A510" s="9"/>
      <c r="B510" s="9"/>
      <c r="C510" s="9"/>
      <c r="D510" s="30"/>
      <c r="E510" s="9"/>
      <c r="F510" s="9"/>
      <c r="G510" s="9"/>
      <c r="H510" s="9"/>
      <c r="I510" s="9"/>
      <c r="J510" s="21" t="s">
        <v>472</v>
      </c>
      <c r="K510" s="22">
        <f>J509</f>
        <v>1</v>
      </c>
      <c r="L510" s="23">
        <v>0</v>
      </c>
      <c r="M510" s="24">
        <f>ROUND(K510*L510,2)</f>
        <v>0</v>
      </c>
    </row>
    <row r="511" spans="1:13" ht="0.95" customHeight="1">
      <c r="A511" s="25"/>
      <c r="B511" s="25"/>
      <c r="C511" s="25"/>
      <c r="D511" s="31"/>
      <c r="E511" s="25"/>
      <c r="F511" s="25"/>
      <c r="G511" s="25"/>
      <c r="H511" s="25"/>
      <c r="I511" s="25"/>
      <c r="J511" s="25"/>
      <c r="K511" s="25"/>
      <c r="L511" s="25"/>
      <c r="M511" s="25"/>
    </row>
    <row r="512" spans="1:13">
      <c r="A512" s="15" t="s">
        <v>473</v>
      </c>
      <c r="B512" s="10" t="s">
        <v>23</v>
      </c>
      <c r="C512" s="10" t="s">
        <v>4</v>
      </c>
      <c r="D512" s="18" t="s">
        <v>474</v>
      </c>
      <c r="E512" s="9"/>
      <c r="F512" s="9"/>
      <c r="G512" s="9"/>
      <c r="H512" s="9"/>
      <c r="I512" s="9"/>
      <c r="J512" s="9"/>
      <c r="K512" s="16">
        <f>K515</f>
        <v>2</v>
      </c>
      <c r="L512" s="17">
        <f>L515</f>
        <v>0</v>
      </c>
      <c r="M512" s="17">
        <f>M515</f>
        <v>0</v>
      </c>
    </row>
    <row r="513" spans="1:13">
      <c r="A513" s="9"/>
      <c r="B513" s="9"/>
      <c r="C513" s="9"/>
      <c r="D513" s="18" t="s">
        <v>475</v>
      </c>
      <c r="E513" s="9"/>
      <c r="F513" s="9"/>
      <c r="G513" s="9"/>
      <c r="H513" s="9"/>
      <c r="I513" s="9"/>
      <c r="J513" s="9"/>
      <c r="K513" s="9"/>
      <c r="L513" s="9"/>
      <c r="M513" s="9"/>
    </row>
    <row r="514" spans="1:13">
      <c r="A514" s="9"/>
      <c r="B514" s="9"/>
      <c r="C514" s="10" t="s">
        <v>27</v>
      </c>
      <c r="D514" s="30"/>
      <c r="E514" s="10" t="s">
        <v>476</v>
      </c>
      <c r="F514" s="19">
        <v>2</v>
      </c>
      <c r="G514" s="20">
        <v>0</v>
      </c>
      <c r="H514" s="20">
        <v>0</v>
      </c>
      <c r="I514" s="20">
        <v>0</v>
      </c>
      <c r="J514" s="16">
        <f>OR(F514&lt;&gt;0,G514&lt;&gt;0,H514&lt;&gt;0,I514&lt;&gt;0)*(F514 + (F514 = 0))*(G514 + (G514 = 0))*(H514 + (H514 = 0))*(I514 + (I514 = 0))</f>
        <v>2</v>
      </c>
      <c r="K514" s="9"/>
      <c r="L514" s="9"/>
      <c r="M514" s="9"/>
    </row>
    <row r="515" spans="1:13">
      <c r="A515" s="9"/>
      <c r="B515" s="9"/>
      <c r="C515" s="9"/>
      <c r="D515" s="30"/>
      <c r="E515" s="9"/>
      <c r="F515" s="9"/>
      <c r="G515" s="9"/>
      <c r="H515" s="9"/>
      <c r="I515" s="9"/>
      <c r="J515" s="21" t="s">
        <v>477</v>
      </c>
      <c r="K515" s="22">
        <f>J514</f>
        <v>2</v>
      </c>
      <c r="L515" s="23">
        <v>0</v>
      </c>
      <c r="M515" s="24">
        <f>ROUND(K515*L515,2)</f>
        <v>0</v>
      </c>
    </row>
    <row r="516" spans="1:13" ht="0.95" customHeight="1">
      <c r="A516" s="25"/>
      <c r="B516" s="25"/>
      <c r="C516" s="25"/>
      <c r="D516" s="31"/>
      <c r="E516" s="25"/>
      <c r="F516" s="25"/>
      <c r="G516" s="25"/>
      <c r="H516" s="25"/>
      <c r="I516" s="25"/>
      <c r="J516" s="25"/>
      <c r="K516" s="25"/>
      <c r="L516" s="25"/>
      <c r="M516" s="25"/>
    </row>
    <row r="517" spans="1:13">
      <c r="A517" s="15" t="s">
        <v>478</v>
      </c>
      <c r="B517" s="10" t="s">
        <v>23</v>
      </c>
      <c r="C517" s="10" t="s">
        <v>4</v>
      </c>
      <c r="D517" s="18" t="s">
        <v>479</v>
      </c>
      <c r="E517" s="9"/>
      <c r="F517" s="9"/>
      <c r="G517" s="9"/>
      <c r="H517" s="9"/>
      <c r="I517" s="9"/>
      <c r="J517" s="9"/>
      <c r="K517" s="16">
        <f>K520</f>
        <v>2</v>
      </c>
      <c r="L517" s="17">
        <f>L520</f>
        <v>0</v>
      </c>
      <c r="M517" s="17">
        <f>M520</f>
        <v>0</v>
      </c>
    </row>
    <row r="518" spans="1:13">
      <c r="A518" s="9"/>
      <c r="B518" s="9"/>
      <c r="C518" s="9"/>
      <c r="D518" s="18" t="s">
        <v>480</v>
      </c>
      <c r="E518" s="9"/>
      <c r="F518" s="9"/>
      <c r="G518" s="9"/>
      <c r="H518" s="9"/>
      <c r="I518" s="9"/>
      <c r="J518" s="9"/>
      <c r="K518" s="9"/>
      <c r="L518" s="9"/>
      <c r="M518" s="9"/>
    </row>
    <row r="519" spans="1:13">
      <c r="A519" s="9"/>
      <c r="B519" s="9"/>
      <c r="C519" s="10" t="s">
        <v>27</v>
      </c>
      <c r="D519" s="30"/>
      <c r="E519" s="10" t="s">
        <v>481</v>
      </c>
      <c r="F519" s="19">
        <v>2</v>
      </c>
      <c r="G519" s="20">
        <v>0</v>
      </c>
      <c r="H519" s="20">
        <v>0</v>
      </c>
      <c r="I519" s="20">
        <v>0</v>
      </c>
      <c r="J519" s="16">
        <f>OR(F519&lt;&gt;0,G519&lt;&gt;0,H519&lt;&gt;0,I519&lt;&gt;0)*(F519 + (F519 = 0))*(G519 + (G519 = 0))*(H519 + (H519 = 0))*(I519 + (I519 = 0))</f>
        <v>2</v>
      </c>
      <c r="K519" s="9"/>
      <c r="L519" s="9"/>
      <c r="M519" s="9"/>
    </row>
    <row r="520" spans="1:13">
      <c r="A520" s="9"/>
      <c r="B520" s="9"/>
      <c r="C520" s="9"/>
      <c r="D520" s="30"/>
      <c r="E520" s="9"/>
      <c r="F520" s="9"/>
      <c r="G520" s="9"/>
      <c r="H520" s="9"/>
      <c r="I520" s="9"/>
      <c r="J520" s="21" t="s">
        <v>482</v>
      </c>
      <c r="K520" s="22">
        <f>J519</f>
        <v>2</v>
      </c>
      <c r="L520" s="23">
        <v>0</v>
      </c>
      <c r="M520" s="24">
        <f>ROUND(K520*L520,2)</f>
        <v>0</v>
      </c>
    </row>
    <row r="521" spans="1:13" ht="0.95" customHeight="1">
      <c r="A521" s="25"/>
      <c r="B521" s="25"/>
      <c r="C521" s="25"/>
      <c r="D521" s="31"/>
      <c r="E521" s="25"/>
      <c r="F521" s="25"/>
      <c r="G521" s="25"/>
      <c r="H521" s="25"/>
      <c r="I521" s="25"/>
      <c r="J521" s="25"/>
      <c r="K521" s="25"/>
      <c r="L521" s="25"/>
      <c r="M521" s="25"/>
    </row>
    <row r="522" spans="1:13">
      <c r="A522" s="15" t="s">
        <v>483</v>
      </c>
      <c r="B522" s="10" t="s">
        <v>23</v>
      </c>
      <c r="C522" s="10" t="s">
        <v>4</v>
      </c>
      <c r="D522" s="18" t="s">
        <v>484</v>
      </c>
      <c r="E522" s="9"/>
      <c r="F522" s="9"/>
      <c r="G522" s="9"/>
      <c r="H522" s="9"/>
      <c r="I522" s="9"/>
      <c r="J522" s="9"/>
      <c r="K522" s="16">
        <f>K525</f>
        <v>1</v>
      </c>
      <c r="L522" s="17">
        <f>L525</f>
        <v>0</v>
      </c>
      <c r="M522" s="17">
        <f>M525</f>
        <v>0</v>
      </c>
    </row>
    <row r="523" spans="1:13">
      <c r="A523" s="9"/>
      <c r="B523" s="9"/>
      <c r="C523" s="9"/>
      <c r="D523" s="18" t="s">
        <v>485</v>
      </c>
      <c r="E523" s="9"/>
      <c r="F523" s="9"/>
      <c r="G523" s="9"/>
      <c r="H523" s="9"/>
      <c r="I523" s="9"/>
      <c r="J523" s="9"/>
      <c r="K523" s="9"/>
      <c r="L523" s="9"/>
      <c r="M523" s="9"/>
    </row>
    <row r="524" spans="1:13">
      <c r="A524" s="9"/>
      <c r="B524" s="9"/>
      <c r="C524" s="10" t="s">
        <v>27</v>
      </c>
      <c r="D524" s="30"/>
      <c r="E524" s="10" t="s">
        <v>486</v>
      </c>
      <c r="F524" s="19">
        <v>1</v>
      </c>
      <c r="G524" s="20">
        <v>0</v>
      </c>
      <c r="H524" s="20">
        <v>0</v>
      </c>
      <c r="I524" s="20">
        <v>0</v>
      </c>
      <c r="J524" s="16">
        <f>OR(F524&lt;&gt;0,G524&lt;&gt;0,H524&lt;&gt;0,I524&lt;&gt;0)*(F524 + (F524 = 0))*(G524 + (G524 = 0))*(H524 + (H524 = 0))*(I524 + (I524 = 0))</f>
        <v>1</v>
      </c>
      <c r="K524" s="9"/>
      <c r="L524" s="9"/>
      <c r="M524" s="9"/>
    </row>
    <row r="525" spans="1:13">
      <c r="A525" s="9"/>
      <c r="B525" s="9"/>
      <c r="C525" s="9"/>
      <c r="D525" s="30"/>
      <c r="E525" s="9"/>
      <c r="F525" s="9"/>
      <c r="G525" s="9"/>
      <c r="H525" s="9"/>
      <c r="I525" s="9"/>
      <c r="J525" s="21" t="s">
        <v>487</v>
      </c>
      <c r="K525" s="22">
        <f>J524</f>
        <v>1</v>
      </c>
      <c r="L525" s="23">
        <v>0</v>
      </c>
      <c r="M525" s="24">
        <f>ROUND(K525*L525,2)</f>
        <v>0</v>
      </c>
    </row>
    <row r="526" spans="1:13" ht="0.95" customHeight="1">
      <c r="A526" s="25"/>
      <c r="B526" s="25"/>
      <c r="C526" s="25"/>
      <c r="D526" s="31"/>
      <c r="E526" s="25"/>
      <c r="F526" s="25"/>
      <c r="G526" s="25"/>
      <c r="H526" s="25"/>
      <c r="I526" s="25"/>
      <c r="J526" s="25"/>
      <c r="K526" s="25"/>
      <c r="L526" s="25"/>
      <c r="M526" s="25"/>
    </row>
    <row r="527" spans="1:13">
      <c r="A527" s="15" t="s">
        <v>488</v>
      </c>
      <c r="B527" s="10" t="s">
        <v>23</v>
      </c>
      <c r="C527" s="10" t="s">
        <v>4</v>
      </c>
      <c r="D527" s="18" t="s">
        <v>489</v>
      </c>
      <c r="E527" s="9"/>
      <c r="F527" s="9"/>
      <c r="G527" s="9"/>
      <c r="H527" s="9"/>
      <c r="I527" s="9"/>
      <c r="J527" s="9"/>
      <c r="K527" s="16">
        <f>K530</f>
        <v>1</v>
      </c>
      <c r="L527" s="17">
        <f>L530</f>
        <v>0</v>
      </c>
      <c r="M527" s="17">
        <f>M530</f>
        <v>0</v>
      </c>
    </row>
    <row r="528" spans="1:13">
      <c r="A528" s="9"/>
      <c r="B528" s="9"/>
      <c r="C528" s="9"/>
      <c r="D528" s="18" t="s">
        <v>490</v>
      </c>
      <c r="E528" s="9"/>
      <c r="F528" s="9"/>
      <c r="G528" s="9"/>
      <c r="H528" s="9"/>
      <c r="I528" s="9"/>
      <c r="J528" s="9"/>
      <c r="K528" s="9"/>
      <c r="L528" s="9"/>
      <c r="M528" s="9"/>
    </row>
    <row r="529" spans="1:13">
      <c r="A529" s="9"/>
      <c r="B529" s="9"/>
      <c r="C529" s="10" t="s">
        <v>27</v>
      </c>
      <c r="D529" s="30"/>
      <c r="E529" s="10" t="s">
        <v>491</v>
      </c>
      <c r="F529" s="19">
        <v>1</v>
      </c>
      <c r="G529" s="23">
        <v>0</v>
      </c>
      <c r="H529" s="23">
        <v>0</v>
      </c>
      <c r="I529" s="23">
        <v>0</v>
      </c>
      <c r="J529" s="17">
        <f>OR(F529&lt;&gt;0,G529&lt;&gt;0,H529&lt;&gt;0,I529&lt;&gt;0)*(F529 + (F529 = 0))*(G529 + (G529 = 0))*(H529 + (H529 = 0))*(I529 + (I529 = 0))</f>
        <v>1</v>
      </c>
      <c r="K529" s="9"/>
      <c r="L529" s="9"/>
      <c r="M529" s="9"/>
    </row>
    <row r="530" spans="1:13">
      <c r="A530" s="9"/>
      <c r="B530" s="9"/>
      <c r="C530" s="9"/>
      <c r="D530" s="30"/>
      <c r="E530" s="9"/>
      <c r="F530" s="9"/>
      <c r="G530" s="9"/>
      <c r="H530" s="9"/>
      <c r="I530" s="9"/>
      <c r="J530" s="21" t="s">
        <v>492</v>
      </c>
      <c r="K530" s="22">
        <f>J529</f>
        <v>1</v>
      </c>
      <c r="L530" s="23">
        <v>0</v>
      </c>
      <c r="M530" s="24">
        <f>ROUND(K530*L530,2)</f>
        <v>0</v>
      </c>
    </row>
    <row r="531" spans="1:13" ht="0.95" customHeight="1">
      <c r="A531" s="25"/>
      <c r="B531" s="25"/>
      <c r="C531" s="25"/>
      <c r="D531" s="31"/>
      <c r="E531" s="25"/>
      <c r="F531" s="25"/>
      <c r="G531" s="25"/>
      <c r="H531" s="25"/>
      <c r="I531" s="25"/>
      <c r="J531" s="25"/>
      <c r="K531" s="25"/>
      <c r="L531" s="25"/>
      <c r="M531" s="25"/>
    </row>
    <row r="532" spans="1:13">
      <c r="A532" s="9"/>
      <c r="B532" s="9"/>
      <c r="C532" s="9"/>
      <c r="D532" s="30"/>
      <c r="E532" s="9"/>
      <c r="F532" s="9"/>
      <c r="G532" s="9"/>
      <c r="H532" s="9"/>
      <c r="I532" s="9"/>
      <c r="J532" s="21" t="s">
        <v>493</v>
      </c>
      <c r="K532" s="20">
        <v>1</v>
      </c>
      <c r="L532" s="24">
        <f>M492+M497+M502+M507+M512+M517+M522+M527</f>
        <v>0</v>
      </c>
      <c r="M532" s="24">
        <f>ROUND(K532*L532,2)</f>
        <v>0</v>
      </c>
    </row>
    <row r="533" spans="1:13" ht="0.95" customHeight="1">
      <c r="A533" s="25"/>
      <c r="B533" s="25"/>
      <c r="C533" s="25"/>
      <c r="D533" s="31"/>
      <c r="E533" s="25"/>
      <c r="F533" s="25"/>
      <c r="G533" s="25"/>
      <c r="H533" s="25"/>
      <c r="I533" s="25"/>
      <c r="J533" s="25"/>
      <c r="K533" s="25"/>
      <c r="L533" s="25"/>
      <c r="M533" s="25"/>
    </row>
    <row r="534" spans="1:13">
      <c r="A534" s="11" t="s">
        <v>494</v>
      </c>
      <c r="B534" s="11" t="s">
        <v>16</v>
      </c>
      <c r="C534" s="11" t="s">
        <v>17</v>
      </c>
      <c r="D534" s="29" t="s">
        <v>495</v>
      </c>
      <c r="E534" s="12"/>
      <c r="F534" s="12"/>
      <c r="G534" s="12"/>
      <c r="H534" s="12"/>
      <c r="I534" s="12"/>
      <c r="J534" s="12"/>
      <c r="K534" s="13">
        <f>K541</f>
        <v>1</v>
      </c>
      <c r="L534" s="14">
        <f>L541</f>
        <v>0</v>
      </c>
      <c r="M534" s="14">
        <f>M541</f>
        <v>0</v>
      </c>
    </row>
    <row r="535" spans="1:13" ht="33.75">
      <c r="A535" s="15" t="s">
        <v>496</v>
      </c>
      <c r="B535" s="10" t="s">
        <v>23</v>
      </c>
      <c r="C535" s="10" t="s">
        <v>4</v>
      </c>
      <c r="D535" s="18" t="s">
        <v>497</v>
      </c>
      <c r="E535" s="9"/>
      <c r="F535" s="9"/>
      <c r="G535" s="9"/>
      <c r="H535" s="9"/>
      <c r="I535" s="9"/>
      <c r="J535" s="9"/>
      <c r="K535" s="16">
        <f>K539</f>
        <v>3</v>
      </c>
      <c r="L535" s="17">
        <f>L539</f>
        <v>0</v>
      </c>
      <c r="M535" s="17">
        <f>M539</f>
        <v>0</v>
      </c>
    </row>
    <row r="536" spans="1:13">
      <c r="A536" s="9"/>
      <c r="B536" s="9"/>
      <c r="C536" s="9"/>
      <c r="D536" s="18" t="s">
        <v>498</v>
      </c>
      <c r="E536" s="9"/>
      <c r="F536" s="9"/>
      <c r="G536" s="9"/>
      <c r="H536" s="9"/>
      <c r="I536" s="9"/>
      <c r="J536" s="9"/>
      <c r="K536" s="9"/>
      <c r="L536" s="9"/>
      <c r="M536" s="9"/>
    </row>
    <row r="537" spans="1:13">
      <c r="A537" s="9"/>
      <c r="B537" s="9"/>
      <c r="C537" s="10" t="s">
        <v>27</v>
      </c>
      <c r="D537" s="30"/>
      <c r="E537" s="10" t="s">
        <v>499</v>
      </c>
      <c r="F537" s="19">
        <v>2</v>
      </c>
      <c r="G537" s="20">
        <v>0</v>
      </c>
      <c r="H537" s="20">
        <v>0</v>
      </c>
      <c r="I537" s="20">
        <v>0</v>
      </c>
      <c r="J537" s="16">
        <f>OR(F537&lt;&gt;0,G537&lt;&gt;0,H537&lt;&gt;0,I537&lt;&gt;0)*(F537 + (F537 = 0))*(G537 + (G537 = 0))*(H537 + (H537 = 0))*(I537 + (I537 = 0))</f>
        <v>2</v>
      </c>
      <c r="K537" s="9"/>
      <c r="L537" s="9"/>
      <c r="M537" s="9"/>
    </row>
    <row r="538" spans="1:13">
      <c r="A538" s="9"/>
      <c r="B538" s="9"/>
      <c r="C538" s="10" t="s">
        <v>27</v>
      </c>
      <c r="D538" s="30"/>
      <c r="E538" s="10" t="s">
        <v>500</v>
      </c>
      <c r="F538" s="19">
        <v>1</v>
      </c>
      <c r="G538" s="20">
        <v>0</v>
      </c>
      <c r="H538" s="20">
        <v>0</v>
      </c>
      <c r="I538" s="20">
        <v>0</v>
      </c>
      <c r="J538" s="16">
        <f>OR(F538&lt;&gt;0,G538&lt;&gt;0,H538&lt;&gt;0,I538&lt;&gt;0)*(F538 + (F538 = 0))*(G538 + (G538 = 0))*(H538 + (H538 = 0))*(I538 + (I538 = 0))</f>
        <v>1</v>
      </c>
      <c r="K538" s="9"/>
      <c r="L538" s="9"/>
      <c r="M538" s="9"/>
    </row>
    <row r="539" spans="1:13">
      <c r="A539" s="9"/>
      <c r="B539" s="9"/>
      <c r="C539" s="9"/>
      <c r="D539" s="30"/>
      <c r="E539" s="9"/>
      <c r="F539" s="9"/>
      <c r="G539" s="9"/>
      <c r="H539" s="9"/>
      <c r="I539" s="9"/>
      <c r="J539" s="21" t="s">
        <v>501</v>
      </c>
      <c r="K539" s="22">
        <f>SUM(J537:J538)</f>
        <v>3</v>
      </c>
      <c r="L539" s="23">
        <v>0</v>
      </c>
      <c r="M539" s="24">
        <f>ROUND(K539*L539,2)</f>
        <v>0</v>
      </c>
    </row>
    <row r="540" spans="1:13" ht="0.95" customHeight="1">
      <c r="A540" s="25"/>
      <c r="B540" s="25"/>
      <c r="C540" s="25"/>
      <c r="D540" s="31"/>
      <c r="E540" s="25"/>
      <c r="F540" s="25"/>
      <c r="G540" s="25"/>
      <c r="H540" s="25"/>
      <c r="I540" s="25"/>
      <c r="J540" s="25"/>
      <c r="K540" s="25"/>
      <c r="L540" s="25"/>
      <c r="M540" s="25"/>
    </row>
    <row r="541" spans="1:13">
      <c r="A541" s="9"/>
      <c r="B541" s="9"/>
      <c r="C541" s="9"/>
      <c r="D541" s="30"/>
      <c r="E541" s="9"/>
      <c r="F541" s="9"/>
      <c r="G541" s="9"/>
      <c r="H541" s="9"/>
      <c r="I541" s="9"/>
      <c r="J541" s="21" t="s">
        <v>502</v>
      </c>
      <c r="K541" s="20">
        <v>1</v>
      </c>
      <c r="L541" s="24">
        <f>M535</f>
        <v>0</v>
      </c>
      <c r="M541" s="24">
        <f>ROUND(K541*L541,2)</f>
        <v>0</v>
      </c>
    </row>
    <row r="542" spans="1:13" ht="0.95" customHeight="1">
      <c r="A542" s="25"/>
      <c r="B542" s="25"/>
      <c r="C542" s="25"/>
      <c r="D542" s="31"/>
      <c r="E542" s="25"/>
      <c r="F542" s="25"/>
      <c r="G542" s="25"/>
      <c r="H542" s="25"/>
      <c r="I542" s="25"/>
      <c r="J542" s="25"/>
      <c r="K542" s="25"/>
      <c r="L542" s="25"/>
      <c r="M542" s="25"/>
    </row>
    <row r="543" spans="1:13">
      <c r="A543" s="11" t="s">
        <v>503</v>
      </c>
      <c r="B543" s="11" t="s">
        <v>16</v>
      </c>
      <c r="C543" s="11" t="s">
        <v>17</v>
      </c>
      <c r="D543" s="29" t="s">
        <v>504</v>
      </c>
      <c r="E543" s="12"/>
      <c r="F543" s="12"/>
      <c r="G543" s="12"/>
      <c r="H543" s="12"/>
      <c r="I543" s="12"/>
      <c r="J543" s="12"/>
      <c r="K543" s="13">
        <f>K546</f>
        <v>1</v>
      </c>
      <c r="L543" s="14">
        <f>L546</f>
        <v>0</v>
      </c>
      <c r="M543" s="14">
        <f>M546</f>
        <v>0</v>
      </c>
    </row>
    <row r="544" spans="1:13">
      <c r="A544" s="15" t="s">
        <v>505</v>
      </c>
      <c r="B544" s="10" t="s">
        <v>23</v>
      </c>
      <c r="C544" s="10" t="s">
        <v>4</v>
      </c>
      <c r="D544" s="18" t="s">
        <v>506</v>
      </c>
      <c r="E544" s="9"/>
      <c r="F544" s="9"/>
      <c r="G544" s="9"/>
      <c r="H544" s="9"/>
      <c r="I544" s="9"/>
      <c r="J544" s="9"/>
      <c r="K544" s="20">
        <v>1</v>
      </c>
      <c r="L544" s="23">
        <v>0</v>
      </c>
      <c r="M544" s="17">
        <f>ROUND(K544*L544,2)</f>
        <v>0</v>
      </c>
    </row>
    <row r="545" spans="1:13">
      <c r="A545" s="9"/>
      <c r="B545" s="9"/>
      <c r="C545" s="9"/>
      <c r="D545" s="18" t="s">
        <v>507</v>
      </c>
      <c r="E545" s="9"/>
      <c r="F545" s="9"/>
      <c r="G545" s="9"/>
      <c r="H545" s="9"/>
      <c r="I545" s="9"/>
      <c r="J545" s="9"/>
      <c r="K545" s="9"/>
      <c r="L545" s="9"/>
      <c r="M545" s="9"/>
    </row>
    <row r="546" spans="1:13">
      <c r="A546" s="9"/>
      <c r="B546" s="9"/>
      <c r="C546" s="9"/>
      <c r="D546" s="30"/>
      <c r="E546" s="9"/>
      <c r="F546" s="9"/>
      <c r="G546" s="9"/>
      <c r="H546" s="9"/>
      <c r="I546" s="9"/>
      <c r="J546" s="21" t="s">
        <v>508</v>
      </c>
      <c r="K546" s="20">
        <v>1</v>
      </c>
      <c r="L546" s="24">
        <f>M544</f>
        <v>0</v>
      </c>
      <c r="M546" s="24">
        <f>ROUND(K546*L546,2)</f>
        <v>0</v>
      </c>
    </row>
    <row r="547" spans="1:13" ht="0.95" customHeight="1">
      <c r="A547" s="25"/>
      <c r="B547" s="25"/>
      <c r="C547" s="25"/>
      <c r="D547" s="31"/>
      <c r="E547" s="25"/>
      <c r="F547" s="25"/>
      <c r="G547" s="25"/>
      <c r="H547" s="25"/>
      <c r="I547" s="25"/>
      <c r="J547" s="25"/>
      <c r="K547" s="25"/>
      <c r="L547" s="25"/>
      <c r="M547" s="25"/>
    </row>
    <row r="548" spans="1:13">
      <c r="A548" s="11" t="s">
        <v>509</v>
      </c>
      <c r="B548" s="11" t="s">
        <v>16</v>
      </c>
      <c r="C548" s="11" t="s">
        <v>17</v>
      </c>
      <c r="D548" s="29" t="s">
        <v>510</v>
      </c>
      <c r="E548" s="12"/>
      <c r="F548" s="12"/>
      <c r="G548" s="12"/>
      <c r="H548" s="12"/>
      <c r="I548" s="12"/>
      <c r="J548" s="12"/>
      <c r="K548" s="13">
        <f>K560</f>
        <v>1</v>
      </c>
      <c r="L548" s="14">
        <f>L560</f>
        <v>0</v>
      </c>
      <c r="M548" s="14">
        <f>M560</f>
        <v>0</v>
      </c>
    </row>
    <row r="549" spans="1:13">
      <c r="A549" s="9"/>
      <c r="B549" s="9"/>
      <c r="C549" s="9"/>
      <c r="D549" s="18" t="s">
        <v>510</v>
      </c>
      <c r="E549" s="9"/>
      <c r="F549" s="9"/>
      <c r="G549" s="9"/>
      <c r="H549" s="9"/>
      <c r="I549" s="9"/>
      <c r="J549" s="9"/>
      <c r="K549" s="9"/>
      <c r="L549" s="9"/>
      <c r="M549" s="9"/>
    </row>
    <row r="550" spans="1:13" ht="33.75">
      <c r="A550" s="15" t="s">
        <v>511</v>
      </c>
      <c r="B550" s="10" t="s">
        <v>23</v>
      </c>
      <c r="C550" s="10" t="s">
        <v>4</v>
      </c>
      <c r="D550" s="18" t="s">
        <v>512</v>
      </c>
      <c r="E550" s="9"/>
      <c r="F550" s="9"/>
      <c r="G550" s="9"/>
      <c r="H550" s="9"/>
      <c r="I550" s="9"/>
      <c r="J550" s="9"/>
      <c r="K550" s="20">
        <v>1</v>
      </c>
      <c r="L550" s="23">
        <v>0</v>
      </c>
      <c r="M550" s="17">
        <f>ROUND(K550*L550,2)</f>
        <v>0</v>
      </c>
    </row>
    <row r="551" spans="1:13">
      <c r="A551" s="9"/>
      <c r="B551" s="9"/>
      <c r="C551" s="9"/>
      <c r="D551" s="18" t="s">
        <v>513</v>
      </c>
      <c r="E551" s="9"/>
      <c r="F551" s="9"/>
      <c r="G551" s="9"/>
      <c r="H551" s="9"/>
      <c r="I551" s="9"/>
      <c r="J551" s="9"/>
      <c r="K551" s="9"/>
      <c r="L551" s="9"/>
      <c r="M551" s="9"/>
    </row>
    <row r="552" spans="1:13" ht="33.75">
      <c r="A552" s="15" t="s">
        <v>514</v>
      </c>
      <c r="B552" s="10" t="s">
        <v>23</v>
      </c>
      <c r="C552" s="10" t="s">
        <v>4</v>
      </c>
      <c r="D552" s="18" t="s">
        <v>515</v>
      </c>
      <c r="E552" s="9"/>
      <c r="F552" s="9"/>
      <c r="G552" s="9"/>
      <c r="H552" s="9"/>
      <c r="I552" s="9"/>
      <c r="J552" s="9"/>
      <c r="K552" s="20">
        <v>1</v>
      </c>
      <c r="L552" s="23">
        <v>0</v>
      </c>
      <c r="M552" s="17">
        <f>ROUND(K552*L552,2)</f>
        <v>0</v>
      </c>
    </row>
    <row r="553" spans="1:13">
      <c r="A553" s="9"/>
      <c r="B553" s="9"/>
      <c r="C553" s="9"/>
      <c r="D553" s="18" t="s">
        <v>516</v>
      </c>
      <c r="E553" s="9"/>
      <c r="F553" s="9"/>
      <c r="G553" s="9"/>
      <c r="H553" s="9"/>
      <c r="I553" s="9"/>
      <c r="J553" s="9"/>
      <c r="K553" s="9"/>
      <c r="L553" s="9"/>
      <c r="M553" s="9"/>
    </row>
    <row r="554" spans="1:13" ht="33.75">
      <c r="A554" s="15" t="s">
        <v>517</v>
      </c>
      <c r="B554" s="10" t="s">
        <v>23</v>
      </c>
      <c r="C554" s="10" t="s">
        <v>4</v>
      </c>
      <c r="D554" s="18" t="s">
        <v>518</v>
      </c>
      <c r="E554" s="9"/>
      <c r="F554" s="9"/>
      <c r="G554" s="9"/>
      <c r="H554" s="9"/>
      <c r="I554" s="9"/>
      <c r="J554" s="9"/>
      <c r="K554" s="20">
        <v>1</v>
      </c>
      <c r="L554" s="23">
        <v>0</v>
      </c>
      <c r="M554" s="17">
        <f>ROUND(K554*L554,2)</f>
        <v>0</v>
      </c>
    </row>
    <row r="555" spans="1:13">
      <c r="A555" s="9"/>
      <c r="B555" s="9"/>
      <c r="C555" s="9"/>
      <c r="D555" s="18" t="s">
        <v>519</v>
      </c>
      <c r="E555" s="9"/>
      <c r="F555" s="9"/>
      <c r="G555" s="9"/>
      <c r="H555" s="9"/>
      <c r="I555" s="9"/>
      <c r="J555" s="9"/>
      <c r="K555" s="9"/>
      <c r="L555" s="9"/>
      <c r="M555" s="9"/>
    </row>
    <row r="556" spans="1:13" ht="33.75">
      <c r="A556" s="15" t="s">
        <v>520</v>
      </c>
      <c r="B556" s="10" t="s">
        <v>23</v>
      </c>
      <c r="C556" s="10" t="s">
        <v>4</v>
      </c>
      <c r="D556" s="18" t="s">
        <v>521</v>
      </c>
      <c r="E556" s="9"/>
      <c r="F556" s="9"/>
      <c r="G556" s="9"/>
      <c r="H556" s="9"/>
      <c r="I556" s="9"/>
      <c r="J556" s="9"/>
      <c r="K556" s="20">
        <v>1</v>
      </c>
      <c r="L556" s="23">
        <v>0</v>
      </c>
      <c r="M556" s="17">
        <f>ROUND(K556*L556,2)</f>
        <v>0</v>
      </c>
    </row>
    <row r="557" spans="1:13">
      <c r="A557" s="9"/>
      <c r="B557" s="9"/>
      <c r="C557" s="9"/>
      <c r="D557" s="18" t="s">
        <v>522</v>
      </c>
      <c r="E557" s="9"/>
      <c r="F557" s="9"/>
      <c r="G557" s="9"/>
      <c r="H557" s="9"/>
      <c r="I557" s="9"/>
      <c r="J557" s="9"/>
      <c r="K557" s="9"/>
      <c r="L557" s="9"/>
      <c r="M557" s="9"/>
    </row>
    <row r="558" spans="1:13" ht="33.75">
      <c r="A558" s="15" t="s">
        <v>523</v>
      </c>
      <c r="B558" s="10" t="s">
        <v>23</v>
      </c>
      <c r="C558" s="10" t="s">
        <v>4</v>
      </c>
      <c r="D558" s="18" t="s">
        <v>524</v>
      </c>
      <c r="E558" s="9"/>
      <c r="F558" s="9"/>
      <c r="G558" s="9"/>
      <c r="H558" s="9"/>
      <c r="I558" s="9"/>
      <c r="J558" s="9"/>
      <c r="K558" s="20">
        <v>1</v>
      </c>
      <c r="L558" s="23">
        <v>0</v>
      </c>
      <c r="M558" s="17">
        <f>ROUND(K558*L558,2)</f>
        <v>0</v>
      </c>
    </row>
    <row r="559" spans="1:13">
      <c r="A559" s="9"/>
      <c r="B559" s="9"/>
      <c r="C559" s="9"/>
      <c r="D559" s="18" t="s">
        <v>525</v>
      </c>
      <c r="E559" s="9"/>
      <c r="F559" s="9"/>
      <c r="G559" s="9"/>
      <c r="H559" s="9"/>
      <c r="I559" s="9"/>
      <c r="J559" s="9"/>
      <c r="K559" s="9"/>
      <c r="L559" s="9"/>
      <c r="M559" s="9"/>
    </row>
    <row r="560" spans="1:13">
      <c r="A560" s="9"/>
      <c r="B560" s="9"/>
      <c r="C560" s="9"/>
      <c r="D560" s="30"/>
      <c r="E560" s="9"/>
      <c r="F560" s="9"/>
      <c r="G560" s="9"/>
      <c r="H560" s="9"/>
      <c r="I560" s="9"/>
      <c r="J560" s="21" t="s">
        <v>526</v>
      </c>
      <c r="K560" s="20">
        <v>1</v>
      </c>
      <c r="L560" s="24">
        <f>M550+M552+M554+M556+M558</f>
        <v>0</v>
      </c>
      <c r="M560" s="24">
        <f>ROUND(K560*L560,2)</f>
        <v>0</v>
      </c>
    </row>
    <row r="561" spans="1:13" ht="0.95" customHeight="1">
      <c r="A561" s="25"/>
      <c r="B561" s="25"/>
      <c r="C561" s="25"/>
      <c r="D561" s="31"/>
      <c r="E561" s="25"/>
      <c r="F561" s="25"/>
      <c r="G561" s="25"/>
      <c r="H561" s="25"/>
      <c r="I561" s="25"/>
      <c r="J561" s="25"/>
      <c r="K561" s="25"/>
      <c r="L561" s="25"/>
      <c r="M561" s="25"/>
    </row>
    <row r="562" spans="1:13">
      <c r="A562" s="11" t="s">
        <v>527</v>
      </c>
      <c r="B562" s="11" t="s">
        <v>16</v>
      </c>
      <c r="C562" s="11" t="s">
        <v>17</v>
      </c>
      <c r="D562" s="29" t="s">
        <v>528</v>
      </c>
      <c r="E562" s="12"/>
      <c r="F562" s="12"/>
      <c r="G562" s="12"/>
      <c r="H562" s="12"/>
      <c r="I562" s="12"/>
      <c r="J562" s="12"/>
      <c r="K562" s="13">
        <f>K602</f>
        <v>1</v>
      </c>
      <c r="L562" s="14">
        <f>L602</f>
        <v>0</v>
      </c>
      <c r="M562" s="14">
        <f>M602</f>
        <v>0</v>
      </c>
    </row>
    <row r="563" spans="1:13">
      <c r="A563" s="9"/>
      <c r="B563" s="9"/>
      <c r="C563" s="9"/>
      <c r="D563" s="18" t="s">
        <v>529</v>
      </c>
      <c r="E563" s="9"/>
      <c r="F563" s="9"/>
      <c r="G563" s="9"/>
      <c r="H563" s="9"/>
      <c r="I563" s="9"/>
      <c r="J563" s="9"/>
      <c r="K563" s="9"/>
      <c r="L563" s="9"/>
      <c r="M563" s="9"/>
    </row>
    <row r="564" spans="1:13" ht="22.5">
      <c r="A564" s="15" t="s">
        <v>530</v>
      </c>
      <c r="B564" s="10" t="s">
        <v>23</v>
      </c>
      <c r="C564" s="10" t="s">
        <v>4</v>
      </c>
      <c r="D564" s="18" t="s">
        <v>531</v>
      </c>
      <c r="E564" s="9"/>
      <c r="F564" s="9"/>
      <c r="G564" s="9"/>
      <c r="H564" s="9"/>
      <c r="I564" s="9"/>
      <c r="J564" s="9"/>
      <c r="K564" s="16">
        <f>K567</f>
        <v>1</v>
      </c>
      <c r="L564" s="17">
        <f>L567</f>
        <v>0</v>
      </c>
      <c r="M564" s="17">
        <f>M567</f>
        <v>0</v>
      </c>
    </row>
    <row r="565" spans="1:13">
      <c r="A565" s="9"/>
      <c r="B565" s="9"/>
      <c r="C565" s="9"/>
      <c r="D565" s="18" t="s">
        <v>532</v>
      </c>
      <c r="E565" s="9"/>
      <c r="F565" s="9"/>
      <c r="G565" s="9"/>
      <c r="H565" s="9"/>
      <c r="I565" s="9"/>
      <c r="J565" s="9"/>
      <c r="K565" s="9"/>
      <c r="L565" s="9"/>
      <c r="M565" s="9"/>
    </row>
    <row r="566" spans="1:13">
      <c r="A566" s="9"/>
      <c r="B566" s="9"/>
      <c r="C566" s="10" t="s">
        <v>27</v>
      </c>
      <c r="D566" s="30"/>
      <c r="E566" s="10" t="s">
        <v>286</v>
      </c>
      <c r="F566" s="19">
        <v>1</v>
      </c>
      <c r="G566" s="20">
        <v>0</v>
      </c>
      <c r="H566" s="20">
        <v>0</v>
      </c>
      <c r="I566" s="20">
        <v>0</v>
      </c>
      <c r="J566" s="16">
        <f>OR(F566&lt;&gt;0,G566&lt;&gt;0,H566&lt;&gt;0,I566&lt;&gt;0)*(F566 + (F566 = 0))*(G566 + (G566 = 0))*(H566 + (H566 = 0))*(I566 + (I566 = 0))</f>
        <v>1</v>
      </c>
      <c r="K566" s="9"/>
      <c r="L566" s="9"/>
      <c r="M566" s="9"/>
    </row>
    <row r="567" spans="1:13">
      <c r="A567" s="9"/>
      <c r="B567" s="9"/>
      <c r="C567" s="9"/>
      <c r="D567" s="30"/>
      <c r="E567" s="9"/>
      <c r="F567" s="9"/>
      <c r="G567" s="9"/>
      <c r="H567" s="9"/>
      <c r="I567" s="9"/>
      <c r="J567" s="21" t="s">
        <v>533</v>
      </c>
      <c r="K567" s="22">
        <f>J566</f>
        <v>1</v>
      </c>
      <c r="L567" s="23">
        <v>0</v>
      </c>
      <c r="M567" s="24">
        <f>ROUND(K567*L567,2)</f>
        <v>0</v>
      </c>
    </row>
    <row r="568" spans="1:13" ht="0.95" customHeight="1">
      <c r="A568" s="25"/>
      <c r="B568" s="25"/>
      <c r="C568" s="25"/>
      <c r="D568" s="31"/>
      <c r="E568" s="25"/>
      <c r="F568" s="25"/>
      <c r="G568" s="25"/>
      <c r="H568" s="25"/>
      <c r="I568" s="25"/>
      <c r="J568" s="25"/>
      <c r="K568" s="25"/>
      <c r="L568" s="25"/>
      <c r="M568" s="25"/>
    </row>
    <row r="569" spans="1:13" ht="22.5">
      <c r="A569" s="15" t="s">
        <v>534</v>
      </c>
      <c r="B569" s="10" t="s">
        <v>23</v>
      </c>
      <c r="C569" s="10" t="s">
        <v>4</v>
      </c>
      <c r="D569" s="18" t="s">
        <v>535</v>
      </c>
      <c r="E569" s="9"/>
      <c r="F569" s="9"/>
      <c r="G569" s="9"/>
      <c r="H569" s="9"/>
      <c r="I569" s="9"/>
      <c r="J569" s="9"/>
      <c r="K569" s="16">
        <f>K572</f>
        <v>1</v>
      </c>
      <c r="L569" s="17">
        <f>L572</f>
        <v>0</v>
      </c>
      <c r="M569" s="17">
        <f>M572</f>
        <v>0</v>
      </c>
    </row>
    <row r="570" spans="1:13">
      <c r="A570" s="9"/>
      <c r="B570" s="9"/>
      <c r="C570" s="9"/>
      <c r="D570" s="18" t="s">
        <v>536</v>
      </c>
      <c r="E570" s="9"/>
      <c r="F570" s="9"/>
      <c r="G570" s="9"/>
      <c r="H570" s="9"/>
      <c r="I570" s="9"/>
      <c r="J570" s="9"/>
      <c r="K570" s="9"/>
      <c r="L570" s="9"/>
      <c r="M570" s="9"/>
    </row>
    <row r="571" spans="1:13">
      <c r="A571" s="9"/>
      <c r="B571" s="9"/>
      <c r="C571" s="10" t="s">
        <v>27</v>
      </c>
      <c r="D571" s="30"/>
      <c r="E571" s="10" t="s">
        <v>300</v>
      </c>
      <c r="F571" s="19">
        <v>1</v>
      </c>
      <c r="G571" s="20">
        <v>0</v>
      </c>
      <c r="H571" s="20">
        <v>0</v>
      </c>
      <c r="I571" s="20">
        <v>0</v>
      </c>
      <c r="J571" s="16">
        <f>OR(F571&lt;&gt;0,G571&lt;&gt;0,H571&lt;&gt;0,I571&lt;&gt;0)*(F571 + (F571 = 0))*(G571 + (G571 = 0))*(H571 + (H571 = 0))*(I571 + (I571 = 0))</f>
        <v>1</v>
      </c>
      <c r="K571" s="9"/>
      <c r="L571" s="9"/>
      <c r="M571" s="9"/>
    </row>
    <row r="572" spans="1:13">
      <c r="A572" s="9"/>
      <c r="B572" s="9"/>
      <c r="C572" s="9"/>
      <c r="D572" s="30"/>
      <c r="E572" s="9"/>
      <c r="F572" s="9"/>
      <c r="G572" s="9"/>
      <c r="H572" s="9"/>
      <c r="I572" s="9"/>
      <c r="J572" s="21" t="s">
        <v>537</v>
      </c>
      <c r="K572" s="22">
        <f>J571</f>
        <v>1</v>
      </c>
      <c r="L572" s="23">
        <v>0</v>
      </c>
      <c r="M572" s="24">
        <f>ROUND(K572*L572,2)</f>
        <v>0</v>
      </c>
    </row>
    <row r="573" spans="1:13" ht="0.95" customHeight="1">
      <c r="A573" s="25"/>
      <c r="B573" s="25"/>
      <c r="C573" s="25"/>
      <c r="D573" s="31"/>
      <c r="E573" s="25"/>
      <c r="F573" s="25"/>
      <c r="G573" s="25"/>
      <c r="H573" s="25"/>
      <c r="I573" s="25"/>
      <c r="J573" s="25"/>
      <c r="K573" s="25"/>
      <c r="L573" s="25"/>
      <c r="M573" s="25"/>
    </row>
    <row r="574" spans="1:13" ht="22.5">
      <c r="A574" s="15" t="s">
        <v>538</v>
      </c>
      <c r="B574" s="10" t="s">
        <v>23</v>
      </c>
      <c r="C574" s="10" t="s">
        <v>4</v>
      </c>
      <c r="D574" s="18" t="s">
        <v>539</v>
      </c>
      <c r="E574" s="9"/>
      <c r="F574" s="9"/>
      <c r="G574" s="9"/>
      <c r="H574" s="9"/>
      <c r="I574" s="9"/>
      <c r="J574" s="9"/>
      <c r="K574" s="16">
        <f>K578</f>
        <v>2</v>
      </c>
      <c r="L574" s="17">
        <f>L578</f>
        <v>0</v>
      </c>
      <c r="M574" s="17">
        <f>M578</f>
        <v>0</v>
      </c>
    </row>
    <row r="575" spans="1:13">
      <c r="A575" s="9"/>
      <c r="B575" s="9"/>
      <c r="C575" s="9"/>
      <c r="D575" s="18" t="s">
        <v>540</v>
      </c>
      <c r="E575" s="9"/>
      <c r="F575" s="9"/>
      <c r="G575" s="9"/>
      <c r="H575" s="9"/>
      <c r="I575" s="9"/>
      <c r="J575" s="9"/>
      <c r="K575" s="9"/>
      <c r="L575" s="9"/>
      <c r="M575" s="9"/>
    </row>
    <row r="576" spans="1:13">
      <c r="A576" s="9"/>
      <c r="B576" s="9"/>
      <c r="C576" s="10" t="s">
        <v>27</v>
      </c>
      <c r="D576" s="30"/>
      <c r="E576" s="10" t="s">
        <v>541</v>
      </c>
      <c r="F576" s="19">
        <v>1</v>
      </c>
      <c r="G576" s="20">
        <v>0</v>
      </c>
      <c r="H576" s="20">
        <v>0</v>
      </c>
      <c r="I576" s="20">
        <v>0</v>
      </c>
      <c r="J576" s="16">
        <f>OR(F576&lt;&gt;0,G576&lt;&gt;0,H576&lt;&gt;0,I576&lt;&gt;0)*(F576 + (F576 = 0))*(G576 + (G576 = 0))*(H576 + (H576 = 0))*(I576 + (I576 = 0))</f>
        <v>1</v>
      </c>
      <c r="K576" s="9"/>
      <c r="L576" s="9"/>
      <c r="M576" s="9"/>
    </row>
    <row r="577" spans="1:13">
      <c r="A577" s="9"/>
      <c r="B577" s="9"/>
      <c r="C577" s="10" t="s">
        <v>27</v>
      </c>
      <c r="D577" s="30"/>
      <c r="E577" s="10" t="s">
        <v>542</v>
      </c>
      <c r="F577" s="19">
        <v>1</v>
      </c>
      <c r="G577" s="20">
        <v>0</v>
      </c>
      <c r="H577" s="20">
        <v>0</v>
      </c>
      <c r="I577" s="20">
        <v>0</v>
      </c>
      <c r="J577" s="16">
        <f>OR(F577&lt;&gt;0,G577&lt;&gt;0,H577&lt;&gt;0,I577&lt;&gt;0)*(F577 + (F577 = 0))*(G577 + (G577 = 0))*(H577 + (H577 = 0))*(I577 + (I577 = 0))</f>
        <v>1</v>
      </c>
      <c r="K577" s="9"/>
      <c r="L577" s="9"/>
      <c r="M577" s="9"/>
    </row>
    <row r="578" spans="1:13">
      <c r="A578" s="9"/>
      <c r="B578" s="9"/>
      <c r="C578" s="9"/>
      <c r="D578" s="30"/>
      <c r="E578" s="9"/>
      <c r="F578" s="9"/>
      <c r="G578" s="9"/>
      <c r="H578" s="9"/>
      <c r="I578" s="9"/>
      <c r="J578" s="21" t="s">
        <v>543</v>
      </c>
      <c r="K578" s="22">
        <f>SUM(J576:J577)</f>
        <v>2</v>
      </c>
      <c r="L578" s="23">
        <v>0</v>
      </c>
      <c r="M578" s="24">
        <f>ROUND(K578*L578,2)</f>
        <v>0</v>
      </c>
    </row>
    <row r="579" spans="1:13" ht="0.95" customHeight="1">
      <c r="A579" s="25"/>
      <c r="B579" s="25"/>
      <c r="C579" s="25"/>
      <c r="D579" s="31"/>
      <c r="E579" s="25"/>
      <c r="F579" s="25"/>
      <c r="G579" s="25"/>
      <c r="H579" s="25"/>
      <c r="I579" s="25"/>
      <c r="J579" s="25"/>
      <c r="K579" s="25"/>
      <c r="L579" s="25"/>
      <c r="M579" s="25"/>
    </row>
    <row r="580" spans="1:13" ht="22.5">
      <c r="A580" s="15" t="s">
        <v>544</v>
      </c>
      <c r="B580" s="10" t="s">
        <v>23</v>
      </c>
      <c r="C580" s="10" t="s">
        <v>4</v>
      </c>
      <c r="D580" s="18" t="s">
        <v>545</v>
      </c>
      <c r="E580" s="9"/>
      <c r="F580" s="9"/>
      <c r="G580" s="9"/>
      <c r="H580" s="9"/>
      <c r="I580" s="9"/>
      <c r="J580" s="9"/>
      <c r="K580" s="16">
        <f>K583</f>
        <v>1</v>
      </c>
      <c r="L580" s="17">
        <f>L583</f>
        <v>0</v>
      </c>
      <c r="M580" s="17">
        <f>M583</f>
        <v>0</v>
      </c>
    </row>
    <row r="581" spans="1:13">
      <c r="A581" s="9"/>
      <c r="B581" s="9"/>
      <c r="C581" s="9"/>
      <c r="D581" s="18" t="s">
        <v>546</v>
      </c>
      <c r="E581" s="9"/>
      <c r="F581" s="9"/>
      <c r="G581" s="9"/>
      <c r="H581" s="9"/>
      <c r="I581" s="9"/>
      <c r="J581" s="9"/>
      <c r="K581" s="9"/>
      <c r="L581" s="9"/>
      <c r="M581" s="9"/>
    </row>
    <row r="582" spans="1:13">
      <c r="A582" s="9"/>
      <c r="B582" s="9"/>
      <c r="C582" s="10" t="s">
        <v>27</v>
      </c>
      <c r="D582" s="30"/>
      <c r="E582" s="10" t="s">
        <v>547</v>
      </c>
      <c r="F582" s="19">
        <v>1</v>
      </c>
      <c r="G582" s="20">
        <v>0</v>
      </c>
      <c r="H582" s="20">
        <v>0</v>
      </c>
      <c r="I582" s="20">
        <v>0</v>
      </c>
      <c r="J582" s="16">
        <f>OR(F582&lt;&gt;0,G582&lt;&gt;0,H582&lt;&gt;0,I582&lt;&gt;0)*(F582 + (F582 = 0))*(G582 + (G582 = 0))*(H582 + (H582 = 0))*(I582 + (I582 = 0))</f>
        <v>1</v>
      </c>
      <c r="K582" s="9"/>
      <c r="L582" s="9"/>
      <c r="M582" s="9"/>
    </row>
    <row r="583" spans="1:13">
      <c r="A583" s="9"/>
      <c r="B583" s="9"/>
      <c r="C583" s="9"/>
      <c r="D583" s="30"/>
      <c r="E583" s="9"/>
      <c r="F583" s="9"/>
      <c r="G583" s="9"/>
      <c r="H583" s="9"/>
      <c r="I583" s="9"/>
      <c r="J583" s="21" t="s">
        <v>548</v>
      </c>
      <c r="K583" s="22">
        <f>J582</f>
        <v>1</v>
      </c>
      <c r="L583" s="23">
        <v>0</v>
      </c>
      <c r="M583" s="24">
        <f>ROUND(K583*L583,2)</f>
        <v>0</v>
      </c>
    </row>
    <row r="584" spans="1:13" ht="0.95" customHeight="1">
      <c r="A584" s="25"/>
      <c r="B584" s="25"/>
      <c r="C584" s="25"/>
      <c r="D584" s="31"/>
      <c r="E584" s="25"/>
      <c r="F584" s="25"/>
      <c r="G584" s="25"/>
      <c r="H584" s="25"/>
      <c r="I584" s="25"/>
      <c r="J584" s="25"/>
      <c r="K584" s="25"/>
      <c r="L584" s="25"/>
      <c r="M584" s="25"/>
    </row>
    <row r="585" spans="1:13" ht="22.5">
      <c r="A585" s="15" t="s">
        <v>549</v>
      </c>
      <c r="B585" s="10" t="s">
        <v>23</v>
      </c>
      <c r="C585" s="10" t="s">
        <v>94</v>
      </c>
      <c r="D585" s="18" t="s">
        <v>550</v>
      </c>
      <c r="E585" s="9"/>
      <c r="F585" s="9"/>
      <c r="G585" s="9"/>
      <c r="H585" s="9"/>
      <c r="I585" s="9"/>
      <c r="J585" s="9"/>
      <c r="K585" s="16">
        <f>K590</f>
        <v>7.1230000000000002</v>
      </c>
      <c r="L585" s="17">
        <f>L590</f>
        <v>0</v>
      </c>
      <c r="M585" s="17">
        <f>M590</f>
        <v>0</v>
      </c>
    </row>
    <row r="586" spans="1:13">
      <c r="A586" s="9"/>
      <c r="B586" s="9"/>
      <c r="C586" s="9"/>
      <c r="D586" s="18" t="s">
        <v>551</v>
      </c>
      <c r="E586" s="9"/>
      <c r="F586" s="9"/>
      <c r="G586" s="9"/>
      <c r="H586" s="9"/>
      <c r="I586" s="9"/>
      <c r="J586" s="9"/>
      <c r="K586" s="9"/>
      <c r="L586" s="9"/>
      <c r="M586" s="9"/>
    </row>
    <row r="587" spans="1:13">
      <c r="A587" s="9"/>
      <c r="B587" s="9"/>
      <c r="C587" s="10" t="s">
        <v>27</v>
      </c>
      <c r="D587" s="30"/>
      <c r="E587" s="10" t="s">
        <v>552</v>
      </c>
      <c r="F587" s="19">
        <v>1</v>
      </c>
      <c r="G587" s="20">
        <v>0</v>
      </c>
      <c r="H587" s="20">
        <v>1.35</v>
      </c>
      <c r="I587" s="20">
        <v>1.7</v>
      </c>
      <c r="J587" s="16">
        <f>OR(F587&lt;&gt;0,G587&lt;&gt;0,H587&lt;&gt;0,I587&lt;&gt;0)*(F587 + (F587 = 0))*(G587 + (G587 = 0))*(H587 + (H587 = 0))*(I587 + (I587 = 0))</f>
        <v>2.2949999999999999</v>
      </c>
      <c r="K587" s="9"/>
      <c r="L587" s="9"/>
      <c r="M587" s="9"/>
    </row>
    <row r="588" spans="1:13">
      <c r="A588" s="9"/>
      <c r="B588" s="9"/>
      <c r="C588" s="10" t="s">
        <v>27</v>
      </c>
      <c r="D588" s="30"/>
      <c r="E588" s="10" t="s">
        <v>553</v>
      </c>
      <c r="F588" s="19">
        <v>2</v>
      </c>
      <c r="G588" s="20">
        <v>0</v>
      </c>
      <c r="H588" s="20">
        <v>0.62</v>
      </c>
      <c r="I588" s="20">
        <v>2.2999999999999998</v>
      </c>
      <c r="J588" s="16">
        <f>OR(F588&lt;&gt;0,G588&lt;&gt;0,H588&lt;&gt;0,I588&lt;&gt;0)*(F588 + (F588 = 0))*(G588 + (G588 = 0))*(H588 + (H588 = 0))*(I588 + (I588 = 0))</f>
        <v>2.8519999999999999</v>
      </c>
      <c r="K588" s="9"/>
      <c r="L588" s="9"/>
      <c r="M588" s="9"/>
    </row>
    <row r="589" spans="1:13">
      <c r="A589" s="9"/>
      <c r="B589" s="9"/>
      <c r="C589" s="10" t="s">
        <v>27</v>
      </c>
      <c r="D589" s="30"/>
      <c r="E589" s="10" t="s">
        <v>17</v>
      </c>
      <c r="F589" s="19">
        <v>2</v>
      </c>
      <c r="G589" s="20">
        <v>0</v>
      </c>
      <c r="H589" s="20">
        <v>0.52</v>
      </c>
      <c r="I589" s="20">
        <v>1.9</v>
      </c>
      <c r="J589" s="16">
        <f>OR(F589&lt;&gt;0,G589&lt;&gt;0,H589&lt;&gt;0,I589&lt;&gt;0)*(F589 + (F589 = 0))*(G589 + (G589 = 0))*(H589 + (H589 = 0))*(I589 + (I589 = 0))</f>
        <v>1.976</v>
      </c>
      <c r="K589" s="9"/>
      <c r="L589" s="9"/>
      <c r="M589" s="9"/>
    </row>
    <row r="590" spans="1:13">
      <c r="A590" s="9"/>
      <c r="B590" s="9"/>
      <c r="C590" s="9"/>
      <c r="D590" s="30"/>
      <c r="E590" s="9"/>
      <c r="F590" s="9"/>
      <c r="G590" s="9"/>
      <c r="H590" s="9"/>
      <c r="I590" s="9"/>
      <c r="J590" s="21" t="s">
        <v>554</v>
      </c>
      <c r="K590" s="22">
        <f>SUM(J587:J589)</f>
        <v>7.1230000000000002</v>
      </c>
      <c r="L590" s="23">
        <v>0</v>
      </c>
      <c r="M590" s="24">
        <f>ROUND(K590*L590,2)</f>
        <v>0</v>
      </c>
    </row>
    <row r="591" spans="1:13" ht="0.95" customHeight="1">
      <c r="A591" s="25"/>
      <c r="B591" s="25"/>
      <c r="C591" s="25"/>
      <c r="D591" s="31"/>
      <c r="E591" s="25"/>
      <c r="F591" s="25"/>
      <c r="G591" s="25"/>
      <c r="H591" s="25"/>
      <c r="I591" s="25"/>
      <c r="J591" s="25"/>
      <c r="K591" s="25"/>
      <c r="L591" s="25"/>
      <c r="M591" s="25"/>
    </row>
    <row r="592" spans="1:13">
      <c r="A592" s="15" t="s">
        <v>555</v>
      </c>
      <c r="B592" s="10" t="s">
        <v>23</v>
      </c>
      <c r="C592" s="10" t="s">
        <v>94</v>
      </c>
      <c r="D592" s="18" t="s">
        <v>556</v>
      </c>
      <c r="E592" s="9"/>
      <c r="F592" s="9"/>
      <c r="G592" s="9"/>
      <c r="H592" s="9"/>
      <c r="I592" s="9"/>
      <c r="J592" s="9"/>
      <c r="K592" s="16">
        <f>K595</f>
        <v>6.12</v>
      </c>
      <c r="L592" s="17">
        <f>L595</f>
        <v>0</v>
      </c>
      <c r="M592" s="17">
        <f>M595</f>
        <v>0</v>
      </c>
    </row>
    <row r="593" spans="1:13">
      <c r="A593" s="9"/>
      <c r="B593" s="9"/>
      <c r="C593" s="9"/>
      <c r="D593" s="18" t="s">
        <v>557</v>
      </c>
      <c r="E593" s="9"/>
      <c r="F593" s="9"/>
      <c r="G593" s="9"/>
      <c r="H593" s="9"/>
      <c r="I593" s="9"/>
      <c r="J593" s="9"/>
      <c r="K593" s="9"/>
      <c r="L593" s="9"/>
      <c r="M593" s="9"/>
    </row>
    <row r="594" spans="1:13">
      <c r="A594" s="9"/>
      <c r="B594" s="9"/>
      <c r="C594" s="10" t="s">
        <v>27</v>
      </c>
      <c r="D594" s="30"/>
      <c r="E594" s="10" t="s">
        <v>366</v>
      </c>
      <c r="F594" s="19">
        <v>1</v>
      </c>
      <c r="G594" s="23">
        <v>0</v>
      </c>
      <c r="H594" s="23">
        <v>2.5499999999999998</v>
      </c>
      <c r="I594" s="23">
        <v>2.4</v>
      </c>
      <c r="J594" s="17">
        <f>OR(F594&lt;&gt;0,G594&lt;&gt;0,H594&lt;&gt;0,I594&lt;&gt;0)*(F594 + (F594 = 0))*(G594 + (G594 = 0))*(H594 + (H594 = 0))*(I594 + (I594 = 0))</f>
        <v>6.12</v>
      </c>
      <c r="K594" s="9"/>
      <c r="L594" s="9"/>
      <c r="M594" s="9"/>
    </row>
    <row r="595" spans="1:13">
      <c r="A595" s="9"/>
      <c r="B595" s="9"/>
      <c r="C595" s="9"/>
      <c r="D595" s="30"/>
      <c r="E595" s="9"/>
      <c r="F595" s="9"/>
      <c r="G595" s="9"/>
      <c r="H595" s="9"/>
      <c r="I595" s="9"/>
      <c r="J595" s="21" t="s">
        <v>558</v>
      </c>
      <c r="K595" s="22">
        <f>J594</f>
        <v>6.12</v>
      </c>
      <c r="L595" s="23">
        <v>0</v>
      </c>
      <c r="M595" s="24">
        <f>ROUND(K595*L595,2)</f>
        <v>0</v>
      </c>
    </row>
    <row r="596" spans="1:13" ht="0.95" customHeight="1">
      <c r="A596" s="25"/>
      <c r="B596" s="25"/>
      <c r="C596" s="25"/>
      <c r="D596" s="31"/>
      <c r="E596" s="25"/>
      <c r="F596" s="25"/>
      <c r="G596" s="25"/>
      <c r="H596" s="25"/>
      <c r="I596" s="25"/>
      <c r="J596" s="25"/>
      <c r="K596" s="25"/>
      <c r="L596" s="25"/>
      <c r="M596" s="25"/>
    </row>
    <row r="597" spans="1:13" ht="22.5">
      <c r="A597" s="15" t="s">
        <v>559</v>
      </c>
      <c r="B597" s="10" t="s">
        <v>23</v>
      </c>
      <c r="C597" s="10" t="s">
        <v>4</v>
      </c>
      <c r="D597" s="18" t="s">
        <v>560</v>
      </c>
      <c r="E597" s="9"/>
      <c r="F597" s="9"/>
      <c r="G597" s="9"/>
      <c r="H597" s="9"/>
      <c r="I597" s="9"/>
      <c r="J597" s="9"/>
      <c r="K597" s="16">
        <f>K600</f>
        <v>1</v>
      </c>
      <c r="L597" s="17">
        <f>L600</f>
        <v>0</v>
      </c>
      <c r="M597" s="17">
        <f>M600</f>
        <v>0</v>
      </c>
    </row>
    <row r="598" spans="1:13">
      <c r="A598" s="9"/>
      <c r="B598" s="9"/>
      <c r="C598" s="9"/>
      <c r="D598" s="18" t="s">
        <v>561</v>
      </c>
      <c r="E598" s="9"/>
      <c r="F598" s="9"/>
      <c r="G598" s="9"/>
      <c r="H598" s="9"/>
      <c r="I598" s="9"/>
      <c r="J598" s="9"/>
      <c r="K598" s="9"/>
      <c r="L598" s="9"/>
      <c r="M598" s="9"/>
    </row>
    <row r="599" spans="1:13">
      <c r="A599" s="9"/>
      <c r="B599" s="9"/>
      <c r="C599" s="10" t="s">
        <v>27</v>
      </c>
      <c r="D599" s="30"/>
      <c r="E599" s="10" t="s">
        <v>435</v>
      </c>
      <c r="F599" s="19">
        <v>1</v>
      </c>
      <c r="G599" s="23">
        <v>0</v>
      </c>
      <c r="H599" s="23">
        <v>0</v>
      </c>
      <c r="I599" s="23">
        <v>0</v>
      </c>
      <c r="J599" s="17">
        <f>OR(F599&lt;&gt;0,G599&lt;&gt;0,H599&lt;&gt;0,I599&lt;&gt;0)*(F599 + (F599 = 0))*(G599 + (G599 = 0))*(H599 + (H599 = 0))*(I599 + (I599 = 0))</f>
        <v>1</v>
      </c>
      <c r="K599" s="9"/>
      <c r="L599" s="9"/>
      <c r="M599" s="9"/>
    </row>
    <row r="600" spans="1:13">
      <c r="A600" s="9"/>
      <c r="B600" s="9"/>
      <c r="C600" s="9"/>
      <c r="D600" s="30"/>
      <c r="E600" s="9"/>
      <c r="F600" s="9"/>
      <c r="G600" s="9"/>
      <c r="H600" s="9"/>
      <c r="I600" s="9"/>
      <c r="J600" s="21" t="s">
        <v>562</v>
      </c>
      <c r="K600" s="22">
        <f>J599</f>
        <v>1</v>
      </c>
      <c r="L600" s="23">
        <v>0</v>
      </c>
      <c r="M600" s="24">
        <f>ROUND(K600*L600,2)</f>
        <v>0</v>
      </c>
    </row>
    <row r="601" spans="1:13" ht="0.95" customHeight="1">
      <c r="A601" s="25"/>
      <c r="B601" s="25"/>
      <c r="C601" s="25"/>
      <c r="D601" s="31"/>
      <c r="E601" s="25"/>
      <c r="F601" s="25"/>
      <c r="G601" s="25"/>
      <c r="H601" s="25"/>
      <c r="I601" s="25"/>
      <c r="J601" s="25"/>
      <c r="K601" s="25"/>
      <c r="L601" s="25"/>
      <c r="M601" s="25"/>
    </row>
    <row r="602" spans="1:13">
      <c r="A602" s="9"/>
      <c r="B602" s="9"/>
      <c r="C602" s="9"/>
      <c r="D602" s="30"/>
      <c r="E602" s="9"/>
      <c r="F602" s="9"/>
      <c r="G602" s="9"/>
      <c r="H602" s="9"/>
      <c r="I602" s="9"/>
      <c r="J602" s="21" t="s">
        <v>563</v>
      </c>
      <c r="K602" s="20">
        <v>1</v>
      </c>
      <c r="L602" s="24">
        <f>M564+M569+M574+M580+M585+M592+M597</f>
        <v>0</v>
      </c>
      <c r="M602" s="24">
        <f>ROUND(K602*L602,2)</f>
        <v>0</v>
      </c>
    </row>
    <row r="603" spans="1:13" ht="0.95" customHeight="1">
      <c r="A603" s="25"/>
      <c r="B603" s="25"/>
      <c r="C603" s="25"/>
      <c r="D603" s="31"/>
      <c r="E603" s="25"/>
      <c r="F603" s="25"/>
      <c r="G603" s="25"/>
      <c r="H603" s="25"/>
      <c r="I603" s="25"/>
      <c r="J603" s="25"/>
      <c r="K603" s="25"/>
      <c r="L603" s="25"/>
      <c r="M603" s="25"/>
    </row>
    <row r="604" spans="1:13">
      <c r="A604" s="11" t="s">
        <v>564</v>
      </c>
      <c r="B604" s="11" t="s">
        <v>16</v>
      </c>
      <c r="C604" s="11" t="s">
        <v>17</v>
      </c>
      <c r="D604" s="29" t="s">
        <v>565</v>
      </c>
      <c r="E604" s="12"/>
      <c r="F604" s="12"/>
      <c r="G604" s="12"/>
      <c r="H604" s="12"/>
      <c r="I604" s="12"/>
      <c r="J604" s="12"/>
      <c r="K604" s="13">
        <f>K679</f>
        <v>1</v>
      </c>
      <c r="L604" s="14">
        <f>L679</f>
        <v>0</v>
      </c>
      <c r="M604" s="14">
        <f>M679</f>
        <v>0</v>
      </c>
    </row>
    <row r="605" spans="1:13" ht="22.5">
      <c r="A605" s="15" t="s">
        <v>566</v>
      </c>
      <c r="B605" s="10" t="s">
        <v>23</v>
      </c>
      <c r="C605" s="10" t="s">
        <v>94</v>
      </c>
      <c r="D605" s="18" t="s">
        <v>567</v>
      </c>
      <c r="E605" s="9"/>
      <c r="F605" s="9"/>
      <c r="G605" s="9"/>
      <c r="H605" s="9"/>
      <c r="I605" s="9"/>
      <c r="J605" s="9"/>
      <c r="K605" s="16">
        <f>K610</f>
        <v>5.51</v>
      </c>
      <c r="L605" s="17">
        <f>L610</f>
        <v>0</v>
      </c>
      <c r="M605" s="17">
        <f>M610</f>
        <v>0</v>
      </c>
    </row>
    <row r="606" spans="1:13">
      <c r="A606" s="9"/>
      <c r="B606" s="9"/>
      <c r="C606" s="9"/>
      <c r="D606" s="18" t="s">
        <v>568</v>
      </c>
      <c r="E606" s="9"/>
      <c r="F606" s="9"/>
      <c r="G606" s="9"/>
      <c r="H606" s="9"/>
      <c r="I606" s="9"/>
      <c r="J606" s="9"/>
      <c r="K606" s="9"/>
      <c r="L606" s="9"/>
      <c r="M606" s="9"/>
    </row>
    <row r="607" spans="1:13">
      <c r="A607" s="9"/>
      <c r="B607" s="9"/>
      <c r="C607" s="10" t="s">
        <v>27</v>
      </c>
      <c r="D607" s="30"/>
      <c r="E607" s="10" t="s">
        <v>285</v>
      </c>
      <c r="F607" s="19">
        <v>1</v>
      </c>
      <c r="G607" s="23">
        <v>0</v>
      </c>
      <c r="H607" s="23">
        <v>0.84</v>
      </c>
      <c r="I607" s="23">
        <v>2.37</v>
      </c>
      <c r="J607" s="17">
        <f>OR(F607&lt;&gt;0,G607&lt;&gt;0,H607&lt;&gt;0,I607&lt;&gt;0)*(F607 + (F607 = 0))*(G607 + (G607 = 0))*(H607 + (H607 = 0))*(I607 + (I607 = 0))</f>
        <v>1.99</v>
      </c>
      <c r="K607" s="9"/>
      <c r="L607" s="9"/>
      <c r="M607" s="9"/>
    </row>
    <row r="608" spans="1:13">
      <c r="A608" s="9"/>
      <c r="B608" s="9"/>
      <c r="C608" s="10" t="s">
        <v>27</v>
      </c>
      <c r="D608" s="30"/>
      <c r="E608" s="10" t="s">
        <v>17</v>
      </c>
      <c r="F608" s="19">
        <v>1</v>
      </c>
      <c r="G608" s="23">
        <v>0</v>
      </c>
      <c r="H608" s="23">
        <v>0.25</v>
      </c>
      <c r="I608" s="23">
        <v>2.37</v>
      </c>
      <c r="J608" s="17">
        <f>OR(F608&lt;&gt;0,G608&lt;&gt;0,H608&lt;&gt;0,I608&lt;&gt;0)*(F608 + (F608 = 0))*(G608 + (G608 = 0))*(H608 + (H608 = 0))*(I608 + (I608 = 0))</f>
        <v>0.59</v>
      </c>
      <c r="K608" s="9"/>
      <c r="L608" s="9"/>
      <c r="M608" s="9"/>
    </row>
    <row r="609" spans="1:13">
      <c r="A609" s="9"/>
      <c r="B609" s="9"/>
      <c r="C609" s="10" t="s">
        <v>27</v>
      </c>
      <c r="D609" s="30"/>
      <c r="E609" s="10" t="s">
        <v>295</v>
      </c>
      <c r="F609" s="19">
        <v>2</v>
      </c>
      <c r="G609" s="23">
        <v>0</v>
      </c>
      <c r="H609" s="23">
        <v>0.99</v>
      </c>
      <c r="I609" s="23">
        <v>1.48</v>
      </c>
      <c r="J609" s="17">
        <f>OR(F609&lt;&gt;0,G609&lt;&gt;0,H609&lt;&gt;0,I609&lt;&gt;0)*(F609 + (F609 = 0))*(G609 + (G609 = 0))*(H609 + (H609 = 0))*(I609 + (I609 = 0))</f>
        <v>2.93</v>
      </c>
      <c r="K609" s="9"/>
      <c r="L609" s="9"/>
      <c r="M609" s="9"/>
    </row>
    <row r="610" spans="1:13">
      <c r="A610" s="9"/>
      <c r="B610" s="9"/>
      <c r="C610" s="9"/>
      <c r="D610" s="30"/>
      <c r="E610" s="9"/>
      <c r="F610" s="9"/>
      <c r="G610" s="9"/>
      <c r="H610" s="9"/>
      <c r="I610" s="9"/>
      <c r="J610" s="21" t="s">
        <v>569</v>
      </c>
      <c r="K610" s="22">
        <f>SUM(J607:J609)</f>
        <v>5.51</v>
      </c>
      <c r="L610" s="23">
        <v>0</v>
      </c>
      <c r="M610" s="24">
        <f>ROUND(K610*L610,2)</f>
        <v>0</v>
      </c>
    </row>
    <row r="611" spans="1:13" ht="0.95" customHeight="1">
      <c r="A611" s="25"/>
      <c r="B611" s="25"/>
      <c r="C611" s="25"/>
      <c r="D611" s="31"/>
      <c r="E611" s="25"/>
      <c r="F611" s="25"/>
      <c r="G611" s="25"/>
      <c r="H611" s="25"/>
      <c r="I611" s="25"/>
      <c r="J611" s="25"/>
      <c r="K611" s="25"/>
      <c r="L611" s="25"/>
      <c r="M611" s="25"/>
    </row>
    <row r="612" spans="1:13" ht="22.5">
      <c r="A612" s="15" t="s">
        <v>570</v>
      </c>
      <c r="B612" s="10" t="s">
        <v>23</v>
      </c>
      <c r="C612" s="10" t="s">
        <v>94</v>
      </c>
      <c r="D612" s="18" t="s">
        <v>571</v>
      </c>
      <c r="E612" s="9"/>
      <c r="F612" s="9"/>
      <c r="G612" s="9"/>
      <c r="H612" s="9"/>
      <c r="I612" s="9"/>
      <c r="J612" s="9"/>
      <c r="K612" s="16">
        <f>K617</f>
        <v>7.89</v>
      </c>
      <c r="L612" s="17">
        <f>L617</f>
        <v>0</v>
      </c>
      <c r="M612" s="17">
        <f>M617</f>
        <v>0</v>
      </c>
    </row>
    <row r="613" spans="1:13">
      <c r="A613" s="9"/>
      <c r="B613" s="9"/>
      <c r="C613" s="9"/>
      <c r="D613" s="18" t="s">
        <v>572</v>
      </c>
      <c r="E613" s="9"/>
      <c r="F613" s="9"/>
      <c r="G613" s="9"/>
      <c r="H613" s="9"/>
      <c r="I613" s="9"/>
      <c r="J613" s="9"/>
      <c r="K613" s="9"/>
      <c r="L613" s="9"/>
      <c r="M613" s="9"/>
    </row>
    <row r="614" spans="1:13">
      <c r="A614" s="9"/>
      <c r="B614" s="9"/>
      <c r="C614" s="10" t="s">
        <v>27</v>
      </c>
      <c r="D614" s="30"/>
      <c r="E614" s="10" t="s">
        <v>286</v>
      </c>
      <c r="F614" s="19">
        <v>1</v>
      </c>
      <c r="G614" s="23">
        <v>0</v>
      </c>
      <c r="H614" s="23">
        <v>0.25</v>
      </c>
      <c r="I614" s="23">
        <v>2.35</v>
      </c>
      <c r="J614" s="17">
        <f>OR(F614&lt;&gt;0,G614&lt;&gt;0,H614&lt;&gt;0,I614&lt;&gt;0)*(F614 + (F614 = 0))*(G614 + (G614 = 0))*(H614 + (H614 = 0))*(I614 + (I614 = 0))</f>
        <v>0.59</v>
      </c>
      <c r="K614" s="9"/>
      <c r="L614" s="9"/>
      <c r="M614" s="9"/>
    </row>
    <row r="615" spans="1:13">
      <c r="A615" s="9"/>
      <c r="B615" s="9"/>
      <c r="C615" s="10" t="s">
        <v>27</v>
      </c>
      <c r="D615" s="30"/>
      <c r="E615" s="10" t="s">
        <v>17</v>
      </c>
      <c r="F615" s="19">
        <v>1</v>
      </c>
      <c r="G615" s="23">
        <v>0</v>
      </c>
      <c r="H615" s="23">
        <v>0.83</v>
      </c>
      <c r="I615" s="23">
        <v>2.35</v>
      </c>
      <c r="J615" s="17">
        <f>OR(F615&lt;&gt;0,G615&lt;&gt;0,H615&lt;&gt;0,I615&lt;&gt;0)*(F615 + (F615 = 0))*(G615 + (G615 = 0))*(H615 + (H615 = 0))*(I615 + (I615 = 0))</f>
        <v>1.95</v>
      </c>
      <c r="K615" s="9"/>
      <c r="L615" s="9"/>
      <c r="M615" s="9"/>
    </row>
    <row r="616" spans="1:13">
      <c r="A616" s="9"/>
      <c r="B616" s="9"/>
      <c r="C616" s="10" t="s">
        <v>27</v>
      </c>
      <c r="D616" s="30"/>
      <c r="E616" s="10" t="s">
        <v>300</v>
      </c>
      <c r="F616" s="19">
        <v>2</v>
      </c>
      <c r="G616" s="23">
        <v>0</v>
      </c>
      <c r="H616" s="23">
        <v>1.1200000000000001</v>
      </c>
      <c r="I616" s="23">
        <v>2.39</v>
      </c>
      <c r="J616" s="17">
        <f>OR(F616&lt;&gt;0,G616&lt;&gt;0,H616&lt;&gt;0,I616&lt;&gt;0)*(F616 + (F616 = 0))*(G616 + (G616 = 0))*(H616 + (H616 = 0))*(I616 + (I616 = 0))</f>
        <v>5.35</v>
      </c>
      <c r="K616" s="9"/>
      <c r="L616" s="9"/>
      <c r="M616" s="9"/>
    </row>
    <row r="617" spans="1:13">
      <c r="A617" s="9"/>
      <c r="B617" s="9"/>
      <c r="C617" s="9"/>
      <c r="D617" s="30"/>
      <c r="E617" s="9"/>
      <c r="F617" s="9"/>
      <c r="G617" s="9"/>
      <c r="H617" s="9"/>
      <c r="I617" s="9"/>
      <c r="J617" s="21" t="s">
        <v>573</v>
      </c>
      <c r="K617" s="22">
        <f>SUM(J614:J616)</f>
        <v>7.89</v>
      </c>
      <c r="L617" s="23">
        <v>0</v>
      </c>
      <c r="M617" s="24">
        <f>ROUND(K617*L617,2)</f>
        <v>0</v>
      </c>
    </row>
    <row r="618" spans="1:13" ht="0.95" customHeight="1">
      <c r="A618" s="25"/>
      <c r="B618" s="25"/>
      <c r="C618" s="25"/>
      <c r="D618" s="31"/>
      <c r="E618" s="25"/>
      <c r="F618" s="25"/>
      <c r="G618" s="25"/>
      <c r="H618" s="25"/>
      <c r="I618" s="25"/>
      <c r="J618" s="25"/>
      <c r="K618" s="25"/>
      <c r="L618" s="25"/>
      <c r="M618" s="25"/>
    </row>
    <row r="619" spans="1:13" ht="22.5">
      <c r="A619" s="15" t="s">
        <v>574</v>
      </c>
      <c r="B619" s="10" t="s">
        <v>23</v>
      </c>
      <c r="C619" s="10" t="s">
        <v>94</v>
      </c>
      <c r="D619" s="18" t="s">
        <v>575</v>
      </c>
      <c r="E619" s="9"/>
      <c r="F619" s="9"/>
      <c r="G619" s="9"/>
      <c r="H619" s="9"/>
      <c r="I619" s="9"/>
      <c r="J619" s="9"/>
      <c r="K619" s="16">
        <f>K627</f>
        <v>18.309999999999999</v>
      </c>
      <c r="L619" s="17">
        <f>L627</f>
        <v>0</v>
      </c>
      <c r="M619" s="17">
        <f>M627</f>
        <v>0</v>
      </c>
    </row>
    <row r="620" spans="1:13">
      <c r="A620" s="9"/>
      <c r="B620" s="9"/>
      <c r="C620" s="9"/>
      <c r="D620" s="18" t="s">
        <v>576</v>
      </c>
      <c r="E620" s="9"/>
      <c r="F620" s="9"/>
      <c r="G620" s="9"/>
      <c r="H620" s="9"/>
      <c r="I620" s="9"/>
      <c r="J620" s="9"/>
      <c r="K620" s="9"/>
      <c r="L620" s="9"/>
      <c r="M620" s="9"/>
    </row>
    <row r="621" spans="1:13">
      <c r="A621" s="9"/>
      <c r="B621" s="9"/>
      <c r="C621" s="10" t="s">
        <v>27</v>
      </c>
      <c r="D621" s="30"/>
      <c r="E621" s="10" t="s">
        <v>305</v>
      </c>
      <c r="F621" s="19">
        <v>1</v>
      </c>
      <c r="G621" s="23">
        <v>0</v>
      </c>
      <c r="H621" s="23">
        <v>0.67</v>
      </c>
      <c r="I621" s="23">
        <v>2.37</v>
      </c>
      <c r="J621" s="17">
        <f>OR(F621&lt;&gt;0,G621&lt;&gt;0,H621&lt;&gt;0,I621&lt;&gt;0)*(F621 + (F621 = 0))*(G621 + (G621 = 0))*(H621 + (H621 = 0))*(I621 + (I621 = 0))</f>
        <v>1.59</v>
      </c>
      <c r="K621" s="9"/>
      <c r="L621" s="9"/>
      <c r="M621" s="9"/>
    </row>
    <row r="622" spans="1:13">
      <c r="A622" s="9"/>
      <c r="B622" s="9"/>
      <c r="C622" s="10" t="s">
        <v>27</v>
      </c>
      <c r="D622" s="30"/>
      <c r="E622" s="10" t="s">
        <v>310</v>
      </c>
      <c r="F622" s="19">
        <v>1</v>
      </c>
      <c r="G622" s="23">
        <v>0</v>
      </c>
      <c r="H622" s="23">
        <v>1.33</v>
      </c>
      <c r="I622" s="23">
        <v>2.5099999999999998</v>
      </c>
      <c r="J622" s="17">
        <f>OR(F622&lt;&gt;0,G622&lt;&gt;0,H622&lt;&gt;0,I622&lt;&gt;0)*(F622 + (F622 = 0))*(G622 + (G622 = 0))*(H622 + (H622 = 0))*(I622 + (I622 = 0))</f>
        <v>3.34</v>
      </c>
      <c r="K622" s="9"/>
      <c r="L622" s="9"/>
      <c r="M622" s="9"/>
    </row>
    <row r="623" spans="1:13">
      <c r="A623" s="9"/>
      <c r="B623" s="9"/>
      <c r="C623" s="10" t="s">
        <v>27</v>
      </c>
      <c r="D623" s="30"/>
      <c r="E623" s="10" t="s">
        <v>315</v>
      </c>
      <c r="F623" s="19">
        <v>1</v>
      </c>
      <c r="G623" s="23">
        <v>0</v>
      </c>
      <c r="H623" s="23">
        <v>2.0299999999999998</v>
      </c>
      <c r="I623" s="23">
        <v>2.5</v>
      </c>
      <c r="J623" s="17">
        <f>OR(F623&lt;&gt;0,G623&lt;&gt;0,H623&lt;&gt;0,I623&lt;&gt;0)*(F623 + (F623 = 0))*(G623 + (G623 = 0))*(H623 + (H623 = 0))*(I623 + (I623 = 0))</f>
        <v>5.08</v>
      </c>
      <c r="K623" s="9"/>
      <c r="L623" s="9"/>
      <c r="M623" s="9"/>
    </row>
    <row r="624" spans="1:13">
      <c r="A624" s="9"/>
      <c r="B624" s="9"/>
      <c r="C624" s="10" t="s">
        <v>27</v>
      </c>
      <c r="D624" s="30"/>
      <c r="E624" s="10" t="s">
        <v>320</v>
      </c>
      <c r="F624" s="19">
        <v>1</v>
      </c>
      <c r="G624" s="23">
        <v>0</v>
      </c>
      <c r="H624" s="23">
        <v>0.38</v>
      </c>
      <c r="I624" s="23">
        <v>1.57</v>
      </c>
      <c r="J624" s="17">
        <f>OR(F624&lt;&gt;0,G624&lt;&gt;0,H624&lt;&gt;0,I624&lt;&gt;0)*(F624 + (F624 = 0))*(G624 + (G624 = 0))*(H624 + (H624 = 0))*(I624 + (I624 = 0))</f>
        <v>0.6</v>
      </c>
      <c r="K624" s="9"/>
      <c r="L624" s="9"/>
      <c r="M624" s="9"/>
    </row>
    <row r="625" spans="1:13">
      <c r="A625" s="9"/>
      <c r="B625" s="9"/>
      <c r="C625" s="10" t="s">
        <v>27</v>
      </c>
      <c r="D625" s="30"/>
      <c r="E625" s="10" t="s">
        <v>330</v>
      </c>
      <c r="F625" s="19">
        <v>1</v>
      </c>
      <c r="G625" s="23">
        <v>0</v>
      </c>
      <c r="H625" s="23">
        <v>2.3199999999999998</v>
      </c>
      <c r="I625" s="23">
        <v>2.46</v>
      </c>
      <c r="J625" s="17">
        <f>OR(F625&lt;&gt;0,G625&lt;&gt;0,H625&lt;&gt;0,I625&lt;&gt;0)*(F625 + (F625 = 0))*(G625 + (G625 = 0))*(H625 + (H625 = 0))*(I625 + (I625 = 0))</f>
        <v>5.71</v>
      </c>
      <c r="K625" s="9"/>
      <c r="L625" s="9"/>
      <c r="M625" s="9"/>
    </row>
    <row r="626" spans="1:13">
      <c r="A626" s="9"/>
      <c r="B626" s="9"/>
      <c r="C626" s="10" t="s">
        <v>27</v>
      </c>
      <c r="D626" s="30"/>
      <c r="E626" s="10" t="s">
        <v>430</v>
      </c>
      <c r="F626" s="19">
        <v>1</v>
      </c>
      <c r="G626" s="23">
        <v>0</v>
      </c>
      <c r="H626" s="23">
        <v>0.79</v>
      </c>
      <c r="I626" s="23">
        <v>2.52</v>
      </c>
      <c r="J626" s="17">
        <f>OR(F626&lt;&gt;0,G626&lt;&gt;0,H626&lt;&gt;0,I626&lt;&gt;0)*(F626 + (F626 = 0))*(G626 + (G626 = 0))*(H626 + (H626 = 0))*(I626 + (I626 = 0))</f>
        <v>1.99</v>
      </c>
      <c r="K626" s="9"/>
      <c r="L626" s="9"/>
      <c r="M626" s="9"/>
    </row>
    <row r="627" spans="1:13">
      <c r="A627" s="9"/>
      <c r="B627" s="9"/>
      <c r="C627" s="9"/>
      <c r="D627" s="30"/>
      <c r="E627" s="9"/>
      <c r="F627" s="9"/>
      <c r="G627" s="9"/>
      <c r="H627" s="9"/>
      <c r="I627" s="9"/>
      <c r="J627" s="21" t="s">
        <v>577</v>
      </c>
      <c r="K627" s="22">
        <f>SUM(J621:J626)</f>
        <v>18.309999999999999</v>
      </c>
      <c r="L627" s="23">
        <v>0</v>
      </c>
      <c r="M627" s="24">
        <f>ROUND(K627*L627,2)</f>
        <v>0</v>
      </c>
    </row>
    <row r="628" spans="1:13" ht="0.95" customHeight="1">
      <c r="A628" s="25"/>
      <c r="B628" s="25"/>
      <c r="C628" s="25"/>
      <c r="D628" s="31"/>
      <c r="E628" s="25"/>
      <c r="F628" s="25"/>
      <c r="G628" s="25"/>
      <c r="H628" s="25"/>
      <c r="I628" s="25"/>
      <c r="J628" s="25"/>
      <c r="K628" s="25"/>
      <c r="L628" s="25"/>
      <c r="M628" s="25"/>
    </row>
    <row r="629" spans="1:13" ht="22.5">
      <c r="A629" s="15" t="s">
        <v>578</v>
      </c>
      <c r="B629" s="10" t="s">
        <v>23</v>
      </c>
      <c r="C629" s="10" t="s">
        <v>94</v>
      </c>
      <c r="D629" s="18" t="s">
        <v>579</v>
      </c>
      <c r="E629" s="9"/>
      <c r="F629" s="9"/>
      <c r="G629" s="9"/>
      <c r="H629" s="9"/>
      <c r="I629" s="9"/>
      <c r="J629" s="9"/>
      <c r="K629" s="16">
        <f>K633</f>
        <v>3.74</v>
      </c>
      <c r="L629" s="17">
        <f>L633</f>
        <v>0</v>
      </c>
      <c r="M629" s="17">
        <f>M633</f>
        <v>0</v>
      </c>
    </row>
    <row r="630" spans="1:13">
      <c r="A630" s="9"/>
      <c r="B630" s="9"/>
      <c r="C630" s="9"/>
      <c r="D630" s="18" t="s">
        <v>580</v>
      </c>
      <c r="E630" s="9"/>
      <c r="F630" s="9"/>
      <c r="G630" s="9"/>
      <c r="H630" s="9"/>
      <c r="I630" s="9"/>
      <c r="J630" s="9"/>
      <c r="K630" s="9"/>
      <c r="L630" s="9"/>
      <c r="M630" s="9"/>
    </row>
    <row r="631" spans="1:13">
      <c r="A631" s="9"/>
      <c r="B631" s="9"/>
      <c r="C631" s="10" t="s">
        <v>27</v>
      </c>
      <c r="D631" s="30"/>
      <c r="E631" s="10" t="s">
        <v>325</v>
      </c>
      <c r="F631" s="19">
        <v>1</v>
      </c>
      <c r="G631" s="23">
        <v>0</v>
      </c>
      <c r="H631" s="23">
        <v>1.52</v>
      </c>
      <c r="I631" s="23">
        <v>2.46</v>
      </c>
      <c r="J631" s="17">
        <f>OR(F631&lt;&gt;0,G631&lt;&gt;0,H631&lt;&gt;0,I631&lt;&gt;0)*(F631 + (F631 = 0))*(G631 + (G631 = 0))*(H631 + (H631 = 0))*(I631 + (I631 = 0))</f>
        <v>3.74</v>
      </c>
      <c r="K631" s="9"/>
      <c r="L631" s="9"/>
      <c r="M631" s="9"/>
    </row>
    <row r="632" spans="1:13">
      <c r="A632" s="9"/>
      <c r="B632" s="9"/>
      <c r="C632" s="10" t="s">
        <v>27</v>
      </c>
      <c r="D632" s="30"/>
      <c r="E632" s="10" t="s">
        <v>335</v>
      </c>
      <c r="F632" s="19"/>
      <c r="G632" s="23"/>
      <c r="H632" s="23"/>
      <c r="I632" s="23"/>
      <c r="J632" s="17">
        <f>OR(F632&lt;&gt;0,G632&lt;&gt;0,H632&lt;&gt;0,I632&lt;&gt;0)*(F632 + (F632 = 0))*(G632 + (G632 = 0))*(H632 + (H632 = 0))*(I632 + (I632 = 0))</f>
        <v>0</v>
      </c>
      <c r="K632" s="9"/>
      <c r="L632" s="9"/>
      <c r="M632" s="9"/>
    </row>
    <row r="633" spans="1:13">
      <c r="A633" s="9"/>
      <c r="B633" s="9"/>
      <c r="C633" s="9"/>
      <c r="D633" s="30"/>
      <c r="E633" s="9"/>
      <c r="F633" s="9"/>
      <c r="G633" s="9"/>
      <c r="H633" s="9"/>
      <c r="I633" s="9"/>
      <c r="J633" s="21" t="s">
        <v>581</v>
      </c>
      <c r="K633" s="22">
        <f>SUM(J631:J632)</f>
        <v>3.74</v>
      </c>
      <c r="L633" s="23">
        <v>0</v>
      </c>
      <c r="M633" s="24">
        <f>ROUND(K633*L633,2)</f>
        <v>0</v>
      </c>
    </row>
    <row r="634" spans="1:13" ht="0.95" customHeight="1">
      <c r="A634" s="25"/>
      <c r="B634" s="25"/>
      <c r="C634" s="25"/>
      <c r="D634" s="31"/>
      <c r="E634" s="25"/>
      <c r="F634" s="25"/>
      <c r="G634" s="25"/>
      <c r="H634" s="25"/>
      <c r="I634" s="25"/>
      <c r="J634" s="25"/>
      <c r="K634" s="25"/>
      <c r="L634" s="25"/>
      <c r="M634" s="25"/>
    </row>
    <row r="635" spans="1:13" ht="22.5">
      <c r="A635" s="15" t="s">
        <v>582</v>
      </c>
      <c r="B635" s="10" t="s">
        <v>23</v>
      </c>
      <c r="C635" s="10" t="s">
        <v>94</v>
      </c>
      <c r="D635" s="18" t="s">
        <v>583</v>
      </c>
      <c r="E635" s="9"/>
      <c r="F635" s="9"/>
      <c r="G635" s="9"/>
      <c r="H635" s="9"/>
      <c r="I635" s="9"/>
      <c r="J635" s="9"/>
      <c r="K635" s="16">
        <f>K639</f>
        <v>5.73</v>
      </c>
      <c r="L635" s="17">
        <f>L639</f>
        <v>0</v>
      </c>
      <c r="M635" s="17">
        <f>M639</f>
        <v>0</v>
      </c>
    </row>
    <row r="636" spans="1:13">
      <c r="A636" s="9"/>
      <c r="B636" s="9"/>
      <c r="C636" s="9"/>
      <c r="D636" s="18" t="s">
        <v>584</v>
      </c>
      <c r="E636" s="9"/>
      <c r="F636" s="9"/>
      <c r="G636" s="9"/>
      <c r="H636" s="9"/>
      <c r="I636" s="9"/>
      <c r="J636" s="9"/>
      <c r="K636" s="9"/>
      <c r="L636" s="9"/>
      <c r="M636" s="9"/>
    </row>
    <row r="637" spans="1:13">
      <c r="A637" s="9"/>
      <c r="B637" s="9"/>
      <c r="C637" s="10" t="s">
        <v>27</v>
      </c>
      <c r="D637" s="30"/>
      <c r="E637" s="10" t="s">
        <v>356</v>
      </c>
      <c r="F637" s="19">
        <v>1</v>
      </c>
      <c r="G637" s="23">
        <v>5.65</v>
      </c>
      <c r="H637" s="23">
        <v>0.87</v>
      </c>
      <c r="I637" s="23">
        <v>0</v>
      </c>
      <c r="J637" s="17">
        <f>OR(F637&lt;&gt;0,G637&lt;&gt;0,H637&lt;&gt;0,I637&lt;&gt;0)*(F637 + (F637 = 0))*(G637 + (G637 = 0))*(H637 + (H637 = 0))*(I637 + (I637 = 0))</f>
        <v>4.92</v>
      </c>
      <c r="K637" s="9"/>
      <c r="L637" s="9"/>
      <c r="M637" s="9"/>
    </row>
    <row r="638" spans="1:13">
      <c r="A638" s="9"/>
      <c r="B638" s="9"/>
      <c r="C638" s="10" t="s">
        <v>27</v>
      </c>
      <c r="D638" s="30"/>
      <c r="E638" s="10" t="s">
        <v>361</v>
      </c>
      <c r="F638" s="19">
        <v>1</v>
      </c>
      <c r="G638" s="23">
        <v>0.93</v>
      </c>
      <c r="H638" s="23">
        <v>0.87</v>
      </c>
      <c r="I638" s="23">
        <v>0</v>
      </c>
      <c r="J638" s="17">
        <f>OR(F638&lt;&gt;0,G638&lt;&gt;0,H638&lt;&gt;0,I638&lt;&gt;0)*(F638 + (F638 = 0))*(G638 + (G638 = 0))*(H638 + (H638 = 0))*(I638 + (I638 = 0))</f>
        <v>0.81</v>
      </c>
      <c r="K638" s="9"/>
      <c r="L638" s="9"/>
      <c r="M638" s="9"/>
    </row>
    <row r="639" spans="1:13">
      <c r="A639" s="9"/>
      <c r="B639" s="9"/>
      <c r="C639" s="9"/>
      <c r="D639" s="30"/>
      <c r="E639" s="9"/>
      <c r="F639" s="9"/>
      <c r="G639" s="9"/>
      <c r="H639" s="9"/>
      <c r="I639" s="9"/>
      <c r="J639" s="21" t="s">
        <v>585</v>
      </c>
      <c r="K639" s="22">
        <f>SUM(J637:J638)</f>
        <v>5.73</v>
      </c>
      <c r="L639" s="23">
        <v>0</v>
      </c>
      <c r="M639" s="24">
        <f>ROUND(K639*L639,2)</f>
        <v>0</v>
      </c>
    </row>
    <row r="640" spans="1:13" ht="0.95" customHeight="1">
      <c r="A640" s="25"/>
      <c r="B640" s="25"/>
      <c r="C640" s="25"/>
      <c r="D640" s="31"/>
      <c r="E640" s="25"/>
      <c r="F640" s="25"/>
      <c r="G640" s="25"/>
      <c r="H640" s="25"/>
      <c r="I640" s="25"/>
      <c r="J640" s="25"/>
      <c r="K640" s="25"/>
      <c r="L640" s="25"/>
      <c r="M640" s="25"/>
    </row>
    <row r="641" spans="1:13" ht="22.5">
      <c r="A641" s="15" t="s">
        <v>586</v>
      </c>
      <c r="B641" s="10" t="s">
        <v>23</v>
      </c>
      <c r="C641" s="10" t="s">
        <v>94</v>
      </c>
      <c r="D641" s="18" t="s">
        <v>587</v>
      </c>
      <c r="E641" s="9"/>
      <c r="F641" s="9"/>
      <c r="G641" s="9"/>
      <c r="H641" s="9"/>
      <c r="I641" s="9"/>
      <c r="J641" s="9"/>
      <c r="K641" s="16">
        <f>K645</f>
        <v>1.26</v>
      </c>
      <c r="L641" s="17">
        <f>L645</f>
        <v>0</v>
      </c>
      <c r="M641" s="17">
        <f>M645</f>
        <v>0</v>
      </c>
    </row>
    <row r="642" spans="1:13">
      <c r="A642" s="9"/>
      <c r="B642" s="9"/>
      <c r="C642" s="9"/>
      <c r="D642" s="18" t="s">
        <v>588</v>
      </c>
      <c r="E642" s="9"/>
      <c r="F642" s="9"/>
      <c r="G642" s="9"/>
      <c r="H642" s="9"/>
      <c r="I642" s="9"/>
      <c r="J642" s="9"/>
      <c r="K642" s="9"/>
      <c r="L642" s="9"/>
      <c r="M642" s="9"/>
    </row>
    <row r="643" spans="1:13">
      <c r="A643" s="9"/>
      <c r="B643" s="9"/>
      <c r="C643" s="10" t="s">
        <v>27</v>
      </c>
      <c r="D643" s="30"/>
      <c r="E643" s="10" t="s">
        <v>340</v>
      </c>
      <c r="F643" s="19">
        <v>1</v>
      </c>
      <c r="G643" s="23">
        <v>0</v>
      </c>
      <c r="H643" s="23">
        <v>0.46</v>
      </c>
      <c r="I643" s="23">
        <v>1.64</v>
      </c>
      <c r="J643" s="17">
        <f>OR(F643&lt;&gt;0,G643&lt;&gt;0,H643&lt;&gt;0,I643&lt;&gt;0)*(F643 + (F643 = 0))*(G643 + (G643 = 0))*(H643 + (H643 = 0))*(I643 + (I643 = 0))</f>
        <v>0.75</v>
      </c>
      <c r="K643" s="9"/>
      <c r="L643" s="9"/>
      <c r="M643" s="9"/>
    </row>
    <row r="644" spans="1:13">
      <c r="A644" s="9"/>
      <c r="B644" s="9"/>
      <c r="C644" s="10" t="s">
        <v>27</v>
      </c>
      <c r="D644" s="30"/>
      <c r="E644" s="10" t="s">
        <v>346</v>
      </c>
      <c r="F644" s="19">
        <v>1</v>
      </c>
      <c r="G644" s="23">
        <v>0</v>
      </c>
      <c r="H644" s="23">
        <v>0.33</v>
      </c>
      <c r="I644" s="23">
        <v>1.56</v>
      </c>
      <c r="J644" s="17">
        <f>OR(F644&lt;&gt;0,G644&lt;&gt;0,H644&lt;&gt;0,I644&lt;&gt;0)*(F644 + (F644 = 0))*(G644 + (G644 = 0))*(H644 + (H644 = 0))*(I644 + (I644 = 0))</f>
        <v>0.51</v>
      </c>
      <c r="K644" s="9"/>
      <c r="L644" s="9"/>
      <c r="M644" s="9"/>
    </row>
    <row r="645" spans="1:13">
      <c r="A645" s="9"/>
      <c r="B645" s="9"/>
      <c r="C645" s="9"/>
      <c r="D645" s="30"/>
      <c r="E645" s="9"/>
      <c r="F645" s="9"/>
      <c r="G645" s="9"/>
      <c r="H645" s="9"/>
      <c r="I645" s="9"/>
      <c r="J645" s="21" t="s">
        <v>589</v>
      </c>
      <c r="K645" s="22">
        <f>SUM(J643:J644)</f>
        <v>1.26</v>
      </c>
      <c r="L645" s="23">
        <v>0</v>
      </c>
      <c r="M645" s="24">
        <f>ROUND(K645*L645,2)</f>
        <v>0</v>
      </c>
    </row>
    <row r="646" spans="1:13" ht="0.95" customHeight="1">
      <c r="A646" s="25"/>
      <c r="B646" s="25"/>
      <c r="C646" s="25"/>
      <c r="D646" s="31"/>
      <c r="E646" s="25"/>
      <c r="F646" s="25"/>
      <c r="G646" s="25"/>
      <c r="H646" s="25"/>
      <c r="I646" s="25"/>
      <c r="J646" s="25"/>
      <c r="K646" s="25"/>
      <c r="L646" s="25"/>
      <c r="M646" s="25"/>
    </row>
    <row r="647" spans="1:13" ht="22.5">
      <c r="A647" s="15" t="s">
        <v>590</v>
      </c>
      <c r="B647" s="10" t="s">
        <v>23</v>
      </c>
      <c r="C647" s="10" t="s">
        <v>94</v>
      </c>
      <c r="D647" s="18" t="s">
        <v>591</v>
      </c>
      <c r="E647" s="9"/>
      <c r="F647" s="9"/>
      <c r="G647" s="9"/>
      <c r="H647" s="9"/>
      <c r="I647" s="9"/>
      <c r="J647" s="9"/>
      <c r="K647" s="16">
        <f>K651</f>
        <v>1.31</v>
      </c>
      <c r="L647" s="17">
        <f>L651</f>
        <v>0</v>
      </c>
      <c r="M647" s="17">
        <f>M651</f>
        <v>0</v>
      </c>
    </row>
    <row r="648" spans="1:13">
      <c r="A648" s="9"/>
      <c r="B648" s="9"/>
      <c r="C648" s="9"/>
      <c r="D648" s="18" t="s">
        <v>592</v>
      </c>
      <c r="E648" s="9"/>
      <c r="F648" s="9"/>
      <c r="G648" s="9"/>
      <c r="H648" s="9"/>
      <c r="I648" s="9"/>
      <c r="J648" s="9"/>
      <c r="K648" s="9"/>
      <c r="L648" s="9"/>
      <c r="M648" s="9"/>
    </row>
    <row r="649" spans="1:13">
      <c r="A649" s="9"/>
      <c r="B649" s="9"/>
      <c r="C649" s="10" t="s">
        <v>27</v>
      </c>
      <c r="D649" s="30"/>
      <c r="E649" s="10" t="s">
        <v>341</v>
      </c>
      <c r="F649" s="19">
        <v>1</v>
      </c>
      <c r="G649" s="23">
        <v>0</v>
      </c>
      <c r="H649" s="23">
        <v>0.46</v>
      </c>
      <c r="I649" s="23">
        <v>1.64</v>
      </c>
      <c r="J649" s="17">
        <f>OR(F649&lt;&gt;0,G649&lt;&gt;0,H649&lt;&gt;0,I649&lt;&gt;0)*(F649 + (F649 = 0))*(G649 + (G649 = 0))*(H649 + (H649 = 0))*(I649 + (I649 = 0))</f>
        <v>0.75</v>
      </c>
      <c r="K649" s="9"/>
      <c r="L649" s="9"/>
      <c r="M649" s="9"/>
    </row>
    <row r="650" spans="1:13">
      <c r="A650" s="9"/>
      <c r="B650" s="9"/>
      <c r="C650" s="10" t="s">
        <v>27</v>
      </c>
      <c r="D650" s="30"/>
      <c r="E650" s="10" t="s">
        <v>351</v>
      </c>
      <c r="F650" s="19">
        <v>1</v>
      </c>
      <c r="G650" s="23">
        <v>0</v>
      </c>
      <c r="H650" s="23">
        <v>0.33</v>
      </c>
      <c r="I650" s="23">
        <v>1.7</v>
      </c>
      <c r="J650" s="17">
        <f>OR(F650&lt;&gt;0,G650&lt;&gt;0,H650&lt;&gt;0,I650&lt;&gt;0)*(F650 + (F650 = 0))*(G650 + (G650 = 0))*(H650 + (H650 = 0))*(I650 + (I650 = 0))</f>
        <v>0.56000000000000005</v>
      </c>
      <c r="K650" s="9"/>
      <c r="L650" s="9"/>
      <c r="M650" s="9"/>
    </row>
    <row r="651" spans="1:13">
      <c r="A651" s="9"/>
      <c r="B651" s="9"/>
      <c r="C651" s="9"/>
      <c r="D651" s="30"/>
      <c r="E651" s="9"/>
      <c r="F651" s="9"/>
      <c r="G651" s="9"/>
      <c r="H651" s="9"/>
      <c r="I651" s="9"/>
      <c r="J651" s="21" t="s">
        <v>593</v>
      </c>
      <c r="K651" s="22">
        <f>SUM(J649:J650)</f>
        <v>1.31</v>
      </c>
      <c r="L651" s="23">
        <v>0</v>
      </c>
      <c r="M651" s="24">
        <f>ROUND(K651*L651,2)</f>
        <v>0</v>
      </c>
    </row>
    <row r="652" spans="1:13" ht="0.95" customHeight="1">
      <c r="A652" s="25"/>
      <c r="B652" s="25"/>
      <c r="C652" s="25"/>
      <c r="D652" s="31"/>
      <c r="E652" s="25"/>
      <c r="F652" s="25"/>
      <c r="G652" s="25"/>
      <c r="H652" s="25"/>
      <c r="I652" s="25"/>
      <c r="J652" s="25"/>
      <c r="K652" s="25"/>
      <c r="L652" s="25"/>
      <c r="M652" s="25"/>
    </row>
    <row r="653" spans="1:13" ht="22.5">
      <c r="A653" s="15" t="s">
        <v>594</v>
      </c>
      <c r="B653" s="10" t="s">
        <v>23</v>
      </c>
      <c r="C653" s="10" t="s">
        <v>94</v>
      </c>
      <c r="D653" s="18" t="s">
        <v>595</v>
      </c>
      <c r="E653" s="9"/>
      <c r="F653" s="9"/>
      <c r="G653" s="9"/>
      <c r="H653" s="9"/>
      <c r="I653" s="9"/>
      <c r="J653" s="9"/>
      <c r="K653" s="16">
        <f>K657</f>
        <v>8</v>
      </c>
      <c r="L653" s="17">
        <f>L657</f>
        <v>0</v>
      </c>
      <c r="M653" s="17">
        <f>M657</f>
        <v>0</v>
      </c>
    </row>
    <row r="654" spans="1:13">
      <c r="A654" s="9"/>
      <c r="B654" s="9"/>
      <c r="C654" s="9"/>
      <c r="D654" s="18" t="s">
        <v>596</v>
      </c>
      <c r="E654" s="9"/>
      <c r="F654" s="9"/>
      <c r="G654" s="9"/>
      <c r="H654" s="9"/>
      <c r="I654" s="9"/>
      <c r="J654" s="9"/>
      <c r="K654" s="9"/>
      <c r="L654" s="9"/>
      <c r="M654" s="9"/>
    </row>
    <row r="655" spans="1:13">
      <c r="A655" s="9"/>
      <c r="B655" s="9"/>
      <c r="C655" s="10" t="s">
        <v>27</v>
      </c>
      <c r="D655" s="30"/>
      <c r="E655" s="10" t="s">
        <v>366</v>
      </c>
      <c r="F655" s="19">
        <v>2</v>
      </c>
      <c r="G655" s="23">
        <v>0</v>
      </c>
      <c r="H655" s="23">
        <v>1.1499999999999999</v>
      </c>
      <c r="I655" s="23">
        <v>2.2200000000000002</v>
      </c>
      <c r="J655" s="17">
        <f>OR(F655&lt;&gt;0,G655&lt;&gt;0,H655&lt;&gt;0,I655&lt;&gt;0)*(F655 + (F655 = 0))*(G655 + (G655 = 0))*(H655 + (H655 = 0))*(I655 + (I655 = 0))</f>
        <v>5.1100000000000003</v>
      </c>
      <c r="K655" s="9"/>
      <c r="L655" s="9"/>
      <c r="M655" s="9"/>
    </row>
    <row r="656" spans="1:13">
      <c r="A656" s="9"/>
      <c r="B656" s="9"/>
      <c r="C656" s="10" t="s">
        <v>27</v>
      </c>
      <c r="D656" s="30"/>
      <c r="E656" s="10" t="s">
        <v>435</v>
      </c>
      <c r="F656" s="19">
        <v>1</v>
      </c>
      <c r="G656" s="23">
        <v>0</v>
      </c>
      <c r="H656" s="23">
        <v>1.23</v>
      </c>
      <c r="I656" s="23">
        <v>2.35</v>
      </c>
      <c r="J656" s="17">
        <f>OR(F656&lt;&gt;0,G656&lt;&gt;0,H656&lt;&gt;0,I656&lt;&gt;0)*(F656 + (F656 = 0))*(G656 + (G656 = 0))*(H656 + (H656 = 0))*(I656 + (I656 = 0))</f>
        <v>2.89</v>
      </c>
      <c r="K656" s="9"/>
      <c r="L656" s="9"/>
      <c r="M656" s="9"/>
    </row>
    <row r="657" spans="1:13">
      <c r="A657" s="9"/>
      <c r="B657" s="9"/>
      <c r="C657" s="9"/>
      <c r="D657" s="30"/>
      <c r="E657" s="9"/>
      <c r="F657" s="9"/>
      <c r="G657" s="9"/>
      <c r="H657" s="9"/>
      <c r="I657" s="9"/>
      <c r="J657" s="21" t="s">
        <v>597</v>
      </c>
      <c r="K657" s="22">
        <f>SUM(J655:J656)</f>
        <v>8</v>
      </c>
      <c r="L657" s="23">
        <v>0</v>
      </c>
      <c r="M657" s="24">
        <f>ROUND(K657*L657,2)</f>
        <v>0</v>
      </c>
    </row>
    <row r="658" spans="1:13" ht="0.95" customHeight="1">
      <c r="A658" s="25"/>
      <c r="B658" s="25"/>
      <c r="C658" s="25"/>
      <c r="D658" s="31"/>
      <c r="E658" s="25"/>
      <c r="F658" s="25"/>
      <c r="G658" s="25"/>
      <c r="H658" s="25"/>
      <c r="I658" s="25"/>
      <c r="J658" s="25"/>
      <c r="K658" s="25"/>
      <c r="L658" s="25"/>
      <c r="M658" s="25"/>
    </row>
    <row r="659" spans="1:13" ht="22.5">
      <c r="A659" s="15" t="s">
        <v>598</v>
      </c>
      <c r="B659" s="10" t="s">
        <v>23</v>
      </c>
      <c r="C659" s="10" t="s">
        <v>94</v>
      </c>
      <c r="D659" s="18" t="s">
        <v>587</v>
      </c>
      <c r="E659" s="9"/>
      <c r="F659" s="9"/>
      <c r="G659" s="9"/>
      <c r="H659" s="9"/>
      <c r="I659" s="9"/>
      <c r="J659" s="9"/>
      <c r="K659" s="16">
        <f>K663</f>
        <v>1.56</v>
      </c>
      <c r="L659" s="17">
        <f>L663</f>
        <v>0</v>
      </c>
      <c r="M659" s="17">
        <f>M663</f>
        <v>0</v>
      </c>
    </row>
    <row r="660" spans="1:13">
      <c r="A660" s="9"/>
      <c r="B660" s="9"/>
      <c r="C660" s="9"/>
      <c r="D660" s="18" t="s">
        <v>588</v>
      </c>
      <c r="E660" s="9"/>
      <c r="F660" s="9"/>
      <c r="G660" s="9"/>
      <c r="H660" s="9"/>
      <c r="I660" s="9"/>
      <c r="J660" s="9"/>
      <c r="K660" s="9"/>
      <c r="L660" s="9"/>
      <c r="M660" s="9"/>
    </row>
    <row r="661" spans="1:13">
      <c r="A661" s="9"/>
      <c r="B661" s="9"/>
      <c r="C661" s="10" t="s">
        <v>27</v>
      </c>
      <c r="D661" s="30"/>
      <c r="E661" s="10" t="s">
        <v>371</v>
      </c>
      <c r="F661" s="19">
        <v>1</v>
      </c>
      <c r="G661" s="23">
        <v>0</v>
      </c>
      <c r="H661" s="23">
        <v>0.25</v>
      </c>
      <c r="I661" s="23">
        <v>1.47</v>
      </c>
      <c r="J661" s="17">
        <f>OR(F661&lt;&gt;0,G661&lt;&gt;0,H661&lt;&gt;0,I661&lt;&gt;0)*(F661 + (F661 = 0))*(G661 + (G661 = 0))*(H661 + (H661 = 0))*(I661 + (I661 = 0))</f>
        <v>0.37</v>
      </c>
      <c r="K661" s="9"/>
      <c r="L661" s="9"/>
      <c r="M661" s="9"/>
    </row>
    <row r="662" spans="1:13">
      <c r="A662" s="9"/>
      <c r="B662" s="9"/>
      <c r="C662" s="10" t="s">
        <v>27</v>
      </c>
      <c r="D662" s="30"/>
      <c r="E662" s="10" t="s">
        <v>17</v>
      </c>
      <c r="F662" s="19">
        <v>1</v>
      </c>
      <c r="G662" s="23">
        <v>0</v>
      </c>
      <c r="H662" s="23">
        <v>0.84</v>
      </c>
      <c r="I662" s="23">
        <v>1.42</v>
      </c>
      <c r="J662" s="17">
        <f>OR(F662&lt;&gt;0,G662&lt;&gt;0,H662&lt;&gt;0,I662&lt;&gt;0)*(F662 + (F662 = 0))*(G662 + (G662 = 0))*(H662 + (H662 = 0))*(I662 + (I662 = 0))</f>
        <v>1.19</v>
      </c>
      <c r="K662" s="9"/>
      <c r="L662" s="9"/>
      <c r="M662" s="9"/>
    </row>
    <row r="663" spans="1:13">
      <c r="A663" s="9"/>
      <c r="B663" s="9"/>
      <c r="C663" s="9"/>
      <c r="D663" s="30"/>
      <c r="E663" s="9"/>
      <c r="F663" s="9"/>
      <c r="G663" s="9"/>
      <c r="H663" s="9"/>
      <c r="I663" s="9"/>
      <c r="J663" s="21" t="s">
        <v>599</v>
      </c>
      <c r="K663" s="22">
        <f>SUM(J661:J662)</f>
        <v>1.56</v>
      </c>
      <c r="L663" s="23">
        <v>0</v>
      </c>
      <c r="M663" s="24">
        <f>ROUND(K663*L663,2)</f>
        <v>0</v>
      </c>
    </row>
    <row r="664" spans="1:13" ht="0.95" customHeight="1">
      <c r="A664" s="25"/>
      <c r="B664" s="25"/>
      <c r="C664" s="25"/>
      <c r="D664" s="31"/>
      <c r="E664" s="25"/>
      <c r="F664" s="25"/>
      <c r="G664" s="25"/>
      <c r="H664" s="25"/>
      <c r="I664" s="25"/>
      <c r="J664" s="25"/>
      <c r="K664" s="25"/>
      <c r="L664" s="25"/>
      <c r="M664" s="25"/>
    </row>
    <row r="665" spans="1:13" ht="22.5">
      <c r="A665" s="10" t="s">
        <v>600</v>
      </c>
      <c r="B665" s="10" t="s">
        <v>23</v>
      </c>
      <c r="C665" s="10" t="s">
        <v>94</v>
      </c>
      <c r="D665" s="18" t="s">
        <v>601</v>
      </c>
      <c r="E665" s="9"/>
      <c r="F665" s="9"/>
      <c r="G665" s="9"/>
      <c r="H665" s="9"/>
      <c r="I665" s="9"/>
      <c r="J665" s="9"/>
      <c r="K665" s="16">
        <f>K677</f>
        <v>11.34</v>
      </c>
      <c r="L665" s="17">
        <f>L677</f>
        <v>0</v>
      </c>
      <c r="M665" s="17">
        <f>M677</f>
        <v>0</v>
      </c>
    </row>
    <row r="666" spans="1:13">
      <c r="A666" s="9"/>
      <c r="B666" s="9"/>
      <c r="C666" s="9"/>
      <c r="D666" s="18" t="s">
        <v>602</v>
      </c>
      <c r="E666" s="9"/>
      <c r="F666" s="9"/>
      <c r="G666" s="9"/>
      <c r="H666" s="9"/>
      <c r="I666" s="9"/>
      <c r="J666" s="9"/>
      <c r="K666" s="9"/>
      <c r="L666" s="9"/>
      <c r="M666" s="9"/>
    </row>
    <row r="667" spans="1:13">
      <c r="A667" s="9"/>
      <c r="B667" s="9"/>
      <c r="C667" s="10" t="s">
        <v>27</v>
      </c>
      <c r="D667" s="30"/>
      <c r="E667" s="10" t="s">
        <v>380</v>
      </c>
      <c r="F667" s="19">
        <v>1</v>
      </c>
      <c r="G667" s="23">
        <v>0</v>
      </c>
      <c r="H667" s="23">
        <v>0.44</v>
      </c>
      <c r="I667" s="23">
        <v>0.41</v>
      </c>
      <c r="J667" s="17">
        <f>OR(F667&lt;&gt;0,G667&lt;&gt;0,H667&lt;&gt;0,I667&lt;&gt;0)*(F667 + (F667 = 0))*(G667 + (G667 = 0))*(H667 + (H667 = 0))*(I667 + (I667 = 0))</f>
        <v>0.18</v>
      </c>
      <c r="K667" s="9"/>
      <c r="L667" s="9"/>
      <c r="M667" s="9"/>
    </row>
    <row r="668" spans="1:13">
      <c r="A668" s="9"/>
      <c r="B668" s="9"/>
      <c r="C668" s="10" t="s">
        <v>27</v>
      </c>
      <c r="D668" s="30"/>
      <c r="E668" s="10" t="s">
        <v>385</v>
      </c>
      <c r="F668" s="19">
        <v>2</v>
      </c>
      <c r="G668" s="23">
        <v>0</v>
      </c>
      <c r="H668" s="23">
        <v>2.1</v>
      </c>
      <c r="I668" s="23">
        <v>0.41</v>
      </c>
      <c r="J668" s="17">
        <f>OR(F668&lt;&gt;0,G668&lt;&gt;0,H668&lt;&gt;0,I668&lt;&gt;0)*(F668 + (F668 = 0))*(G668 + (G668 = 0))*(H668 + (H668 = 0))*(I668 + (I668 = 0))</f>
        <v>1.72</v>
      </c>
      <c r="K668" s="9"/>
      <c r="L668" s="9"/>
      <c r="M668" s="9"/>
    </row>
    <row r="669" spans="1:13">
      <c r="A669" s="9"/>
      <c r="B669" s="9"/>
      <c r="C669" s="10" t="s">
        <v>27</v>
      </c>
      <c r="D669" s="30"/>
      <c r="E669" s="10" t="s">
        <v>390</v>
      </c>
      <c r="F669" s="19">
        <v>1</v>
      </c>
      <c r="G669" s="23">
        <v>0</v>
      </c>
      <c r="H669" s="23">
        <v>0.54</v>
      </c>
      <c r="I669" s="23">
        <v>0.41</v>
      </c>
      <c r="J669" s="17">
        <f>OR(F669&lt;&gt;0,G669&lt;&gt;0,H669&lt;&gt;0,I669&lt;&gt;0)*(F669 + (F669 = 0))*(G669 + (G669 = 0))*(H669 + (H669 = 0))*(I669 + (I669 = 0))</f>
        <v>0.22</v>
      </c>
      <c r="K669" s="9"/>
      <c r="L669" s="9"/>
      <c r="M669" s="9"/>
    </row>
    <row r="670" spans="1:13">
      <c r="A670" s="9"/>
      <c r="B670" s="9"/>
      <c r="C670" s="10" t="s">
        <v>27</v>
      </c>
      <c r="D670" s="30"/>
      <c r="E670" s="10" t="s">
        <v>395</v>
      </c>
      <c r="F670" s="19">
        <v>1</v>
      </c>
      <c r="G670" s="23">
        <v>0</v>
      </c>
      <c r="H670" s="23">
        <v>0.89</v>
      </c>
      <c r="I670" s="23">
        <v>1.18</v>
      </c>
      <c r="J670" s="17">
        <f>OR(F670&lt;&gt;0,G670&lt;&gt;0,H670&lt;&gt;0,I670&lt;&gt;0)*(F670 + (F670 = 0))*(G670 + (G670 = 0))*(H670 + (H670 = 0))*(I670 + (I670 = 0))</f>
        <v>1.05</v>
      </c>
      <c r="K670" s="9"/>
      <c r="L670" s="9"/>
      <c r="M670" s="9"/>
    </row>
    <row r="671" spans="1:13">
      <c r="A671" s="9"/>
      <c r="B671" s="9"/>
      <c r="C671" s="10" t="s">
        <v>27</v>
      </c>
      <c r="D671" s="30"/>
      <c r="E671" s="10" t="s">
        <v>400</v>
      </c>
      <c r="F671" s="19">
        <v>1</v>
      </c>
      <c r="G671" s="23">
        <v>0</v>
      </c>
      <c r="H671" s="23">
        <v>0.95</v>
      </c>
      <c r="I671" s="23">
        <v>1.18</v>
      </c>
      <c r="J671" s="17">
        <f>OR(F671&lt;&gt;0,G671&lt;&gt;0,H671&lt;&gt;0,I671&lt;&gt;0)*(F671 + (F671 = 0))*(G671 + (G671 = 0))*(H671 + (H671 = 0))*(I671 + (I671 = 0))</f>
        <v>1.1200000000000001</v>
      </c>
      <c r="K671" s="9"/>
      <c r="L671" s="9"/>
      <c r="M671" s="9"/>
    </row>
    <row r="672" spans="1:13">
      <c r="A672" s="9"/>
      <c r="B672" s="9"/>
      <c r="C672" s="10" t="s">
        <v>27</v>
      </c>
      <c r="D672" s="30"/>
      <c r="E672" s="10" t="s">
        <v>405</v>
      </c>
      <c r="F672" s="19">
        <v>1</v>
      </c>
      <c r="G672" s="23">
        <v>0</v>
      </c>
      <c r="H672" s="23">
        <v>1.6</v>
      </c>
      <c r="I672" s="23">
        <v>1.18</v>
      </c>
      <c r="J672" s="17">
        <f>OR(F672&lt;&gt;0,G672&lt;&gt;0,H672&lt;&gt;0,I672&lt;&gt;0)*(F672 + (F672 = 0))*(G672 + (G672 = 0))*(H672 + (H672 = 0))*(I672 + (I672 = 0))</f>
        <v>1.89</v>
      </c>
      <c r="K672" s="9"/>
      <c r="L672" s="9"/>
      <c r="M672" s="9"/>
    </row>
    <row r="673" spans="1:13">
      <c r="A673" s="9"/>
      <c r="B673" s="9"/>
      <c r="C673" s="10" t="s">
        <v>27</v>
      </c>
      <c r="D673" s="30"/>
      <c r="E673" s="10" t="s">
        <v>410</v>
      </c>
      <c r="F673" s="19">
        <v>1</v>
      </c>
      <c r="G673" s="23">
        <v>0</v>
      </c>
      <c r="H673" s="23">
        <v>1.6</v>
      </c>
      <c r="I673" s="23">
        <v>1.18</v>
      </c>
      <c r="J673" s="17">
        <f>OR(F673&lt;&gt;0,G673&lt;&gt;0,H673&lt;&gt;0,I673&lt;&gt;0)*(F673 + (F673 = 0))*(G673 + (G673 = 0))*(H673 + (H673 = 0))*(I673 + (I673 = 0))</f>
        <v>1.89</v>
      </c>
      <c r="K673" s="9"/>
      <c r="L673" s="9"/>
      <c r="M673" s="9"/>
    </row>
    <row r="674" spans="1:13">
      <c r="A674" s="9"/>
      <c r="B674" s="9"/>
      <c r="C674" s="10" t="s">
        <v>27</v>
      </c>
      <c r="D674" s="30"/>
      <c r="E674" s="10" t="s">
        <v>415</v>
      </c>
      <c r="F674" s="19">
        <v>1</v>
      </c>
      <c r="G674" s="23">
        <v>0</v>
      </c>
      <c r="H674" s="23">
        <v>0.84</v>
      </c>
      <c r="I674" s="23">
        <v>1.18</v>
      </c>
      <c r="J674" s="17">
        <f>OR(F674&lt;&gt;0,G674&lt;&gt;0,H674&lt;&gt;0,I674&lt;&gt;0)*(F674 + (F674 = 0))*(G674 + (G674 = 0))*(H674 + (H674 = 0))*(I674 + (I674 = 0))</f>
        <v>0.99</v>
      </c>
      <c r="K674" s="9"/>
      <c r="L674" s="9"/>
      <c r="M674" s="9"/>
    </row>
    <row r="675" spans="1:13">
      <c r="A675" s="9"/>
      <c r="B675" s="9"/>
      <c r="C675" s="10" t="s">
        <v>27</v>
      </c>
      <c r="D675" s="30"/>
      <c r="E675" s="10" t="s">
        <v>420</v>
      </c>
      <c r="F675" s="19">
        <v>1</v>
      </c>
      <c r="G675" s="23">
        <v>0</v>
      </c>
      <c r="H675" s="23">
        <v>1</v>
      </c>
      <c r="I675" s="23">
        <v>0.75</v>
      </c>
      <c r="J675" s="17">
        <f>OR(F675&lt;&gt;0,G675&lt;&gt;0,H675&lt;&gt;0,I675&lt;&gt;0)*(F675 + (F675 = 0))*(G675 + (G675 = 0))*(H675 + (H675 = 0))*(I675 + (I675 = 0))</f>
        <v>0.75</v>
      </c>
      <c r="K675" s="9"/>
      <c r="L675" s="9"/>
      <c r="M675" s="9"/>
    </row>
    <row r="676" spans="1:13">
      <c r="A676" s="9"/>
      <c r="B676" s="9"/>
      <c r="C676" s="10" t="s">
        <v>27</v>
      </c>
      <c r="D676" s="30"/>
      <c r="E676" s="10" t="s">
        <v>425</v>
      </c>
      <c r="F676" s="19">
        <v>1</v>
      </c>
      <c r="G676" s="23">
        <v>0</v>
      </c>
      <c r="H676" s="23">
        <v>2.04</v>
      </c>
      <c r="I676" s="23">
        <v>0.75</v>
      </c>
      <c r="J676" s="17">
        <f>OR(F676&lt;&gt;0,G676&lt;&gt;0,H676&lt;&gt;0,I676&lt;&gt;0)*(F676 + (F676 = 0))*(G676 + (G676 = 0))*(H676 + (H676 = 0))*(I676 + (I676 = 0))</f>
        <v>1.53</v>
      </c>
      <c r="K676" s="9"/>
      <c r="L676" s="9"/>
      <c r="M676" s="9"/>
    </row>
    <row r="677" spans="1:13">
      <c r="A677" s="9"/>
      <c r="B677" s="9"/>
      <c r="C677" s="9"/>
      <c r="D677" s="30"/>
      <c r="E677" s="9"/>
      <c r="F677" s="9"/>
      <c r="G677" s="9"/>
      <c r="H677" s="9"/>
      <c r="I677" s="9"/>
      <c r="J677" s="21" t="s">
        <v>603</v>
      </c>
      <c r="K677" s="22">
        <f>SUM(J667:J676)</f>
        <v>11.34</v>
      </c>
      <c r="L677" s="23">
        <v>0</v>
      </c>
      <c r="M677" s="24">
        <f>ROUND(K677*L677,2)</f>
        <v>0</v>
      </c>
    </row>
    <row r="678" spans="1:13" ht="0.95" customHeight="1">
      <c r="A678" s="25"/>
      <c r="B678" s="25"/>
      <c r="C678" s="25"/>
      <c r="D678" s="31"/>
      <c r="E678" s="25"/>
      <c r="F678" s="25"/>
      <c r="G678" s="25"/>
      <c r="H678" s="25"/>
      <c r="I678" s="25"/>
      <c r="J678" s="25"/>
      <c r="K678" s="25"/>
      <c r="L678" s="25"/>
      <c r="M678" s="25"/>
    </row>
    <row r="679" spans="1:13">
      <c r="A679" s="9"/>
      <c r="B679" s="9"/>
      <c r="C679" s="9"/>
      <c r="D679" s="30"/>
      <c r="E679" s="9"/>
      <c r="F679" s="9"/>
      <c r="G679" s="9"/>
      <c r="H679" s="9"/>
      <c r="I679" s="9"/>
      <c r="J679" s="21" t="s">
        <v>604</v>
      </c>
      <c r="K679" s="20">
        <v>1</v>
      </c>
      <c r="L679" s="24">
        <f>M605+M612+M619+M629+M635+M641+M647+M653+M659+M665</f>
        <v>0</v>
      </c>
      <c r="M679" s="24">
        <f>ROUND(K679*L679,2)</f>
        <v>0</v>
      </c>
    </row>
    <row r="680" spans="1:13" ht="0.95" customHeight="1">
      <c r="A680" s="25"/>
      <c r="B680" s="25"/>
      <c r="C680" s="25"/>
      <c r="D680" s="31"/>
      <c r="E680" s="25"/>
      <c r="F680" s="25"/>
      <c r="G680" s="25"/>
      <c r="H680" s="25"/>
      <c r="I680" s="25"/>
      <c r="J680" s="25"/>
      <c r="K680" s="25"/>
      <c r="L680" s="25"/>
      <c r="M680" s="25"/>
    </row>
    <row r="681" spans="1:13">
      <c r="A681" s="9"/>
      <c r="B681" s="9"/>
      <c r="C681" s="9"/>
      <c r="D681" s="30"/>
      <c r="E681" s="9"/>
      <c r="F681" s="9"/>
      <c r="G681" s="9"/>
      <c r="H681" s="9"/>
      <c r="I681" s="9"/>
      <c r="J681" s="21" t="s">
        <v>605</v>
      </c>
      <c r="K681" s="26">
        <v>1</v>
      </c>
      <c r="L681" s="24">
        <f>M317+M483+M491+M534+M543+M548+M562+M604</f>
        <v>0</v>
      </c>
      <c r="M681" s="24">
        <f>ROUND(K681*L681,2)</f>
        <v>0</v>
      </c>
    </row>
    <row r="682" spans="1:13" ht="0.95" customHeight="1">
      <c r="A682" s="25"/>
      <c r="B682" s="25"/>
      <c r="C682" s="25"/>
      <c r="D682" s="31"/>
      <c r="E682" s="25"/>
      <c r="F682" s="25"/>
      <c r="G682" s="25"/>
      <c r="H682" s="25"/>
      <c r="I682" s="25"/>
      <c r="J682" s="25"/>
      <c r="K682" s="25"/>
      <c r="L682" s="25"/>
      <c r="M682" s="25"/>
    </row>
    <row r="683" spans="1:13">
      <c r="A683" s="5" t="s">
        <v>606</v>
      </c>
      <c r="B683" s="5" t="s">
        <v>16</v>
      </c>
      <c r="C683" s="5" t="s">
        <v>17</v>
      </c>
      <c r="D683" s="28" t="s">
        <v>607</v>
      </c>
      <c r="E683" s="6"/>
      <c r="F683" s="6"/>
      <c r="G683" s="6"/>
      <c r="H683" s="6"/>
      <c r="I683" s="6"/>
      <c r="J683" s="6"/>
      <c r="K683" s="7">
        <f>K797</f>
        <v>1</v>
      </c>
      <c r="L683" s="8">
        <f>L797</f>
        <v>0</v>
      </c>
      <c r="M683" s="8">
        <f>M797</f>
        <v>0</v>
      </c>
    </row>
    <row r="684" spans="1:13">
      <c r="A684" s="11" t="s">
        <v>608</v>
      </c>
      <c r="B684" s="11" t="s">
        <v>16</v>
      </c>
      <c r="C684" s="11" t="s">
        <v>17</v>
      </c>
      <c r="D684" s="29" t="s">
        <v>609</v>
      </c>
      <c r="E684" s="12"/>
      <c r="F684" s="12"/>
      <c r="G684" s="12"/>
      <c r="H684" s="12"/>
      <c r="I684" s="12"/>
      <c r="J684" s="12"/>
      <c r="K684" s="13">
        <f>K716</f>
        <v>1</v>
      </c>
      <c r="L684" s="14">
        <f>L716</f>
        <v>0</v>
      </c>
      <c r="M684" s="14">
        <f>M716</f>
        <v>0</v>
      </c>
    </row>
    <row r="685" spans="1:13" ht="33.75">
      <c r="A685" s="15" t="s">
        <v>610</v>
      </c>
      <c r="B685" s="10" t="s">
        <v>23</v>
      </c>
      <c r="C685" s="10" t="s">
        <v>94</v>
      </c>
      <c r="D685" s="18" t="s">
        <v>611</v>
      </c>
      <c r="E685" s="9"/>
      <c r="F685" s="9"/>
      <c r="G685" s="9"/>
      <c r="H685" s="9"/>
      <c r="I685" s="9"/>
      <c r="J685" s="9"/>
      <c r="K685" s="16">
        <f>K709</f>
        <v>32.942999999999998</v>
      </c>
      <c r="L685" s="17">
        <f>L709</f>
        <v>0</v>
      </c>
      <c r="M685" s="17">
        <f>M709</f>
        <v>0</v>
      </c>
    </row>
    <row r="686" spans="1:13">
      <c r="A686" s="9"/>
      <c r="B686" s="9"/>
      <c r="C686" s="9"/>
      <c r="D686" s="18" t="s">
        <v>612</v>
      </c>
      <c r="E686" s="9"/>
      <c r="F686" s="9"/>
      <c r="G686" s="9"/>
      <c r="H686" s="9"/>
      <c r="I686" s="9"/>
      <c r="J686" s="9"/>
      <c r="K686" s="9"/>
      <c r="L686" s="9"/>
      <c r="M686" s="9"/>
    </row>
    <row r="687" spans="1:13">
      <c r="A687" s="9"/>
      <c r="B687" s="9"/>
      <c r="C687" s="10" t="s">
        <v>27</v>
      </c>
      <c r="D687" s="30"/>
      <c r="E687" s="10" t="s">
        <v>227</v>
      </c>
      <c r="F687" s="19"/>
      <c r="G687" s="20"/>
      <c r="H687" s="20"/>
      <c r="I687" s="20"/>
      <c r="J687" s="16">
        <f>OR(F687&lt;&gt;0,G687&lt;&gt;0,H687&lt;&gt;0,I687&lt;&gt;0)*(F687 + (F687 = 0))*(G687 + (G687 = 0))*(H687 + (H687 = 0))*(I687 + (I687 = 0))</f>
        <v>0</v>
      </c>
      <c r="K687" s="9"/>
      <c r="L687" s="9"/>
      <c r="M687" s="9"/>
    </row>
    <row r="688" spans="1:13">
      <c r="A688" s="9"/>
      <c r="B688" s="9"/>
      <c r="C688" s="10" t="s">
        <v>27</v>
      </c>
      <c r="D688" s="30"/>
      <c r="E688" s="10" t="s">
        <v>613</v>
      </c>
      <c r="F688" s="19">
        <v>1</v>
      </c>
      <c r="G688" s="20">
        <v>6.4</v>
      </c>
      <c r="H688" s="20">
        <v>0.65</v>
      </c>
      <c r="I688" s="20">
        <v>0</v>
      </c>
      <c r="J688" s="16">
        <f>OR(F688&lt;&gt;0,G688&lt;&gt;0,H688&lt;&gt;0,I688&lt;&gt;0)*(F688 + (F688 = 0))*(G688 + (G688 = 0))*(H688 + (H688 = 0))*(I688 + (I688 = 0))</f>
        <v>4.16</v>
      </c>
      <c r="K688" s="9"/>
      <c r="L688" s="9"/>
      <c r="M688" s="9"/>
    </row>
    <row r="689" spans="1:13">
      <c r="A689" s="9"/>
      <c r="B689" s="9"/>
      <c r="C689" s="10" t="s">
        <v>27</v>
      </c>
      <c r="D689" s="30"/>
      <c r="E689" s="10" t="s">
        <v>17</v>
      </c>
      <c r="F689" s="19">
        <v>1</v>
      </c>
      <c r="G689" s="20">
        <v>0</v>
      </c>
      <c r="H689" s="20">
        <v>0.45</v>
      </c>
      <c r="I689" s="20">
        <v>2.5</v>
      </c>
      <c r="J689" s="16">
        <f>OR(F689&lt;&gt;0,G689&lt;&gt;0,H689&lt;&gt;0,I689&lt;&gt;0)*(F689 + (F689 = 0))*(G689 + (G689 = 0))*(H689 + (H689 = 0))*(I689 + (I689 = 0))</f>
        <v>1.125</v>
      </c>
      <c r="K689" s="9"/>
      <c r="L689" s="9"/>
      <c r="M689" s="9"/>
    </row>
    <row r="690" spans="1:13">
      <c r="A690" s="9"/>
      <c r="B690" s="9"/>
      <c r="C690" s="10" t="s">
        <v>27</v>
      </c>
      <c r="D690" s="30"/>
      <c r="E690" s="10" t="s">
        <v>614</v>
      </c>
      <c r="F690" s="19">
        <v>1</v>
      </c>
      <c r="G690" s="20">
        <v>6.35</v>
      </c>
      <c r="H690" s="20">
        <v>0.25</v>
      </c>
      <c r="I690" s="20">
        <v>0</v>
      </c>
      <c r="J690" s="16">
        <f>OR(F690&lt;&gt;0,G690&lt;&gt;0,H690&lt;&gt;0,I690&lt;&gt;0)*(F690 + (F690 = 0))*(G690 + (G690 = 0))*(H690 + (H690 = 0))*(I690 + (I690 = 0))</f>
        <v>1.5880000000000001</v>
      </c>
      <c r="K690" s="9"/>
      <c r="L690" s="9"/>
      <c r="M690" s="9"/>
    </row>
    <row r="691" spans="1:13">
      <c r="A691" s="9"/>
      <c r="B691" s="9"/>
      <c r="C691" s="10" t="s">
        <v>27</v>
      </c>
      <c r="D691" s="30"/>
      <c r="E691" s="10" t="s">
        <v>615</v>
      </c>
      <c r="F691" s="19">
        <v>1</v>
      </c>
      <c r="G691" s="20">
        <v>6.6</v>
      </c>
      <c r="H691" s="20">
        <v>0.3</v>
      </c>
      <c r="I691" s="20">
        <v>0</v>
      </c>
      <c r="J691" s="16">
        <f>OR(F691&lt;&gt;0,G691&lt;&gt;0,H691&lt;&gt;0,I691&lt;&gt;0)*(F691 + (F691 = 0))*(G691 + (G691 = 0))*(H691 + (H691 = 0))*(I691 + (I691 = 0))</f>
        <v>1.98</v>
      </c>
      <c r="K691" s="9"/>
      <c r="L691" s="9"/>
      <c r="M691" s="9"/>
    </row>
    <row r="692" spans="1:13">
      <c r="A692" s="9"/>
      <c r="B692" s="9"/>
      <c r="C692" s="10" t="s">
        <v>27</v>
      </c>
      <c r="D692" s="30"/>
      <c r="E692" s="10" t="s">
        <v>616</v>
      </c>
      <c r="F692" s="19">
        <v>1</v>
      </c>
      <c r="G692" s="20">
        <v>4.2300000000000004</v>
      </c>
      <c r="H692" s="20">
        <v>0.3</v>
      </c>
      <c r="I692" s="20">
        <v>0</v>
      </c>
      <c r="J692" s="16">
        <f>OR(F692&lt;&gt;0,G692&lt;&gt;0,H692&lt;&gt;0,I692&lt;&gt;0)*(F692 + (F692 = 0))*(G692 + (G692 = 0))*(H692 + (H692 = 0))*(I692 + (I692 = 0))</f>
        <v>1.2689999999999999</v>
      </c>
      <c r="K692" s="9"/>
      <c r="L692" s="9"/>
      <c r="M692" s="9"/>
    </row>
    <row r="693" spans="1:13">
      <c r="A693" s="9"/>
      <c r="B693" s="9"/>
      <c r="C693" s="10" t="s">
        <v>27</v>
      </c>
      <c r="D693" s="30"/>
      <c r="E693" s="10" t="s">
        <v>17</v>
      </c>
      <c r="F693" s="19">
        <v>1</v>
      </c>
      <c r="G693" s="20">
        <v>9.3000000000000007</v>
      </c>
      <c r="H693" s="20">
        <v>0.3</v>
      </c>
      <c r="I693" s="20">
        <v>0</v>
      </c>
      <c r="J693" s="16">
        <f>OR(F693&lt;&gt;0,G693&lt;&gt;0,H693&lt;&gt;0,I693&lt;&gt;0)*(F693 + (F693 = 0))*(G693 + (G693 = 0))*(H693 + (H693 = 0))*(I693 + (I693 = 0))</f>
        <v>2.79</v>
      </c>
      <c r="K693" s="9"/>
      <c r="L693" s="9"/>
      <c r="M693" s="9"/>
    </row>
    <row r="694" spans="1:13">
      <c r="A694" s="9"/>
      <c r="B694" s="9"/>
      <c r="C694" s="10" t="s">
        <v>27</v>
      </c>
      <c r="D694" s="30"/>
      <c r="E694" s="10" t="s">
        <v>17</v>
      </c>
      <c r="F694" s="19">
        <v>1</v>
      </c>
      <c r="G694" s="20">
        <v>8</v>
      </c>
      <c r="H694" s="20">
        <v>0.2</v>
      </c>
      <c r="I694" s="20">
        <v>0</v>
      </c>
      <c r="J694" s="16">
        <f>OR(F694&lt;&gt;0,G694&lt;&gt;0,H694&lt;&gt;0,I694&lt;&gt;0)*(F694 + (F694 = 0))*(G694 + (G694 = 0))*(H694 + (H694 = 0))*(I694 + (I694 = 0))</f>
        <v>1.6</v>
      </c>
      <c r="K694" s="9"/>
      <c r="L694" s="9"/>
      <c r="M694" s="9"/>
    </row>
    <row r="695" spans="1:13">
      <c r="A695" s="9"/>
      <c r="B695" s="9"/>
      <c r="C695" s="10" t="s">
        <v>27</v>
      </c>
      <c r="D695" s="30"/>
      <c r="E695" s="10" t="s">
        <v>617</v>
      </c>
      <c r="F695" s="19">
        <v>1</v>
      </c>
      <c r="G695" s="20">
        <v>6.6</v>
      </c>
      <c r="H695" s="20">
        <v>0.3</v>
      </c>
      <c r="I695" s="20">
        <v>0</v>
      </c>
      <c r="J695" s="16">
        <f>OR(F695&lt;&gt;0,G695&lt;&gt;0,H695&lt;&gt;0,I695&lt;&gt;0)*(F695 + (F695 = 0))*(G695 + (G695 = 0))*(H695 + (H695 = 0))*(I695 + (I695 = 0))</f>
        <v>1.98</v>
      </c>
      <c r="K695" s="9"/>
      <c r="L695" s="9"/>
      <c r="M695" s="9"/>
    </row>
    <row r="696" spans="1:13">
      <c r="A696" s="9"/>
      <c r="B696" s="9"/>
      <c r="C696" s="10" t="s">
        <v>27</v>
      </c>
      <c r="D696" s="30"/>
      <c r="E696" s="10" t="s">
        <v>618</v>
      </c>
      <c r="F696" s="19">
        <v>1</v>
      </c>
      <c r="G696" s="20">
        <v>0</v>
      </c>
      <c r="H696" s="20">
        <v>0.35</v>
      </c>
      <c r="I696" s="20">
        <v>2.65</v>
      </c>
      <c r="J696" s="16">
        <f>OR(F696&lt;&gt;0,G696&lt;&gt;0,H696&lt;&gt;0,I696&lt;&gt;0)*(F696 + (F696 = 0))*(G696 + (G696 = 0))*(H696 + (H696 = 0))*(I696 + (I696 = 0))</f>
        <v>0.92800000000000005</v>
      </c>
      <c r="K696" s="9"/>
      <c r="L696" s="9"/>
      <c r="M696" s="9"/>
    </row>
    <row r="697" spans="1:13">
      <c r="A697" s="9"/>
      <c r="B697" s="9"/>
      <c r="C697" s="10" t="s">
        <v>27</v>
      </c>
      <c r="D697" s="30"/>
      <c r="E697" s="10" t="s">
        <v>228</v>
      </c>
      <c r="F697" s="19"/>
      <c r="G697" s="20"/>
      <c r="H697" s="20"/>
      <c r="I697" s="20"/>
      <c r="J697" s="16">
        <f>OR(F697&lt;&gt;0,G697&lt;&gt;0,H697&lt;&gt;0,I697&lt;&gt;0)*(F697 + (F697 = 0))*(G697 + (G697 = 0))*(H697 + (H697 = 0))*(I697 + (I697 = 0))</f>
        <v>0</v>
      </c>
      <c r="K697" s="9"/>
      <c r="L697" s="9"/>
      <c r="M697" s="9"/>
    </row>
    <row r="698" spans="1:13">
      <c r="A698" s="9"/>
      <c r="B698" s="9"/>
      <c r="C698" s="10" t="s">
        <v>27</v>
      </c>
      <c r="D698" s="30"/>
      <c r="E698" s="10" t="s">
        <v>617</v>
      </c>
      <c r="F698" s="19">
        <v>1</v>
      </c>
      <c r="G698" s="20">
        <v>8.35</v>
      </c>
      <c r="H698" s="20">
        <v>0.15</v>
      </c>
      <c r="I698" s="20">
        <v>0</v>
      </c>
      <c r="J698" s="16">
        <f>OR(F698&lt;&gt;0,G698&lt;&gt;0,H698&lt;&gt;0,I698&lt;&gt;0)*(F698 + (F698 = 0))*(G698 + (G698 = 0))*(H698 + (H698 = 0))*(I698 + (I698 = 0))</f>
        <v>1.2529999999999999</v>
      </c>
      <c r="K698" s="9"/>
      <c r="L698" s="9"/>
      <c r="M698" s="9"/>
    </row>
    <row r="699" spans="1:13">
      <c r="A699" s="9"/>
      <c r="B699" s="9"/>
      <c r="C699" s="10" t="s">
        <v>27</v>
      </c>
      <c r="D699" s="30"/>
      <c r="E699" s="10" t="s">
        <v>17</v>
      </c>
      <c r="F699" s="19">
        <v>1</v>
      </c>
      <c r="G699" s="20">
        <v>10</v>
      </c>
      <c r="H699" s="20">
        <v>0.15</v>
      </c>
      <c r="I699" s="20">
        <v>0</v>
      </c>
      <c r="J699" s="16">
        <f>OR(F699&lt;&gt;0,G699&lt;&gt;0,H699&lt;&gt;0,I699&lt;&gt;0)*(F699 + (F699 = 0))*(G699 + (G699 = 0))*(H699 + (H699 = 0))*(I699 + (I699 = 0))</f>
        <v>1.5</v>
      </c>
      <c r="K699" s="9"/>
      <c r="L699" s="9"/>
      <c r="M699" s="9"/>
    </row>
    <row r="700" spans="1:13">
      <c r="A700" s="9"/>
      <c r="B700" s="9"/>
      <c r="C700" s="10" t="s">
        <v>27</v>
      </c>
      <c r="D700" s="30"/>
      <c r="E700" s="10" t="s">
        <v>17</v>
      </c>
      <c r="F700" s="19">
        <v>2</v>
      </c>
      <c r="G700" s="20">
        <v>0</v>
      </c>
      <c r="H700" s="20">
        <v>0.15</v>
      </c>
      <c r="I700" s="20">
        <v>2.4500000000000002</v>
      </c>
      <c r="J700" s="16">
        <f>OR(F700&lt;&gt;0,G700&lt;&gt;0,H700&lt;&gt;0,I700&lt;&gt;0)*(F700 + (F700 = 0))*(G700 + (G700 = 0))*(H700 + (H700 = 0))*(I700 + (I700 = 0))</f>
        <v>0.73499999999999999</v>
      </c>
      <c r="K700" s="9"/>
      <c r="L700" s="9"/>
      <c r="M700" s="9"/>
    </row>
    <row r="701" spans="1:13">
      <c r="A701" s="9"/>
      <c r="B701" s="9"/>
      <c r="C701" s="10" t="s">
        <v>27</v>
      </c>
      <c r="D701" s="30"/>
      <c r="E701" s="10" t="s">
        <v>17</v>
      </c>
      <c r="F701" s="19">
        <v>2</v>
      </c>
      <c r="G701" s="20">
        <v>0</v>
      </c>
      <c r="H701" s="20">
        <v>0.3</v>
      </c>
      <c r="I701" s="20">
        <v>2</v>
      </c>
      <c r="J701" s="16">
        <f>OR(F701&lt;&gt;0,G701&lt;&gt;0,H701&lt;&gt;0,I701&lt;&gt;0)*(F701 + (F701 = 0))*(G701 + (G701 = 0))*(H701 + (H701 = 0))*(I701 + (I701 = 0))</f>
        <v>1.2</v>
      </c>
      <c r="K701" s="9"/>
      <c r="L701" s="9"/>
      <c r="M701" s="9"/>
    </row>
    <row r="702" spans="1:13">
      <c r="A702" s="9"/>
      <c r="B702" s="9"/>
      <c r="C702" s="10" t="s">
        <v>27</v>
      </c>
      <c r="D702" s="30"/>
      <c r="E702" s="10" t="s">
        <v>17</v>
      </c>
      <c r="F702" s="19">
        <v>4</v>
      </c>
      <c r="G702" s="20">
        <v>2.5499999999999998</v>
      </c>
      <c r="H702" s="20">
        <v>0.25</v>
      </c>
      <c r="I702" s="20">
        <v>0</v>
      </c>
      <c r="J702" s="16">
        <f>OR(F702&lt;&gt;0,G702&lt;&gt;0,H702&lt;&gt;0,I702&lt;&gt;0)*(F702 + (F702 = 0))*(G702 + (G702 = 0))*(H702 + (H702 = 0))*(I702 + (I702 = 0))</f>
        <v>2.5499999999999998</v>
      </c>
      <c r="K702" s="9"/>
      <c r="L702" s="9"/>
      <c r="M702" s="9"/>
    </row>
    <row r="703" spans="1:13">
      <c r="A703" s="9"/>
      <c r="B703" s="9"/>
      <c r="C703" s="10" t="s">
        <v>27</v>
      </c>
      <c r="D703" s="30"/>
      <c r="E703" s="10" t="s">
        <v>619</v>
      </c>
      <c r="F703" s="19">
        <v>1</v>
      </c>
      <c r="G703" s="20">
        <v>5.75</v>
      </c>
      <c r="H703" s="20">
        <v>0.3</v>
      </c>
      <c r="I703" s="20">
        <v>0</v>
      </c>
      <c r="J703" s="16">
        <f>OR(F703&lt;&gt;0,G703&lt;&gt;0,H703&lt;&gt;0,I703&lt;&gt;0)*(F703 + (F703 = 0))*(G703 + (G703 = 0))*(H703 + (H703 = 0))*(I703 + (I703 = 0))</f>
        <v>1.7250000000000001</v>
      </c>
      <c r="K703" s="9"/>
      <c r="L703" s="9"/>
      <c r="M703" s="9"/>
    </row>
    <row r="704" spans="1:13">
      <c r="A704" s="9"/>
      <c r="B704" s="9"/>
      <c r="C704" s="10" t="s">
        <v>27</v>
      </c>
      <c r="D704" s="30"/>
      <c r="E704" s="10" t="s">
        <v>620</v>
      </c>
      <c r="F704" s="19">
        <v>1</v>
      </c>
      <c r="G704" s="20">
        <v>7.27</v>
      </c>
      <c r="H704" s="20">
        <v>0.2</v>
      </c>
      <c r="I704" s="20">
        <v>0</v>
      </c>
      <c r="J704" s="16">
        <f>OR(F704&lt;&gt;0,G704&lt;&gt;0,H704&lt;&gt;0,I704&lt;&gt;0)*(F704 + (F704 = 0))*(G704 + (G704 = 0))*(H704 + (H704 = 0))*(I704 + (I704 = 0))</f>
        <v>1.454</v>
      </c>
      <c r="K704" s="9"/>
      <c r="L704" s="9"/>
      <c r="M704" s="9"/>
    </row>
    <row r="705" spans="1:13">
      <c r="A705" s="9"/>
      <c r="B705" s="9"/>
      <c r="C705" s="10" t="s">
        <v>27</v>
      </c>
      <c r="D705" s="30"/>
      <c r="E705" s="10" t="s">
        <v>621</v>
      </c>
      <c r="F705" s="19">
        <v>1</v>
      </c>
      <c r="G705" s="20">
        <v>4.75</v>
      </c>
      <c r="H705" s="20">
        <v>0.25</v>
      </c>
      <c r="I705" s="20">
        <v>0</v>
      </c>
      <c r="J705" s="16">
        <f>OR(F705&lt;&gt;0,G705&lt;&gt;0,H705&lt;&gt;0,I705&lt;&gt;0)*(F705 + (F705 = 0))*(G705 + (G705 = 0))*(H705 + (H705 = 0))*(I705 + (I705 = 0))</f>
        <v>1.1879999999999999</v>
      </c>
      <c r="K705" s="9"/>
      <c r="L705" s="9"/>
      <c r="M705" s="9"/>
    </row>
    <row r="706" spans="1:13">
      <c r="A706" s="9"/>
      <c r="B706" s="9"/>
      <c r="C706" s="10" t="s">
        <v>27</v>
      </c>
      <c r="D706" s="30"/>
      <c r="E706" s="10" t="s">
        <v>17</v>
      </c>
      <c r="F706" s="19">
        <v>1</v>
      </c>
      <c r="G706" s="20">
        <v>4.55</v>
      </c>
      <c r="H706" s="20">
        <v>0.3</v>
      </c>
      <c r="I706" s="20">
        <v>0</v>
      </c>
      <c r="J706" s="16">
        <f>OR(F706&lt;&gt;0,G706&lt;&gt;0,H706&lt;&gt;0,I706&lt;&gt;0)*(F706 + (F706 = 0))*(G706 + (G706 = 0))*(H706 + (H706 = 0))*(I706 + (I706 = 0))</f>
        <v>1.365</v>
      </c>
      <c r="K706" s="9"/>
      <c r="L706" s="9"/>
      <c r="M706" s="9"/>
    </row>
    <row r="707" spans="1:13">
      <c r="A707" s="9"/>
      <c r="B707" s="9"/>
      <c r="C707" s="10" t="s">
        <v>27</v>
      </c>
      <c r="D707" s="30"/>
      <c r="E707" s="10" t="s">
        <v>622</v>
      </c>
      <c r="F707" s="19">
        <v>1</v>
      </c>
      <c r="G707" s="20">
        <v>4.75</v>
      </c>
      <c r="H707" s="20">
        <v>0.25</v>
      </c>
      <c r="I707" s="20">
        <v>0</v>
      </c>
      <c r="J707" s="16">
        <f>OR(F707&lt;&gt;0,G707&lt;&gt;0,H707&lt;&gt;0,I707&lt;&gt;0)*(F707 + (F707 = 0))*(G707 + (G707 = 0))*(H707 + (H707 = 0))*(I707 + (I707 = 0))</f>
        <v>1.1879999999999999</v>
      </c>
      <c r="K707" s="9"/>
      <c r="L707" s="9"/>
      <c r="M707" s="9"/>
    </row>
    <row r="708" spans="1:13">
      <c r="A708" s="9"/>
      <c r="B708" s="9"/>
      <c r="C708" s="10" t="s">
        <v>27</v>
      </c>
      <c r="D708" s="30"/>
      <c r="E708" s="10" t="s">
        <v>17</v>
      </c>
      <c r="F708" s="19">
        <v>1</v>
      </c>
      <c r="G708" s="20">
        <v>4.55</v>
      </c>
      <c r="H708" s="20">
        <v>0.3</v>
      </c>
      <c r="I708" s="20">
        <v>0</v>
      </c>
      <c r="J708" s="16">
        <f>OR(F708&lt;&gt;0,G708&lt;&gt;0,H708&lt;&gt;0,I708&lt;&gt;0)*(F708 + (F708 = 0))*(G708 + (G708 = 0))*(H708 + (H708 = 0))*(I708 + (I708 = 0))</f>
        <v>1.365</v>
      </c>
      <c r="K708" s="9"/>
      <c r="L708" s="9"/>
      <c r="M708" s="9"/>
    </row>
    <row r="709" spans="1:13">
      <c r="A709" s="9"/>
      <c r="B709" s="9"/>
      <c r="C709" s="9"/>
      <c r="D709" s="30"/>
      <c r="E709" s="9"/>
      <c r="F709" s="9"/>
      <c r="G709" s="9"/>
      <c r="H709" s="9"/>
      <c r="I709" s="9"/>
      <c r="J709" s="21" t="s">
        <v>623</v>
      </c>
      <c r="K709" s="22">
        <f>SUM(J687:J708)</f>
        <v>32.942999999999998</v>
      </c>
      <c r="L709" s="23">
        <v>0</v>
      </c>
      <c r="M709" s="24">
        <f>ROUND(K709*L709,2)</f>
        <v>0</v>
      </c>
    </row>
    <row r="710" spans="1:13" ht="0.95" customHeight="1">
      <c r="A710" s="25"/>
      <c r="B710" s="25"/>
      <c r="C710" s="25"/>
      <c r="D710" s="31"/>
      <c r="E710" s="25"/>
      <c r="F710" s="25"/>
      <c r="G710" s="25"/>
      <c r="H710" s="25"/>
      <c r="I710" s="25"/>
      <c r="J710" s="25"/>
      <c r="K710" s="25"/>
      <c r="L710" s="25"/>
      <c r="M710" s="25"/>
    </row>
    <row r="711" spans="1:13">
      <c r="A711" s="15" t="s">
        <v>624</v>
      </c>
      <c r="B711" s="10" t="s">
        <v>23</v>
      </c>
      <c r="C711" s="10" t="s">
        <v>625</v>
      </c>
      <c r="D711" s="18" t="s">
        <v>626</v>
      </c>
      <c r="E711" s="9"/>
      <c r="F711" s="9"/>
      <c r="G711" s="9"/>
      <c r="H711" s="9"/>
      <c r="I711" s="9"/>
      <c r="J711" s="9"/>
      <c r="K711" s="16">
        <f>K714</f>
        <v>1</v>
      </c>
      <c r="L711" s="17">
        <f>L714</f>
        <v>0</v>
      </c>
      <c r="M711" s="17">
        <f>M714</f>
        <v>0</v>
      </c>
    </row>
    <row r="712" spans="1:13">
      <c r="A712" s="9"/>
      <c r="B712" s="9"/>
      <c r="C712" s="9"/>
      <c r="D712" s="18" t="s">
        <v>627</v>
      </c>
      <c r="E712" s="9"/>
      <c r="F712" s="9"/>
      <c r="G712" s="9"/>
      <c r="H712" s="9"/>
      <c r="I712" s="9"/>
      <c r="J712" s="9"/>
      <c r="K712" s="9"/>
      <c r="L712" s="9"/>
      <c r="M712" s="9"/>
    </row>
    <row r="713" spans="1:13">
      <c r="A713" s="9"/>
      <c r="B713" s="9"/>
      <c r="C713" s="10" t="s">
        <v>27</v>
      </c>
      <c r="D713" s="30"/>
      <c r="E713" s="10" t="s">
        <v>628</v>
      </c>
      <c r="F713" s="19">
        <v>1</v>
      </c>
      <c r="G713" s="23">
        <v>0</v>
      </c>
      <c r="H713" s="23">
        <v>0</v>
      </c>
      <c r="I713" s="23">
        <v>0</v>
      </c>
      <c r="J713" s="17">
        <f>OR(F713&lt;&gt;0,G713&lt;&gt;0,H713&lt;&gt;0,I713&lt;&gt;0)*(F713 + (F713 = 0))*(G713 + (G713 = 0))*(H713 + (H713 = 0))*(I713 + (I713 = 0))</f>
        <v>1</v>
      </c>
      <c r="K713" s="9"/>
      <c r="L713" s="9"/>
      <c r="M713" s="9"/>
    </row>
    <row r="714" spans="1:13">
      <c r="A714" s="9"/>
      <c r="B714" s="9"/>
      <c r="C714" s="9"/>
      <c r="D714" s="30"/>
      <c r="E714" s="9"/>
      <c r="F714" s="9"/>
      <c r="G714" s="9"/>
      <c r="H714" s="9"/>
      <c r="I714" s="9"/>
      <c r="J714" s="21" t="s">
        <v>629</v>
      </c>
      <c r="K714" s="22">
        <f>J713</f>
        <v>1</v>
      </c>
      <c r="L714" s="23">
        <v>0</v>
      </c>
      <c r="M714" s="24">
        <f>ROUND(K714*L714,2)</f>
        <v>0</v>
      </c>
    </row>
    <row r="715" spans="1:13" ht="0.95" customHeight="1">
      <c r="A715" s="25"/>
      <c r="B715" s="25"/>
      <c r="C715" s="25"/>
      <c r="D715" s="31"/>
      <c r="E715" s="25"/>
      <c r="F715" s="25"/>
      <c r="G715" s="25"/>
      <c r="H715" s="25"/>
      <c r="I715" s="25"/>
      <c r="J715" s="25"/>
      <c r="K715" s="25"/>
      <c r="L715" s="25"/>
      <c r="M715" s="25"/>
    </row>
    <row r="716" spans="1:13">
      <c r="A716" s="9"/>
      <c r="B716" s="9"/>
      <c r="C716" s="9"/>
      <c r="D716" s="30"/>
      <c r="E716" s="9"/>
      <c r="F716" s="9"/>
      <c r="G716" s="9"/>
      <c r="H716" s="9"/>
      <c r="I716" s="9"/>
      <c r="J716" s="21" t="s">
        <v>630</v>
      </c>
      <c r="K716" s="20">
        <v>1</v>
      </c>
      <c r="L716" s="24">
        <f>M685+M711</f>
        <v>0</v>
      </c>
      <c r="M716" s="24">
        <f>ROUND(K716*L716,2)</f>
        <v>0</v>
      </c>
    </row>
    <row r="717" spans="1:13" ht="0.95" customHeight="1">
      <c r="A717" s="25"/>
      <c r="B717" s="25"/>
      <c r="C717" s="25"/>
      <c r="D717" s="31"/>
      <c r="E717" s="25"/>
      <c r="F717" s="25"/>
      <c r="G717" s="25"/>
      <c r="H717" s="25"/>
      <c r="I717" s="25"/>
      <c r="J717" s="25"/>
      <c r="K717" s="25"/>
      <c r="L717" s="25"/>
      <c r="M717" s="25"/>
    </row>
    <row r="718" spans="1:13">
      <c r="A718" s="11" t="s">
        <v>631</v>
      </c>
      <c r="B718" s="11" t="s">
        <v>16</v>
      </c>
      <c r="C718" s="11" t="s">
        <v>17</v>
      </c>
      <c r="D718" s="29" t="s">
        <v>632</v>
      </c>
      <c r="E718" s="12"/>
      <c r="F718" s="12"/>
      <c r="G718" s="12"/>
      <c r="H718" s="12"/>
      <c r="I718" s="12"/>
      <c r="J718" s="12"/>
      <c r="K718" s="13">
        <f>K735</f>
        <v>1</v>
      </c>
      <c r="L718" s="14">
        <f>L735</f>
        <v>0</v>
      </c>
      <c r="M718" s="14">
        <f>M735</f>
        <v>0</v>
      </c>
    </row>
    <row r="719" spans="1:13" ht="33.75">
      <c r="A719" s="15" t="s">
        <v>633</v>
      </c>
      <c r="B719" s="10" t="s">
        <v>23</v>
      </c>
      <c r="C719" s="10" t="s">
        <v>94</v>
      </c>
      <c r="D719" s="18" t="s">
        <v>634</v>
      </c>
      <c r="E719" s="9"/>
      <c r="F719" s="9"/>
      <c r="G719" s="9"/>
      <c r="H719" s="9"/>
      <c r="I719" s="9"/>
      <c r="J719" s="9"/>
      <c r="K719" s="20">
        <v>279.33</v>
      </c>
      <c r="L719" s="23">
        <v>0</v>
      </c>
      <c r="M719" s="17">
        <f>ROUND(K719*L719,2)</f>
        <v>0</v>
      </c>
    </row>
    <row r="720" spans="1:13">
      <c r="A720" s="9"/>
      <c r="B720" s="9"/>
      <c r="C720" s="9"/>
      <c r="D720" s="18" t="s">
        <v>635</v>
      </c>
      <c r="E720" s="9"/>
      <c r="F720" s="9"/>
      <c r="G720" s="9"/>
      <c r="H720" s="9"/>
      <c r="I720" s="9"/>
      <c r="J720" s="9"/>
      <c r="K720" s="9"/>
      <c r="L720" s="9"/>
      <c r="M720" s="9"/>
    </row>
    <row r="721" spans="1:13" ht="33.75">
      <c r="A721" s="15" t="s">
        <v>636</v>
      </c>
      <c r="B721" s="10" t="s">
        <v>23</v>
      </c>
      <c r="C721" s="10" t="s">
        <v>94</v>
      </c>
      <c r="D721" s="18" t="s">
        <v>634</v>
      </c>
      <c r="E721" s="9"/>
      <c r="F721" s="9"/>
      <c r="G721" s="9"/>
      <c r="H721" s="9"/>
      <c r="I721" s="9"/>
      <c r="J721" s="9"/>
      <c r="K721" s="20">
        <v>279.33</v>
      </c>
      <c r="L721" s="23">
        <v>0</v>
      </c>
      <c r="M721" s="17">
        <f>ROUND(K721*L721,2)</f>
        <v>0</v>
      </c>
    </row>
    <row r="722" spans="1:13">
      <c r="A722" s="9"/>
      <c r="B722" s="9"/>
      <c r="C722" s="9"/>
      <c r="D722" s="18" t="s">
        <v>637</v>
      </c>
      <c r="E722" s="9"/>
      <c r="F722" s="9"/>
      <c r="G722" s="9"/>
      <c r="H722" s="9"/>
      <c r="I722" s="9"/>
      <c r="J722" s="9"/>
      <c r="K722" s="9"/>
      <c r="L722" s="9"/>
      <c r="M722" s="9"/>
    </row>
    <row r="723" spans="1:13" ht="33.75">
      <c r="A723" s="15" t="s">
        <v>638</v>
      </c>
      <c r="B723" s="10" t="s">
        <v>23</v>
      </c>
      <c r="C723" s="10" t="s">
        <v>94</v>
      </c>
      <c r="D723" s="18" t="s">
        <v>634</v>
      </c>
      <c r="E723" s="9"/>
      <c r="F723" s="9"/>
      <c r="G723" s="9"/>
      <c r="H723" s="9"/>
      <c r="I723" s="9"/>
      <c r="J723" s="9"/>
      <c r="K723" s="20">
        <v>279.33</v>
      </c>
      <c r="L723" s="23">
        <v>0</v>
      </c>
      <c r="M723" s="17">
        <f>ROUND(K723*L723,2)</f>
        <v>0</v>
      </c>
    </row>
    <row r="724" spans="1:13">
      <c r="A724" s="9"/>
      <c r="B724" s="9"/>
      <c r="C724" s="9"/>
      <c r="D724" s="18" t="s">
        <v>639</v>
      </c>
      <c r="E724" s="9"/>
      <c r="F724" s="9"/>
      <c r="G724" s="9"/>
      <c r="H724" s="9"/>
      <c r="I724" s="9"/>
      <c r="J724" s="9"/>
      <c r="K724" s="9"/>
      <c r="L724" s="9"/>
      <c r="M724" s="9"/>
    </row>
    <row r="725" spans="1:13" ht="33.75">
      <c r="A725" s="15" t="s">
        <v>640</v>
      </c>
      <c r="B725" s="10" t="s">
        <v>23</v>
      </c>
      <c r="C725" s="10" t="s">
        <v>94</v>
      </c>
      <c r="D725" s="18" t="s">
        <v>634</v>
      </c>
      <c r="E725" s="9"/>
      <c r="F725" s="9"/>
      <c r="G725" s="9"/>
      <c r="H725" s="9"/>
      <c r="I725" s="9"/>
      <c r="J725" s="9"/>
      <c r="K725" s="20">
        <v>279.33</v>
      </c>
      <c r="L725" s="23">
        <v>0</v>
      </c>
      <c r="M725" s="17">
        <f>ROUND(K725*L725,2)</f>
        <v>0</v>
      </c>
    </row>
    <row r="726" spans="1:13">
      <c r="A726" s="9"/>
      <c r="B726" s="9"/>
      <c r="C726" s="9"/>
      <c r="D726" s="18" t="s">
        <v>641</v>
      </c>
      <c r="E726" s="9"/>
      <c r="F726" s="9"/>
      <c r="G726" s="9"/>
      <c r="H726" s="9"/>
      <c r="I726" s="9"/>
      <c r="J726" s="9"/>
      <c r="K726" s="9"/>
      <c r="L726" s="9"/>
      <c r="M726" s="9"/>
    </row>
    <row r="727" spans="1:13" ht="33.75">
      <c r="A727" s="15" t="s">
        <v>642</v>
      </c>
      <c r="B727" s="10" t="s">
        <v>23</v>
      </c>
      <c r="C727" s="10" t="s">
        <v>94</v>
      </c>
      <c r="D727" s="18" t="s">
        <v>634</v>
      </c>
      <c r="E727" s="9"/>
      <c r="F727" s="9"/>
      <c r="G727" s="9"/>
      <c r="H727" s="9"/>
      <c r="I727" s="9"/>
      <c r="J727" s="9"/>
      <c r="K727" s="20">
        <v>279.33</v>
      </c>
      <c r="L727" s="23">
        <v>0</v>
      </c>
      <c r="M727" s="17">
        <f>ROUND(K727*L727,2)</f>
        <v>0</v>
      </c>
    </row>
    <row r="728" spans="1:13">
      <c r="A728" s="9"/>
      <c r="B728" s="9"/>
      <c r="C728" s="9"/>
      <c r="D728" s="18" t="s">
        <v>643</v>
      </c>
      <c r="E728" s="9"/>
      <c r="F728" s="9"/>
      <c r="G728" s="9"/>
      <c r="H728" s="9"/>
      <c r="I728" s="9"/>
      <c r="J728" s="9"/>
      <c r="K728" s="9"/>
      <c r="L728" s="9"/>
      <c r="M728" s="9"/>
    </row>
    <row r="729" spans="1:13" ht="33.75">
      <c r="A729" s="15" t="s">
        <v>644</v>
      </c>
      <c r="B729" s="10" t="s">
        <v>23</v>
      </c>
      <c r="C729" s="10" t="s">
        <v>94</v>
      </c>
      <c r="D729" s="18" t="s">
        <v>634</v>
      </c>
      <c r="E729" s="9"/>
      <c r="F729" s="9"/>
      <c r="G729" s="9"/>
      <c r="H729" s="9"/>
      <c r="I729" s="9"/>
      <c r="J729" s="9"/>
      <c r="K729" s="20">
        <v>279.33</v>
      </c>
      <c r="L729" s="23">
        <v>0</v>
      </c>
      <c r="M729" s="17">
        <f>ROUND(K729*L729,2)</f>
        <v>0</v>
      </c>
    </row>
    <row r="730" spans="1:13">
      <c r="A730" s="9"/>
      <c r="B730" s="9"/>
      <c r="C730" s="9"/>
      <c r="D730" s="18" t="s">
        <v>645</v>
      </c>
      <c r="E730" s="9"/>
      <c r="F730" s="9"/>
      <c r="G730" s="9"/>
      <c r="H730" s="9"/>
      <c r="I730" s="9"/>
      <c r="J730" s="9"/>
      <c r="K730" s="9"/>
      <c r="L730" s="9"/>
      <c r="M730" s="9"/>
    </row>
    <row r="731" spans="1:13" ht="33.75">
      <c r="A731" s="15" t="s">
        <v>646</v>
      </c>
      <c r="B731" s="10" t="s">
        <v>23</v>
      </c>
      <c r="C731" s="10" t="s">
        <v>94</v>
      </c>
      <c r="D731" s="18" t="s">
        <v>634</v>
      </c>
      <c r="E731" s="9"/>
      <c r="F731" s="9"/>
      <c r="G731" s="9"/>
      <c r="H731" s="9"/>
      <c r="I731" s="9"/>
      <c r="J731" s="9"/>
      <c r="K731" s="20">
        <v>279.33</v>
      </c>
      <c r="L731" s="23">
        <v>0</v>
      </c>
      <c r="M731" s="17">
        <f>ROUND(K731*L731,2)</f>
        <v>0</v>
      </c>
    </row>
    <row r="732" spans="1:13">
      <c r="A732" s="9"/>
      <c r="B732" s="9"/>
      <c r="C732" s="9"/>
      <c r="D732" s="18" t="s">
        <v>647</v>
      </c>
      <c r="E732" s="9"/>
      <c r="F732" s="9"/>
      <c r="G732" s="9"/>
      <c r="H732" s="9"/>
      <c r="I732" s="9"/>
      <c r="J732" s="9"/>
      <c r="K732" s="9"/>
      <c r="L732" s="9"/>
      <c r="M732" s="9"/>
    </row>
    <row r="733" spans="1:13" ht="33.75">
      <c r="A733" s="15" t="s">
        <v>648</v>
      </c>
      <c r="B733" s="10" t="s">
        <v>23</v>
      </c>
      <c r="C733" s="10" t="s">
        <v>94</v>
      </c>
      <c r="D733" s="18" t="s">
        <v>634</v>
      </c>
      <c r="E733" s="9"/>
      <c r="F733" s="9"/>
      <c r="G733" s="9"/>
      <c r="H733" s="9"/>
      <c r="I733" s="9"/>
      <c r="J733" s="9"/>
      <c r="K733" s="20">
        <v>279.33</v>
      </c>
      <c r="L733" s="23">
        <v>0</v>
      </c>
      <c r="M733" s="17">
        <f>ROUND(K733*L733,2)</f>
        <v>0</v>
      </c>
    </row>
    <row r="734" spans="1:13">
      <c r="A734" s="9"/>
      <c r="B734" s="9"/>
      <c r="C734" s="9"/>
      <c r="D734" s="18" t="s">
        <v>649</v>
      </c>
      <c r="E734" s="9"/>
      <c r="F734" s="9"/>
      <c r="G734" s="9"/>
      <c r="H734" s="9"/>
      <c r="I734" s="9"/>
      <c r="J734" s="9"/>
      <c r="K734" s="9"/>
      <c r="L734" s="9"/>
      <c r="M734" s="9"/>
    </row>
    <row r="735" spans="1:13">
      <c r="A735" s="9"/>
      <c r="B735" s="9"/>
      <c r="C735" s="9"/>
      <c r="D735" s="30"/>
      <c r="E735" s="9"/>
      <c r="F735" s="9"/>
      <c r="G735" s="9"/>
      <c r="H735" s="9"/>
      <c r="I735" s="9"/>
      <c r="J735" s="21" t="s">
        <v>650</v>
      </c>
      <c r="K735" s="20">
        <v>1</v>
      </c>
      <c r="L735" s="24">
        <f>M719+M721+M723+M725+M727+M729+M731+M733</f>
        <v>0</v>
      </c>
      <c r="M735" s="24">
        <f>ROUND(K735*L735,2)</f>
        <v>0</v>
      </c>
    </row>
    <row r="736" spans="1:13" ht="0.95" customHeight="1">
      <c r="A736" s="25"/>
      <c r="B736" s="25"/>
      <c r="C736" s="25"/>
      <c r="D736" s="31"/>
      <c r="E736" s="25"/>
      <c r="F736" s="25"/>
      <c r="G736" s="25"/>
      <c r="H736" s="25"/>
      <c r="I736" s="25"/>
      <c r="J736" s="25"/>
      <c r="K736" s="25"/>
      <c r="L736" s="25"/>
      <c r="M736" s="25"/>
    </row>
    <row r="737" spans="1:13">
      <c r="A737" s="11" t="s">
        <v>651</v>
      </c>
      <c r="B737" s="11" t="s">
        <v>16</v>
      </c>
      <c r="C737" s="11" t="s">
        <v>17</v>
      </c>
      <c r="D737" s="29" t="s">
        <v>652</v>
      </c>
      <c r="E737" s="12"/>
      <c r="F737" s="12"/>
      <c r="G737" s="12"/>
      <c r="H737" s="12"/>
      <c r="I737" s="12"/>
      <c r="J737" s="12"/>
      <c r="K737" s="13">
        <f>K740</f>
        <v>1</v>
      </c>
      <c r="L737" s="14">
        <f>L740</f>
        <v>0</v>
      </c>
      <c r="M737" s="14">
        <f>M740</f>
        <v>0</v>
      </c>
    </row>
    <row r="738" spans="1:13" ht="33.75">
      <c r="A738" s="15" t="s">
        <v>653</v>
      </c>
      <c r="B738" s="10" t="s">
        <v>23</v>
      </c>
      <c r="C738" s="10" t="s">
        <v>4</v>
      </c>
      <c r="D738" s="18" t="s">
        <v>654</v>
      </c>
      <c r="E738" s="9"/>
      <c r="F738" s="9"/>
      <c r="G738" s="9"/>
      <c r="H738" s="9"/>
      <c r="I738" s="9"/>
      <c r="J738" s="9"/>
      <c r="K738" s="20">
        <v>1</v>
      </c>
      <c r="L738" s="23">
        <v>0</v>
      </c>
      <c r="M738" s="17">
        <f>ROUND(K738*L738,2)</f>
        <v>0</v>
      </c>
    </row>
    <row r="739" spans="1:13">
      <c r="A739" s="9"/>
      <c r="B739" s="9"/>
      <c r="C739" s="9"/>
      <c r="D739" s="18" t="s">
        <v>655</v>
      </c>
      <c r="E739" s="9"/>
      <c r="F739" s="9"/>
      <c r="G739" s="9"/>
      <c r="H739" s="9"/>
      <c r="I739" s="9"/>
      <c r="J739" s="9"/>
      <c r="K739" s="9"/>
      <c r="L739" s="9"/>
      <c r="M739" s="9"/>
    </row>
    <row r="740" spans="1:13">
      <c r="A740" s="9"/>
      <c r="B740" s="9"/>
      <c r="C740" s="9"/>
      <c r="D740" s="30"/>
      <c r="E740" s="9"/>
      <c r="F740" s="9"/>
      <c r="G740" s="9"/>
      <c r="H740" s="9"/>
      <c r="I740" s="9"/>
      <c r="J740" s="21" t="s">
        <v>656</v>
      </c>
      <c r="K740" s="20">
        <v>1</v>
      </c>
      <c r="L740" s="24">
        <f>M738</f>
        <v>0</v>
      </c>
      <c r="M740" s="24">
        <f>ROUND(K740*L740,2)</f>
        <v>0</v>
      </c>
    </row>
    <row r="741" spans="1:13" ht="0.95" customHeight="1">
      <c r="A741" s="25"/>
      <c r="B741" s="25"/>
      <c r="C741" s="25"/>
      <c r="D741" s="31"/>
      <c r="E741" s="25"/>
      <c r="F741" s="25"/>
      <c r="G741" s="25"/>
      <c r="H741" s="25"/>
      <c r="I741" s="25"/>
      <c r="J741" s="25"/>
      <c r="K741" s="25"/>
      <c r="L741" s="25"/>
      <c r="M741" s="25"/>
    </row>
    <row r="742" spans="1:13">
      <c r="A742" s="11" t="s">
        <v>657</v>
      </c>
      <c r="B742" s="11" t="s">
        <v>16</v>
      </c>
      <c r="C742" s="11" t="s">
        <v>17</v>
      </c>
      <c r="D742" s="29" t="s">
        <v>658</v>
      </c>
      <c r="E742" s="12"/>
      <c r="F742" s="12"/>
      <c r="G742" s="12"/>
      <c r="H742" s="12"/>
      <c r="I742" s="12"/>
      <c r="J742" s="12"/>
      <c r="K742" s="13">
        <f>K755</f>
        <v>1</v>
      </c>
      <c r="L742" s="14">
        <f>L755</f>
        <v>0</v>
      </c>
      <c r="M742" s="14">
        <f>M755</f>
        <v>0</v>
      </c>
    </row>
    <row r="743" spans="1:13" ht="45">
      <c r="A743" s="15" t="s">
        <v>659</v>
      </c>
      <c r="B743" s="10" t="s">
        <v>23</v>
      </c>
      <c r="C743" s="10" t="s">
        <v>4</v>
      </c>
      <c r="D743" s="18" t="s">
        <v>660</v>
      </c>
      <c r="E743" s="9"/>
      <c r="F743" s="9"/>
      <c r="G743" s="9"/>
      <c r="H743" s="9"/>
      <c r="I743" s="9"/>
      <c r="J743" s="9"/>
      <c r="K743" s="16">
        <f>K746</f>
        <v>2</v>
      </c>
      <c r="L743" s="17">
        <f>L746</f>
        <v>0</v>
      </c>
      <c r="M743" s="17">
        <f>M746</f>
        <v>0</v>
      </c>
    </row>
    <row r="744" spans="1:13" ht="78.75">
      <c r="A744" s="9"/>
      <c r="B744" s="9"/>
      <c r="C744" s="9"/>
      <c r="D744" s="18" t="s">
        <v>661</v>
      </c>
      <c r="E744" s="9"/>
      <c r="F744" s="9"/>
      <c r="G744" s="9"/>
      <c r="H744" s="9"/>
      <c r="I744" s="9"/>
      <c r="J744" s="9"/>
      <c r="K744" s="9"/>
      <c r="L744" s="9"/>
      <c r="M744" s="9"/>
    </row>
    <row r="745" spans="1:13">
      <c r="A745" s="9"/>
      <c r="B745" s="9"/>
      <c r="C745" s="10" t="s">
        <v>27</v>
      </c>
      <c r="D745" s="30"/>
      <c r="E745" s="10" t="s">
        <v>17</v>
      </c>
      <c r="F745" s="19">
        <v>2</v>
      </c>
      <c r="G745" s="20">
        <v>0</v>
      </c>
      <c r="H745" s="20">
        <v>0</v>
      </c>
      <c r="I745" s="20">
        <v>0</v>
      </c>
      <c r="J745" s="16">
        <f>OR(F745&lt;&gt;0,G745&lt;&gt;0,H745&lt;&gt;0,I745&lt;&gt;0)*(F745 + (F745 = 0))*(G745 + (G745 = 0))*(H745 + (H745 = 0))*(I745 + (I745 = 0))</f>
        <v>2</v>
      </c>
      <c r="K745" s="9"/>
      <c r="L745" s="9"/>
      <c r="M745" s="9"/>
    </row>
    <row r="746" spans="1:13">
      <c r="A746" s="9"/>
      <c r="B746" s="9"/>
      <c r="C746" s="9"/>
      <c r="D746" s="30"/>
      <c r="E746" s="9"/>
      <c r="F746" s="9"/>
      <c r="G746" s="9"/>
      <c r="H746" s="9"/>
      <c r="I746" s="9"/>
      <c r="J746" s="21" t="s">
        <v>662</v>
      </c>
      <c r="K746" s="22">
        <f>J745</f>
        <v>2</v>
      </c>
      <c r="L746" s="23">
        <v>0</v>
      </c>
      <c r="M746" s="24">
        <f>ROUND(K746*L746,2)</f>
        <v>0</v>
      </c>
    </row>
    <row r="747" spans="1:13" ht="0.95" customHeight="1">
      <c r="A747" s="25"/>
      <c r="B747" s="25"/>
      <c r="C747" s="25"/>
      <c r="D747" s="31"/>
      <c r="E747" s="25"/>
      <c r="F747" s="25"/>
      <c r="G747" s="25"/>
      <c r="H747" s="25"/>
      <c r="I747" s="25"/>
      <c r="J747" s="25"/>
      <c r="K747" s="25"/>
      <c r="L747" s="25"/>
      <c r="M747" s="25"/>
    </row>
    <row r="748" spans="1:13" ht="33.75">
      <c r="A748" s="15" t="s">
        <v>663</v>
      </c>
      <c r="B748" s="10" t="s">
        <v>23</v>
      </c>
      <c r="C748" s="10" t="s">
        <v>4</v>
      </c>
      <c r="D748" s="18" t="s">
        <v>664</v>
      </c>
      <c r="E748" s="9"/>
      <c r="F748" s="9"/>
      <c r="G748" s="9"/>
      <c r="H748" s="9"/>
      <c r="I748" s="9"/>
      <c r="J748" s="9"/>
      <c r="K748" s="20">
        <v>26</v>
      </c>
      <c r="L748" s="23">
        <v>0</v>
      </c>
      <c r="M748" s="17">
        <f>ROUND(K748*L748,2)</f>
        <v>0</v>
      </c>
    </row>
    <row r="749" spans="1:13">
      <c r="A749" s="9"/>
      <c r="B749" s="9"/>
      <c r="C749" s="9"/>
      <c r="D749" s="18" t="s">
        <v>665</v>
      </c>
      <c r="E749" s="9"/>
      <c r="F749" s="9"/>
      <c r="G749" s="9"/>
      <c r="H749" s="9"/>
      <c r="I749" s="9"/>
      <c r="J749" s="9"/>
      <c r="K749" s="9"/>
      <c r="L749" s="9"/>
      <c r="M749" s="9"/>
    </row>
    <row r="750" spans="1:13">
      <c r="A750" s="15" t="s">
        <v>666</v>
      </c>
      <c r="B750" s="10" t="s">
        <v>23</v>
      </c>
      <c r="C750" s="10" t="s">
        <v>4</v>
      </c>
      <c r="D750" s="18" t="s">
        <v>667</v>
      </c>
      <c r="E750" s="9"/>
      <c r="F750" s="9"/>
      <c r="G750" s="9"/>
      <c r="H750" s="9"/>
      <c r="I750" s="9"/>
      <c r="J750" s="9"/>
      <c r="K750" s="16">
        <f>K753</f>
        <v>1</v>
      </c>
      <c r="L750" s="17">
        <f>L753</f>
        <v>0</v>
      </c>
      <c r="M750" s="17">
        <f>M753</f>
        <v>0</v>
      </c>
    </row>
    <row r="751" spans="1:13">
      <c r="A751" s="9"/>
      <c r="B751" s="9"/>
      <c r="C751" s="9"/>
      <c r="D751" s="18" t="s">
        <v>668</v>
      </c>
      <c r="E751" s="9"/>
      <c r="F751" s="9"/>
      <c r="G751" s="9"/>
      <c r="H751" s="9"/>
      <c r="I751" s="9"/>
      <c r="J751" s="9"/>
      <c r="K751" s="9"/>
      <c r="L751" s="9"/>
      <c r="M751" s="9"/>
    </row>
    <row r="752" spans="1:13">
      <c r="A752" s="9"/>
      <c r="B752" s="9"/>
      <c r="C752" s="10" t="s">
        <v>27</v>
      </c>
      <c r="D752" s="30"/>
      <c r="E752" s="10" t="s">
        <v>17</v>
      </c>
      <c r="F752" s="19">
        <v>1</v>
      </c>
      <c r="G752" s="23">
        <v>0</v>
      </c>
      <c r="H752" s="23">
        <v>0</v>
      </c>
      <c r="I752" s="23">
        <v>0</v>
      </c>
      <c r="J752" s="17">
        <f>OR(F752&lt;&gt;0,G752&lt;&gt;0,H752&lt;&gt;0,I752&lt;&gt;0)*(F752 + (F752 = 0))*(G752 + (G752 = 0))*(H752 + (H752 = 0))*(I752 + (I752 = 0))</f>
        <v>1</v>
      </c>
      <c r="K752" s="9"/>
      <c r="L752" s="9"/>
      <c r="M752" s="9"/>
    </row>
    <row r="753" spans="1:13">
      <c r="A753" s="9"/>
      <c r="B753" s="9"/>
      <c r="C753" s="9"/>
      <c r="D753" s="30"/>
      <c r="E753" s="9"/>
      <c r="F753" s="9"/>
      <c r="G753" s="9"/>
      <c r="H753" s="9"/>
      <c r="I753" s="9"/>
      <c r="J753" s="21" t="s">
        <v>669</v>
      </c>
      <c r="K753" s="22">
        <f>J752</f>
        <v>1</v>
      </c>
      <c r="L753" s="23">
        <v>0</v>
      </c>
      <c r="M753" s="24">
        <f>ROUND(K753*L753,2)</f>
        <v>0</v>
      </c>
    </row>
    <row r="754" spans="1:13" ht="0.95" customHeight="1">
      <c r="A754" s="25"/>
      <c r="B754" s="25"/>
      <c r="C754" s="25"/>
      <c r="D754" s="31"/>
      <c r="E754" s="25"/>
      <c r="F754" s="25"/>
      <c r="G754" s="25"/>
      <c r="H754" s="25"/>
      <c r="I754" s="25"/>
      <c r="J754" s="25"/>
      <c r="K754" s="25"/>
      <c r="L754" s="25"/>
      <c r="M754" s="25"/>
    </row>
    <row r="755" spans="1:13">
      <c r="A755" s="9"/>
      <c r="B755" s="9"/>
      <c r="C755" s="9"/>
      <c r="D755" s="30"/>
      <c r="E755" s="9"/>
      <c r="F755" s="9"/>
      <c r="G755" s="9"/>
      <c r="H755" s="9"/>
      <c r="I755" s="9"/>
      <c r="J755" s="21" t="s">
        <v>670</v>
      </c>
      <c r="K755" s="20">
        <v>1</v>
      </c>
      <c r="L755" s="24">
        <f>M743+M748+M750</f>
        <v>0</v>
      </c>
      <c r="M755" s="24">
        <f>ROUND(K755*L755,2)</f>
        <v>0</v>
      </c>
    </row>
    <row r="756" spans="1:13" ht="0.95" customHeight="1">
      <c r="A756" s="25"/>
      <c r="B756" s="25"/>
      <c r="C756" s="25"/>
      <c r="D756" s="31"/>
      <c r="E756" s="25"/>
      <c r="F756" s="25"/>
      <c r="G756" s="25"/>
      <c r="H756" s="25"/>
      <c r="I756" s="25"/>
      <c r="J756" s="25"/>
      <c r="K756" s="25"/>
      <c r="L756" s="25"/>
      <c r="M756" s="25"/>
    </row>
    <row r="757" spans="1:13">
      <c r="A757" s="11" t="s">
        <v>671</v>
      </c>
      <c r="B757" s="11" t="s">
        <v>16</v>
      </c>
      <c r="C757" s="11" t="s">
        <v>17</v>
      </c>
      <c r="D757" s="29" t="s">
        <v>672</v>
      </c>
      <c r="E757" s="12"/>
      <c r="F757" s="12"/>
      <c r="G757" s="12"/>
      <c r="H757" s="12"/>
      <c r="I757" s="12"/>
      <c r="J757" s="12"/>
      <c r="K757" s="13">
        <f>K763</f>
        <v>1</v>
      </c>
      <c r="L757" s="14">
        <f>L763</f>
        <v>0</v>
      </c>
      <c r="M757" s="14">
        <f>M763</f>
        <v>0</v>
      </c>
    </row>
    <row r="758" spans="1:13">
      <c r="A758" s="15" t="s">
        <v>673</v>
      </c>
      <c r="B758" s="10" t="s">
        <v>23</v>
      </c>
      <c r="C758" s="10" t="s">
        <v>204</v>
      </c>
      <c r="D758" s="18" t="s">
        <v>674</v>
      </c>
      <c r="E758" s="9"/>
      <c r="F758" s="9"/>
      <c r="G758" s="9"/>
      <c r="H758" s="9"/>
      <c r="I758" s="9"/>
      <c r="J758" s="9"/>
      <c r="K758" s="16">
        <f>K761</f>
        <v>3.75</v>
      </c>
      <c r="L758" s="17">
        <f>L761</f>
        <v>0</v>
      </c>
      <c r="M758" s="17">
        <f>M761</f>
        <v>0</v>
      </c>
    </row>
    <row r="759" spans="1:13" ht="67.5">
      <c r="A759" s="9"/>
      <c r="B759" s="9"/>
      <c r="C759" s="9"/>
      <c r="D759" s="18" t="s">
        <v>675</v>
      </c>
      <c r="E759" s="9"/>
      <c r="F759" s="9"/>
      <c r="G759" s="9"/>
      <c r="H759" s="9"/>
      <c r="I759" s="9"/>
      <c r="J759" s="9"/>
      <c r="K759" s="9"/>
      <c r="L759" s="9"/>
      <c r="M759" s="9"/>
    </row>
    <row r="760" spans="1:13">
      <c r="A760" s="9"/>
      <c r="B760" s="9"/>
      <c r="C760" s="10" t="s">
        <v>27</v>
      </c>
      <c r="D760" s="30"/>
      <c r="E760" s="10" t="s">
        <v>676</v>
      </c>
      <c r="F760" s="19">
        <v>1</v>
      </c>
      <c r="G760" s="23">
        <v>2.5</v>
      </c>
      <c r="H760" s="23">
        <v>1.5</v>
      </c>
      <c r="I760" s="23">
        <v>0</v>
      </c>
      <c r="J760" s="17">
        <f>OR(F760&lt;&gt;0,G760&lt;&gt;0,H760&lt;&gt;0,I760&lt;&gt;0)*(F760 + (F760 = 0))*(G760 + (G760 = 0))*(H760 + (H760 = 0))*(I760 + (I760 = 0))</f>
        <v>3.75</v>
      </c>
      <c r="K760" s="9"/>
      <c r="L760" s="9"/>
      <c r="M760" s="9"/>
    </row>
    <row r="761" spans="1:13">
      <c r="A761" s="9"/>
      <c r="B761" s="9"/>
      <c r="C761" s="9"/>
      <c r="D761" s="30"/>
      <c r="E761" s="9"/>
      <c r="F761" s="9"/>
      <c r="G761" s="9"/>
      <c r="H761" s="9"/>
      <c r="I761" s="9"/>
      <c r="J761" s="21" t="s">
        <v>677</v>
      </c>
      <c r="K761" s="22">
        <f>J760</f>
        <v>3.75</v>
      </c>
      <c r="L761" s="23">
        <v>0</v>
      </c>
      <c r="M761" s="24">
        <f>ROUND(K761*L761,2)</f>
        <v>0</v>
      </c>
    </row>
    <row r="762" spans="1:13" ht="0.95" customHeight="1">
      <c r="A762" s="25"/>
      <c r="B762" s="25"/>
      <c r="C762" s="25"/>
      <c r="D762" s="31"/>
      <c r="E762" s="25"/>
      <c r="F762" s="25"/>
      <c r="G762" s="25"/>
      <c r="H762" s="25"/>
      <c r="I762" s="25"/>
      <c r="J762" s="25"/>
      <c r="K762" s="25"/>
      <c r="L762" s="25"/>
      <c r="M762" s="25"/>
    </row>
    <row r="763" spans="1:13">
      <c r="A763" s="9"/>
      <c r="B763" s="9"/>
      <c r="C763" s="9"/>
      <c r="D763" s="30"/>
      <c r="E763" s="9"/>
      <c r="F763" s="9"/>
      <c r="G763" s="9"/>
      <c r="H763" s="9"/>
      <c r="I763" s="9"/>
      <c r="J763" s="21" t="s">
        <v>678</v>
      </c>
      <c r="K763" s="20">
        <v>1</v>
      </c>
      <c r="L763" s="24">
        <f>M758</f>
        <v>0</v>
      </c>
      <c r="M763" s="24">
        <f>ROUND(K763*L763,2)</f>
        <v>0</v>
      </c>
    </row>
    <row r="764" spans="1:13" ht="0.95" customHeight="1">
      <c r="A764" s="25"/>
      <c r="B764" s="25"/>
      <c r="C764" s="25"/>
      <c r="D764" s="31"/>
      <c r="E764" s="25"/>
      <c r="F764" s="25"/>
      <c r="G764" s="25"/>
      <c r="H764" s="25"/>
      <c r="I764" s="25"/>
      <c r="J764" s="25"/>
      <c r="K764" s="25"/>
      <c r="L764" s="25"/>
      <c r="M764" s="25"/>
    </row>
    <row r="765" spans="1:13">
      <c r="A765" s="11" t="s">
        <v>679</v>
      </c>
      <c r="B765" s="11" t="s">
        <v>16</v>
      </c>
      <c r="C765" s="11" t="s">
        <v>17</v>
      </c>
      <c r="D765" s="29" t="s">
        <v>680</v>
      </c>
      <c r="E765" s="12"/>
      <c r="F765" s="12"/>
      <c r="G765" s="12"/>
      <c r="H765" s="12"/>
      <c r="I765" s="12"/>
      <c r="J765" s="12"/>
      <c r="K765" s="13">
        <f>K795</f>
        <v>1</v>
      </c>
      <c r="L765" s="14">
        <f>L795</f>
        <v>0</v>
      </c>
      <c r="M765" s="14">
        <f>M795</f>
        <v>0</v>
      </c>
    </row>
    <row r="766" spans="1:13">
      <c r="A766" s="15" t="s">
        <v>681</v>
      </c>
      <c r="B766" s="10" t="s">
        <v>23</v>
      </c>
      <c r="C766" s="10" t="s">
        <v>204</v>
      </c>
      <c r="D766" s="18" t="s">
        <v>682</v>
      </c>
      <c r="E766" s="9"/>
      <c r="F766" s="9"/>
      <c r="G766" s="9"/>
      <c r="H766" s="9"/>
      <c r="I766" s="9"/>
      <c r="J766" s="9"/>
      <c r="K766" s="16">
        <f>K793</f>
        <v>171.57</v>
      </c>
      <c r="L766" s="17">
        <f>L793</f>
        <v>0</v>
      </c>
      <c r="M766" s="17">
        <f>M793</f>
        <v>0</v>
      </c>
    </row>
    <row r="767" spans="1:13">
      <c r="A767" s="9"/>
      <c r="B767" s="9"/>
      <c r="C767" s="9"/>
      <c r="D767" s="18" t="s">
        <v>683</v>
      </c>
      <c r="E767" s="9"/>
      <c r="F767" s="9"/>
      <c r="G767" s="9"/>
      <c r="H767" s="9"/>
      <c r="I767" s="9"/>
      <c r="J767" s="9"/>
      <c r="K767" s="9"/>
      <c r="L767" s="9"/>
      <c r="M767" s="9"/>
    </row>
    <row r="768" spans="1:13">
      <c r="A768" s="9"/>
      <c r="B768" s="9"/>
      <c r="C768" s="10" t="s">
        <v>27</v>
      </c>
      <c r="D768" s="30"/>
      <c r="E768" s="10" t="s">
        <v>684</v>
      </c>
      <c r="F768" s="19"/>
      <c r="G768" s="23"/>
      <c r="H768" s="23"/>
      <c r="I768" s="23"/>
      <c r="J768" s="17">
        <f>OR(F768&lt;&gt;0,G768&lt;&gt;0,H768&lt;&gt;0,I768&lt;&gt;0)*(F768 + (F768 = 0))*(G768 + (G768 = 0))*(H768 + (H768 = 0))*(I768 + (I768 = 0))</f>
        <v>0</v>
      </c>
      <c r="K768" s="9"/>
      <c r="L768" s="9"/>
      <c r="M768" s="9"/>
    </row>
    <row r="769" spans="1:13">
      <c r="A769" s="9"/>
      <c r="B769" s="9"/>
      <c r="C769" s="10" t="s">
        <v>27</v>
      </c>
      <c r="D769" s="30"/>
      <c r="E769" s="10" t="s">
        <v>685</v>
      </c>
      <c r="F769" s="19">
        <v>1</v>
      </c>
      <c r="G769" s="23">
        <v>78.099999999999994</v>
      </c>
      <c r="H769" s="23">
        <v>0.25</v>
      </c>
      <c r="I769" s="23">
        <v>0</v>
      </c>
      <c r="J769" s="17">
        <f>OR(F769&lt;&gt;0,G769&lt;&gt;0,H769&lt;&gt;0,I769&lt;&gt;0)*(F769 + (F769 = 0))*(G769 + (G769 = 0))*(H769 + (H769 = 0))*(I769 + (I769 = 0))</f>
        <v>19.53</v>
      </c>
      <c r="K769" s="9"/>
      <c r="L769" s="9"/>
      <c r="M769" s="9"/>
    </row>
    <row r="770" spans="1:13">
      <c r="A770" s="9"/>
      <c r="B770" s="9"/>
      <c r="C770" s="10" t="s">
        <v>27</v>
      </c>
      <c r="D770" s="30"/>
      <c r="E770" s="10" t="s">
        <v>17</v>
      </c>
      <c r="F770" s="19">
        <v>1</v>
      </c>
      <c r="G770" s="23">
        <v>1.2</v>
      </c>
      <c r="H770" s="23">
        <v>0.25</v>
      </c>
      <c r="I770" s="23">
        <v>2.85</v>
      </c>
      <c r="J770" s="17">
        <f>OR(F770&lt;&gt;0,G770&lt;&gt;0,H770&lt;&gt;0,I770&lt;&gt;0)*(F770 + (F770 = 0))*(G770 + (G770 = 0))*(H770 + (H770 = 0))*(I770 + (I770 = 0))</f>
        <v>0.86</v>
      </c>
      <c r="K770" s="9"/>
      <c r="L770" s="9"/>
      <c r="M770" s="9"/>
    </row>
    <row r="771" spans="1:13">
      <c r="A771" s="9"/>
      <c r="B771" s="9"/>
      <c r="C771" s="10" t="s">
        <v>27</v>
      </c>
      <c r="D771" s="30"/>
      <c r="E771" s="10" t="s">
        <v>17</v>
      </c>
      <c r="F771" s="19">
        <v>-1</v>
      </c>
      <c r="G771" s="23">
        <v>15.13</v>
      </c>
      <c r="H771" s="23">
        <v>0.25</v>
      </c>
      <c r="I771" s="23">
        <v>0</v>
      </c>
      <c r="J771" s="17">
        <f>OR(F771&lt;&gt;0,G771&lt;&gt;0,H771&lt;&gt;0,I771&lt;&gt;0)*(F771 + (F771 = 0))*(G771 + (G771 = 0))*(H771 + (H771 = 0))*(I771 + (I771 = 0))</f>
        <v>-3.78</v>
      </c>
      <c r="K771" s="9"/>
      <c r="L771" s="9"/>
      <c r="M771" s="9"/>
    </row>
    <row r="772" spans="1:13">
      <c r="A772" s="9"/>
      <c r="B772" s="9"/>
      <c r="C772" s="10" t="s">
        <v>27</v>
      </c>
      <c r="D772" s="30"/>
      <c r="E772" s="10" t="s">
        <v>686</v>
      </c>
      <c r="F772" s="19">
        <v>1</v>
      </c>
      <c r="G772" s="23">
        <v>91.4</v>
      </c>
      <c r="H772" s="23">
        <v>0.25</v>
      </c>
      <c r="I772" s="23">
        <v>0</v>
      </c>
      <c r="J772" s="17">
        <f>OR(F772&lt;&gt;0,G772&lt;&gt;0,H772&lt;&gt;0,I772&lt;&gt;0)*(F772 + (F772 = 0))*(G772 + (G772 = 0))*(H772 + (H772 = 0))*(I772 + (I772 = 0))</f>
        <v>22.85</v>
      </c>
      <c r="K772" s="9"/>
      <c r="L772" s="9"/>
      <c r="M772" s="9"/>
    </row>
    <row r="773" spans="1:13">
      <c r="A773" s="9"/>
      <c r="B773" s="9"/>
      <c r="C773" s="10" t="s">
        <v>27</v>
      </c>
      <c r="D773" s="30"/>
      <c r="E773" s="10" t="s">
        <v>17</v>
      </c>
      <c r="F773" s="19">
        <v>-1</v>
      </c>
      <c r="G773" s="23">
        <v>13.43</v>
      </c>
      <c r="H773" s="23">
        <v>0.25</v>
      </c>
      <c r="I773" s="23">
        <v>0</v>
      </c>
      <c r="J773" s="17">
        <f>OR(F773&lt;&gt;0,G773&lt;&gt;0,H773&lt;&gt;0,I773&lt;&gt;0)*(F773 + (F773 = 0))*(G773 + (G773 = 0))*(H773 + (H773 = 0))*(I773 + (I773 = 0))</f>
        <v>-3.36</v>
      </c>
      <c r="K773" s="9"/>
      <c r="L773" s="9"/>
      <c r="M773" s="9"/>
    </row>
    <row r="774" spans="1:13">
      <c r="A774" s="9"/>
      <c r="B774" s="9"/>
      <c r="C774" s="10" t="s">
        <v>27</v>
      </c>
      <c r="D774" s="30"/>
      <c r="E774" s="10" t="s">
        <v>687</v>
      </c>
      <c r="F774" s="19">
        <v>1</v>
      </c>
      <c r="G774" s="23">
        <v>25.44</v>
      </c>
      <c r="H774" s="23">
        <v>0.25</v>
      </c>
      <c r="I774" s="23">
        <v>0</v>
      </c>
      <c r="J774" s="17">
        <f>OR(F774&lt;&gt;0,G774&lt;&gt;0,H774&lt;&gt;0,I774&lt;&gt;0)*(F774 + (F774 = 0))*(G774 + (G774 = 0))*(H774 + (H774 = 0))*(I774 + (I774 = 0))</f>
        <v>6.36</v>
      </c>
      <c r="K774" s="9"/>
      <c r="L774" s="9"/>
      <c r="M774" s="9"/>
    </row>
    <row r="775" spans="1:13">
      <c r="A775" s="9"/>
      <c r="B775" s="9"/>
      <c r="C775" s="10" t="s">
        <v>27</v>
      </c>
      <c r="D775" s="30"/>
      <c r="E775" s="10" t="s">
        <v>17</v>
      </c>
      <c r="F775" s="19">
        <v>-1</v>
      </c>
      <c r="G775" s="23">
        <v>1.86</v>
      </c>
      <c r="H775" s="23">
        <v>0.25</v>
      </c>
      <c r="I775" s="23">
        <v>0</v>
      </c>
      <c r="J775" s="17">
        <f>OR(F775&lt;&gt;0,G775&lt;&gt;0,H775&lt;&gt;0,I775&lt;&gt;0)*(F775 + (F775 = 0))*(G775 + (G775 = 0))*(H775 + (H775 = 0))*(I775 + (I775 = 0))</f>
        <v>-0.47</v>
      </c>
      <c r="K775" s="9"/>
      <c r="L775" s="9"/>
      <c r="M775" s="9"/>
    </row>
    <row r="776" spans="1:13">
      <c r="A776" s="9"/>
      <c r="B776" s="9"/>
      <c r="C776" s="10" t="s">
        <v>27</v>
      </c>
      <c r="D776" s="30"/>
      <c r="E776" s="10" t="s">
        <v>688</v>
      </c>
      <c r="F776" s="19">
        <v>1</v>
      </c>
      <c r="G776" s="23">
        <v>10.9</v>
      </c>
      <c r="H776" s="23">
        <v>0.25</v>
      </c>
      <c r="I776" s="23">
        <v>0</v>
      </c>
      <c r="J776" s="17">
        <f>OR(F776&lt;&gt;0,G776&lt;&gt;0,H776&lt;&gt;0,I776&lt;&gt;0)*(F776 + (F776 = 0))*(G776 + (G776 = 0))*(H776 + (H776 = 0))*(I776 + (I776 = 0))</f>
        <v>2.73</v>
      </c>
      <c r="K776" s="9"/>
      <c r="L776" s="9"/>
      <c r="M776" s="9"/>
    </row>
    <row r="777" spans="1:13">
      <c r="A777" s="9"/>
      <c r="B777" s="9"/>
      <c r="C777" s="10" t="s">
        <v>27</v>
      </c>
      <c r="D777" s="30"/>
      <c r="E777" s="10" t="s">
        <v>689</v>
      </c>
      <c r="F777" s="19"/>
      <c r="G777" s="23"/>
      <c r="H777" s="23"/>
      <c r="I777" s="23"/>
      <c r="J777" s="17">
        <f>OR(F777&lt;&gt;0,G777&lt;&gt;0,H777&lt;&gt;0,I777&lt;&gt;0)*(F777 + (F777 = 0))*(G777 + (G777 = 0))*(H777 + (H777 = 0))*(I777 + (I777 = 0))</f>
        <v>0</v>
      </c>
      <c r="K777" s="9"/>
      <c r="L777" s="9"/>
      <c r="M777" s="9"/>
    </row>
    <row r="778" spans="1:13">
      <c r="A778" s="9"/>
      <c r="B778" s="9"/>
      <c r="C778" s="10" t="s">
        <v>27</v>
      </c>
      <c r="D778" s="30"/>
      <c r="E778" s="10" t="s">
        <v>690</v>
      </c>
      <c r="F778" s="19">
        <v>1</v>
      </c>
      <c r="G778" s="23">
        <v>4.4000000000000004</v>
      </c>
      <c r="H778" s="23">
        <v>0.2</v>
      </c>
      <c r="I778" s="23">
        <v>5.3</v>
      </c>
      <c r="J778" s="17">
        <f>OR(F778&lt;&gt;0,G778&lt;&gt;0,H778&lt;&gt;0,I778&lt;&gt;0)*(F778 + (F778 = 0))*(G778 + (G778 = 0))*(H778 + (H778 = 0))*(I778 + (I778 = 0))</f>
        <v>4.66</v>
      </c>
      <c r="K778" s="9"/>
      <c r="L778" s="9"/>
      <c r="M778" s="9"/>
    </row>
    <row r="779" spans="1:13">
      <c r="A779" s="9"/>
      <c r="B779" s="9"/>
      <c r="C779" s="10" t="s">
        <v>27</v>
      </c>
      <c r="D779" s="30"/>
      <c r="E779" s="10" t="s">
        <v>17</v>
      </c>
      <c r="F779" s="19">
        <v>1</v>
      </c>
      <c r="G779" s="23">
        <v>1.2</v>
      </c>
      <c r="H779" s="23">
        <v>0.2</v>
      </c>
      <c r="I779" s="23">
        <v>2.85</v>
      </c>
      <c r="J779" s="17">
        <f>OR(F779&lt;&gt;0,G779&lt;&gt;0,H779&lt;&gt;0,I779&lt;&gt;0)*(F779 + (F779 = 0))*(G779 + (G779 = 0))*(H779 + (H779 = 0))*(I779 + (I779 = 0))</f>
        <v>0.68</v>
      </c>
      <c r="K779" s="9"/>
      <c r="L779" s="9"/>
      <c r="M779" s="9"/>
    </row>
    <row r="780" spans="1:13">
      <c r="A780" s="9"/>
      <c r="B780" s="9"/>
      <c r="C780" s="10" t="s">
        <v>27</v>
      </c>
      <c r="D780" s="30"/>
      <c r="E780" s="10" t="s">
        <v>691</v>
      </c>
      <c r="F780" s="19">
        <v>1</v>
      </c>
      <c r="G780" s="23">
        <v>3.9</v>
      </c>
      <c r="H780" s="23">
        <v>0.15</v>
      </c>
      <c r="I780" s="23">
        <v>2.85</v>
      </c>
      <c r="J780" s="17">
        <f>OR(F780&lt;&gt;0,G780&lt;&gt;0,H780&lt;&gt;0,I780&lt;&gt;0)*(F780 + (F780 = 0))*(G780 + (G780 = 0))*(H780 + (H780 = 0))*(I780 + (I780 = 0))</f>
        <v>1.67</v>
      </c>
      <c r="K780" s="9"/>
      <c r="L780" s="9"/>
      <c r="M780" s="9"/>
    </row>
    <row r="781" spans="1:13">
      <c r="A781" s="9"/>
      <c r="B781" s="9"/>
      <c r="C781" s="10" t="s">
        <v>27</v>
      </c>
      <c r="D781" s="30"/>
      <c r="E781" s="10" t="s">
        <v>17</v>
      </c>
      <c r="F781" s="19">
        <v>1</v>
      </c>
      <c r="G781" s="23">
        <v>1.75</v>
      </c>
      <c r="H781" s="23">
        <v>0.25</v>
      </c>
      <c r="I781" s="23">
        <v>2.85</v>
      </c>
      <c r="J781" s="17">
        <f>OR(F781&lt;&gt;0,G781&lt;&gt;0,H781&lt;&gt;0,I781&lt;&gt;0)*(F781 + (F781 = 0))*(G781 + (G781 = 0))*(H781 + (H781 = 0))*(I781 + (I781 = 0))</f>
        <v>1.25</v>
      </c>
      <c r="K781" s="9"/>
      <c r="L781" s="9"/>
      <c r="M781" s="9"/>
    </row>
    <row r="782" spans="1:13">
      <c r="A782" s="9"/>
      <c r="B782" s="9"/>
      <c r="C782" s="10" t="s">
        <v>27</v>
      </c>
      <c r="D782" s="30"/>
      <c r="E782" s="10" t="s">
        <v>692</v>
      </c>
      <c r="F782" s="19"/>
      <c r="G782" s="23"/>
      <c r="H782" s="23"/>
      <c r="I782" s="23"/>
      <c r="J782" s="17">
        <f>OR(F782&lt;&gt;0,G782&lt;&gt;0,H782&lt;&gt;0,I782&lt;&gt;0)*(F782 + (F782 = 0))*(G782 + (G782 = 0))*(H782 + (H782 = 0))*(I782 + (I782 = 0))</f>
        <v>0</v>
      </c>
      <c r="K782" s="9"/>
      <c r="L782" s="9"/>
      <c r="M782" s="9"/>
    </row>
    <row r="783" spans="1:13">
      <c r="A783" s="9"/>
      <c r="B783" s="9"/>
      <c r="C783" s="10" t="s">
        <v>27</v>
      </c>
      <c r="D783" s="30"/>
      <c r="E783" s="10" t="s">
        <v>227</v>
      </c>
      <c r="F783" s="19">
        <v>1</v>
      </c>
      <c r="G783" s="23">
        <v>79.8</v>
      </c>
      <c r="H783" s="23">
        <v>0</v>
      </c>
      <c r="I783" s="23">
        <v>0</v>
      </c>
      <c r="J783" s="17">
        <f>OR(F783&lt;&gt;0,G783&lt;&gt;0,H783&lt;&gt;0,I783&lt;&gt;0)*(F783 + (F783 = 0))*(G783 + (G783 = 0))*(H783 + (H783 = 0))*(I783 + (I783 = 0))</f>
        <v>79.8</v>
      </c>
      <c r="K783" s="9"/>
      <c r="L783" s="9"/>
      <c r="M783" s="9"/>
    </row>
    <row r="784" spans="1:13">
      <c r="A784" s="9"/>
      <c r="B784" s="9"/>
      <c r="C784" s="10" t="s">
        <v>27</v>
      </c>
      <c r="D784" s="30"/>
      <c r="E784" s="10" t="s">
        <v>17</v>
      </c>
      <c r="F784" s="19">
        <v>-1</v>
      </c>
      <c r="G784" s="23">
        <v>31.43</v>
      </c>
      <c r="H784" s="23">
        <v>0</v>
      </c>
      <c r="I784" s="23">
        <v>0</v>
      </c>
      <c r="J784" s="17">
        <f>OR(F784&lt;&gt;0,G784&lt;&gt;0,H784&lt;&gt;0,I784&lt;&gt;0)*(F784 + (F784 = 0))*(G784 + (G784 = 0))*(H784 + (H784 = 0))*(I784 + (I784 = 0))</f>
        <v>-31.43</v>
      </c>
      <c r="K784" s="9"/>
      <c r="L784" s="9"/>
      <c r="M784" s="9"/>
    </row>
    <row r="785" spans="1:13">
      <c r="A785" s="9"/>
      <c r="B785" s="9"/>
      <c r="C785" s="10" t="s">
        <v>27</v>
      </c>
      <c r="D785" s="30"/>
      <c r="E785" s="10" t="s">
        <v>17</v>
      </c>
      <c r="F785" s="19">
        <v>-1</v>
      </c>
      <c r="G785" s="23">
        <v>1.65</v>
      </c>
      <c r="H785" s="23">
        <v>0</v>
      </c>
      <c r="I785" s="23">
        <v>0</v>
      </c>
      <c r="J785" s="17">
        <f>OR(F785&lt;&gt;0,G785&lt;&gt;0,H785&lt;&gt;0,I785&lt;&gt;0)*(F785 + (F785 = 0))*(G785 + (G785 = 0))*(H785 + (H785 = 0))*(I785 + (I785 = 0))</f>
        <v>-1.65</v>
      </c>
      <c r="K785" s="9"/>
      <c r="L785" s="9"/>
      <c r="M785" s="9"/>
    </row>
    <row r="786" spans="1:13">
      <c r="A786" s="9"/>
      <c r="B786" s="9"/>
      <c r="C786" s="10" t="s">
        <v>27</v>
      </c>
      <c r="D786" s="30"/>
      <c r="E786" s="10" t="s">
        <v>17</v>
      </c>
      <c r="F786" s="19">
        <v>-1</v>
      </c>
      <c r="G786" s="23">
        <v>3.13</v>
      </c>
      <c r="H786" s="23">
        <v>0</v>
      </c>
      <c r="I786" s="23">
        <v>0</v>
      </c>
      <c r="J786" s="17">
        <f>OR(F786&lt;&gt;0,G786&lt;&gt;0,H786&lt;&gt;0,I786&lt;&gt;0)*(F786 + (F786 = 0))*(G786 + (G786 = 0))*(H786 + (H786 = 0))*(I786 + (I786 = 0))</f>
        <v>-3.13</v>
      </c>
      <c r="K786" s="9"/>
      <c r="L786" s="9"/>
      <c r="M786" s="9"/>
    </row>
    <row r="787" spans="1:13">
      <c r="A787" s="9"/>
      <c r="B787" s="9"/>
      <c r="C787" s="10" t="s">
        <v>27</v>
      </c>
      <c r="D787" s="30"/>
      <c r="E787" s="10" t="s">
        <v>228</v>
      </c>
      <c r="F787" s="19">
        <v>1</v>
      </c>
      <c r="G787" s="23">
        <v>69.55</v>
      </c>
      <c r="H787" s="23">
        <v>0</v>
      </c>
      <c r="I787" s="23">
        <v>0</v>
      </c>
      <c r="J787" s="17">
        <f>OR(F787&lt;&gt;0,G787&lt;&gt;0,H787&lt;&gt;0,I787&lt;&gt;0)*(F787 + (F787 = 0))*(G787 + (G787 = 0))*(H787 + (H787 = 0))*(I787 + (I787 = 0))</f>
        <v>69.55</v>
      </c>
      <c r="K787" s="9"/>
      <c r="L787" s="9"/>
      <c r="M787" s="9"/>
    </row>
    <row r="788" spans="1:13">
      <c r="A788" s="9"/>
      <c r="B788" s="9"/>
      <c r="C788" s="10" t="s">
        <v>27</v>
      </c>
      <c r="D788" s="30"/>
      <c r="E788" s="10" t="s">
        <v>17</v>
      </c>
      <c r="F788" s="19">
        <v>1</v>
      </c>
      <c r="G788" s="23">
        <v>5.25</v>
      </c>
      <c r="H788" s="23">
        <v>0</v>
      </c>
      <c r="I788" s="23">
        <v>0</v>
      </c>
      <c r="J788" s="17">
        <f>OR(F788&lt;&gt;0,G788&lt;&gt;0,H788&lt;&gt;0,I788&lt;&gt;0)*(F788 + (F788 = 0))*(G788 + (G788 = 0))*(H788 + (H788 = 0))*(I788 + (I788 = 0))</f>
        <v>5.25</v>
      </c>
      <c r="K788" s="9"/>
      <c r="L788" s="9"/>
      <c r="M788" s="9"/>
    </row>
    <row r="789" spans="1:13">
      <c r="A789" s="9"/>
      <c r="B789" s="9"/>
      <c r="C789" s="10" t="s">
        <v>27</v>
      </c>
      <c r="D789" s="30"/>
      <c r="E789" s="10" t="s">
        <v>17</v>
      </c>
      <c r="F789" s="19">
        <v>-1</v>
      </c>
      <c r="G789" s="23">
        <v>3.63</v>
      </c>
      <c r="H789" s="23">
        <v>0</v>
      </c>
      <c r="I789" s="23">
        <v>0</v>
      </c>
      <c r="J789" s="17">
        <f>OR(F789&lt;&gt;0,G789&lt;&gt;0,H789&lt;&gt;0,I789&lt;&gt;0)*(F789 + (F789 = 0))*(G789 + (G789 = 0))*(H789 + (H789 = 0))*(I789 + (I789 = 0))</f>
        <v>-3.63</v>
      </c>
      <c r="K789" s="9"/>
      <c r="L789" s="9"/>
      <c r="M789" s="9"/>
    </row>
    <row r="790" spans="1:13">
      <c r="A790" s="9"/>
      <c r="B790" s="9"/>
      <c r="C790" s="10" t="s">
        <v>27</v>
      </c>
      <c r="D790" s="30"/>
      <c r="E790" s="10" t="s">
        <v>693</v>
      </c>
      <c r="F790" s="19"/>
      <c r="G790" s="23"/>
      <c r="H790" s="23"/>
      <c r="I790" s="23"/>
      <c r="J790" s="17">
        <f>OR(F790&lt;&gt;0,G790&lt;&gt;0,H790&lt;&gt;0,I790&lt;&gt;0)*(F790 + (F790 = 0))*(G790 + (G790 = 0))*(H790 + (H790 = 0))*(I790 + (I790 = 0))</f>
        <v>0</v>
      </c>
      <c r="K790" s="9"/>
      <c r="L790" s="9"/>
      <c r="M790" s="9"/>
    </row>
    <row r="791" spans="1:13">
      <c r="A791" s="9"/>
      <c r="B791" s="9"/>
      <c r="C791" s="10" t="s">
        <v>27</v>
      </c>
      <c r="D791" s="30"/>
      <c r="E791" s="10" t="s">
        <v>694</v>
      </c>
      <c r="F791" s="19">
        <v>1</v>
      </c>
      <c r="G791" s="23">
        <v>0.25</v>
      </c>
      <c r="H791" s="23">
        <v>0</v>
      </c>
      <c r="I791" s="23">
        <v>2.5</v>
      </c>
      <c r="J791" s="17">
        <f>OR(F791&lt;&gt;0,G791&lt;&gt;0,H791&lt;&gt;0,I791&lt;&gt;0)*(F791 + (F791 = 0))*(G791 + (G791 = 0))*(H791 + (H791 = 0))*(I791 + (I791 = 0))</f>
        <v>0.63</v>
      </c>
      <c r="K791" s="9"/>
      <c r="L791" s="9"/>
      <c r="M791" s="9"/>
    </row>
    <row r="792" spans="1:13">
      <c r="A792" s="9"/>
      <c r="B792" s="9"/>
      <c r="C792" s="10" t="s">
        <v>27</v>
      </c>
      <c r="D792" s="30"/>
      <c r="E792" s="10" t="s">
        <v>695</v>
      </c>
      <c r="F792" s="19">
        <v>1</v>
      </c>
      <c r="G792" s="23">
        <v>1.28</v>
      </c>
      <c r="H792" s="23">
        <v>0</v>
      </c>
      <c r="I792" s="23">
        <v>2.5</v>
      </c>
      <c r="J792" s="17">
        <f>OR(F792&lt;&gt;0,G792&lt;&gt;0,H792&lt;&gt;0,I792&lt;&gt;0)*(F792 + (F792 = 0))*(G792 + (G792 = 0))*(H792 + (H792 = 0))*(I792 + (I792 = 0))</f>
        <v>3.2</v>
      </c>
      <c r="K792" s="9"/>
      <c r="L792" s="9"/>
      <c r="M792" s="9"/>
    </row>
    <row r="793" spans="1:13">
      <c r="A793" s="9"/>
      <c r="B793" s="9"/>
      <c r="C793" s="9"/>
      <c r="D793" s="30"/>
      <c r="E793" s="9"/>
      <c r="F793" s="9"/>
      <c r="G793" s="9"/>
      <c r="H793" s="9"/>
      <c r="I793" s="9"/>
      <c r="J793" s="21" t="s">
        <v>696</v>
      </c>
      <c r="K793" s="22">
        <f>SUM(J768:J792)</f>
        <v>171.57</v>
      </c>
      <c r="L793" s="23">
        <v>0</v>
      </c>
      <c r="M793" s="24">
        <f>ROUND(K793*L793,2)</f>
        <v>0</v>
      </c>
    </row>
    <row r="794" spans="1:13" ht="0.95" customHeight="1">
      <c r="A794" s="25"/>
      <c r="B794" s="25"/>
      <c r="C794" s="25"/>
      <c r="D794" s="31"/>
      <c r="E794" s="25"/>
      <c r="F794" s="25"/>
      <c r="G794" s="25"/>
      <c r="H794" s="25"/>
      <c r="I794" s="25"/>
      <c r="J794" s="25"/>
      <c r="K794" s="25"/>
      <c r="L794" s="25"/>
      <c r="M794" s="25"/>
    </row>
    <row r="795" spans="1:13">
      <c r="A795" s="9"/>
      <c r="B795" s="9"/>
      <c r="C795" s="9"/>
      <c r="D795" s="30"/>
      <c r="E795" s="9"/>
      <c r="F795" s="9"/>
      <c r="G795" s="9"/>
      <c r="H795" s="9"/>
      <c r="I795" s="9"/>
      <c r="J795" s="21" t="s">
        <v>697</v>
      </c>
      <c r="K795" s="20">
        <v>1</v>
      </c>
      <c r="L795" s="24">
        <f>M766</f>
        <v>0</v>
      </c>
      <c r="M795" s="24">
        <f>ROUND(K795*L795,2)</f>
        <v>0</v>
      </c>
    </row>
    <row r="796" spans="1:13" ht="0.95" customHeight="1">
      <c r="A796" s="25"/>
      <c r="B796" s="25"/>
      <c r="C796" s="25"/>
      <c r="D796" s="31"/>
      <c r="E796" s="25"/>
      <c r="F796" s="25"/>
      <c r="G796" s="25"/>
      <c r="H796" s="25"/>
      <c r="I796" s="25"/>
      <c r="J796" s="25"/>
      <c r="K796" s="25"/>
      <c r="L796" s="25"/>
      <c r="M796" s="25"/>
    </row>
    <row r="797" spans="1:13">
      <c r="A797" s="9"/>
      <c r="B797" s="9"/>
      <c r="C797" s="9"/>
      <c r="D797" s="30"/>
      <c r="E797" s="9"/>
      <c r="F797" s="9"/>
      <c r="G797" s="9"/>
      <c r="H797" s="9"/>
      <c r="I797" s="9"/>
      <c r="J797" s="21" t="s">
        <v>698</v>
      </c>
      <c r="K797" s="26">
        <v>1</v>
      </c>
      <c r="L797" s="24">
        <f>M684+M718+M737+M742+M757+M765</f>
        <v>0</v>
      </c>
      <c r="M797" s="24">
        <f>ROUND(K797*L797,2)</f>
        <v>0</v>
      </c>
    </row>
    <row r="798" spans="1:13" ht="0.95" customHeight="1">
      <c r="A798" s="25"/>
      <c r="B798" s="25"/>
      <c r="C798" s="25"/>
      <c r="D798" s="31"/>
      <c r="E798" s="25"/>
      <c r="F798" s="25"/>
      <c r="G798" s="25"/>
      <c r="H798" s="25"/>
      <c r="I798" s="25"/>
      <c r="J798" s="25"/>
      <c r="K798" s="25"/>
      <c r="L798" s="25"/>
      <c r="M798" s="25"/>
    </row>
    <row r="799" spans="1:13">
      <c r="A799" s="5" t="s">
        <v>699</v>
      </c>
      <c r="B799" s="5" t="s">
        <v>16</v>
      </c>
      <c r="C799" s="5" t="s">
        <v>17</v>
      </c>
      <c r="D799" s="28" t="s">
        <v>700</v>
      </c>
      <c r="E799" s="6"/>
      <c r="F799" s="6"/>
      <c r="G799" s="6"/>
      <c r="H799" s="6"/>
      <c r="I799" s="6"/>
      <c r="J799" s="6"/>
      <c r="K799" s="7">
        <f>K1197</f>
        <v>1</v>
      </c>
      <c r="L799" s="8">
        <f>L1197</f>
        <v>0</v>
      </c>
      <c r="M799" s="8">
        <f>M1197</f>
        <v>0</v>
      </c>
    </row>
    <row r="800" spans="1:13">
      <c r="A800" s="11" t="s">
        <v>701</v>
      </c>
      <c r="B800" s="11" t="s">
        <v>16</v>
      </c>
      <c r="C800" s="11" t="s">
        <v>17</v>
      </c>
      <c r="D800" s="29" t="s">
        <v>702</v>
      </c>
      <c r="E800" s="12"/>
      <c r="F800" s="12"/>
      <c r="G800" s="12"/>
      <c r="H800" s="12"/>
      <c r="I800" s="12"/>
      <c r="J800" s="12"/>
      <c r="K800" s="13">
        <f>K809</f>
        <v>1</v>
      </c>
      <c r="L800" s="14">
        <f>L809</f>
        <v>0</v>
      </c>
      <c r="M800" s="14">
        <f>M809</f>
        <v>0</v>
      </c>
    </row>
    <row r="801" spans="1:13" ht="33.75">
      <c r="A801" s="15" t="s">
        <v>703</v>
      </c>
      <c r="B801" s="10" t="s">
        <v>23</v>
      </c>
      <c r="C801" s="10" t="s">
        <v>66</v>
      </c>
      <c r="D801" s="18" t="s">
        <v>704</v>
      </c>
      <c r="E801" s="9"/>
      <c r="F801" s="9"/>
      <c r="G801" s="9"/>
      <c r="H801" s="9"/>
      <c r="I801" s="9"/>
      <c r="J801" s="9"/>
      <c r="K801" s="20">
        <v>5</v>
      </c>
      <c r="L801" s="23">
        <v>0</v>
      </c>
      <c r="M801" s="17">
        <f>ROUND(K801*L801,2)</f>
        <v>0</v>
      </c>
    </row>
    <row r="802" spans="1:13">
      <c r="A802" s="9"/>
      <c r="B802" s="9"/>
      <c r="C802" s="9"/>
      <c r="D802" s="18" t="s">
        <v>705</v>
      </c>
      <c r="E802" s="9"/>
      <c r="F802" s="9"/>
      <c r="G802" s="9"/>
      <c r="H802" s="9"/>
      <c r="I802" s="9"/>
      <c r="J802" s="9"/>
      <c r="K802" s="9"/>
      <c r="L802" s="9"/>
      <c r="M802" s="9"/>
    </row>
    <row r="803" spans="1:13" ht="33.75">
      <c r="A803" s="15" t="s">
        <v>706</v>
      </c>
      <c r="B803" s="10" t="s">
        <v>23</v>
      </c>
      <c r="C803" s="10" t="s">
        <v>66</v>
      </c>
      <c r="D803" s="18" t="s">
        <v>707</v>
      </c>
      <c r="E803" s="9"/>
      <c r="F803" s="9"/>
      <c r="G803" s="9"/>
      <c r="H803" s="9"/>
      <c r="I803" s="9"/>
      <c r="J803" s="9"/>
      <c r="K803" s="20">
        <v>3</v>
      </c>
      <c r="L803" s="23">
        <v>0</v>
      </c>
      <c r="M803" s="17">
        <f>ROUND(K803*L803,2)</f>
        <v>0</v>
      </c>
    </row>
    <row r="804" spans="1:13">
      <c r="A804" s="9"/>
      <c r="B804" s="9"/>
      <c r="C804" s="9"/>
      <c r="D804" s="18" t="s">
        <v>708</v>
      </c>
      <c r="E804" s="9"/>
      <c r="F804" s="9"/>
      <c r="G804" s="9"/>
      <c r="H804" s="9"/>
      <c r="I804" s="9"/>
      <c r="J804" s="9"/>
      <c r="K804" s="9"/>
      <c r="L804" s="9"/>
      <c r="M804" s="9"/>
    </row>
    <row r="805" spans="1:13" ht="45">
      <c r="A805" s="15" t="s">
        <v>709</v>
      </c>
      <c r="B805" s="10" t="s">
        <v>23</v>
      </c>
      <c r="C805" s="10" t="s">
        <v>66</v>
      </c>
      <c r="D805" s="18" t="s">
        <v>710</v>
      </c>
      <c r="E805" s="9"/>
      <c r="F805" s="9"/>
      <c r="G805" s="9"/>
      <c r="H805" s="9"/>
      <c r="I805" s="9"/>
      <c r="J805" s="9"/>
      <c r="K805" s="20">
        <v>10</v>
      </c>
      <c r="L805" s="23">
        <v>0</v>
      </c>
      <c r="M805" s="17">
        <f>ROUND(K805*L805,2)</f>
        <v>0</v>
      </c>
    </row>
    <row r="806" spans="1:13">
      <c r="A806" s="9"/>
      <c r="B806" s="9"/>
      <c r="C806" s="9"/>
      <c r="D806" s="18" t="s">
        <v>711</v>
      </c>
      <c r="E806" s="9"/>
      <c r="F806" s="9"/>
      <c r="G806" s="9"/>
      <c r="H806" s="9"/>
      <c r="I806" s="9"/>
      <c r="J806" s="9"/>
      <c r="K806" s="9"/>
      <c r="L806" s="9"/>
      <c r="M806" s="9"/>
    </row>
    <row r="807" spans="1:13" ht="33.75">
      <c r="A807" s="15" t="s">
        <v>712</v>
      </c>
      <c r="B807" s="10" t="s">
        <v>23</v>
      </c>
      <c r="C807" s="10" t="s">
        <v>4</v>
      </c>
      <c r="D807" s="18" t="s">
        <v>713</v>
      </c>
      <c r="E807" s="9"/>
      <c r="F807" s="9"/>
      <c r="G807" s="9"/>
      <c r="H807" s="9"/>
      <c r="I807" s="9"/>
      <c r="J807" s="9"/>
      <c r="K807" s="20">
        <v>1</v>
      </c>
      <c r="L807" s="23">
        <v>0</v>
      </c>
      <c r="M807" s="17">
        <f>ROUND(K807*L807,2)</f>
        <v>0</v>
      </c>
    </row>
    <row r="808" spans="1:13">
      <c r="A808" s="9"/>
      <c r="B808" s="9"/>
      <c r="C808" s="9"/>
      <c r="D808" s="18" t="s">
        <v>714</v>
      </c>
      <c r="E808" s="9"/>
      <c r="F808" s="9"/>
      <c r="G808" s="9"/>
      <c r="H808" s="9"/>
      <c r="I808" s="9"/>
      <c r="J808" s="9"/>
      <c r="K808" s="9"/>
      <c r="L808" s="9"/>
      <c r="M808" s="9"/>
    </row>
    <row r="809" spans="1:13">
      <c r="A809" s="9"/>
      <c r="B809" s="9"/>
      <c r="C809" s="9"/>
      <c r="D809" s="30"/>
      <c r="E809" s="9"/>
      <c r="F809" s="9"/>
      <c r="G809" s="9"/>
      <c r="H809" s="9"/>
      <c r="I809" s="9"/>
      <c r="J809" s="21" t="s">
        <v>715</v>
      </c>
      <c r="K809" s="20">
        <v>1</v>
      </c>
      <c r="L809" s="24">
        <f>M801+M803+M805+M807</f>
        <v>0</v>
      </c>
      <c r="M809" s="24">
        <f>ROUND(K809*L809,2)</f>
        <v>0</v>
      </c>
    </row>
    <row r="810" spans="1:13" ht="0.95" customHeight="1">
      <c r="A810" s="25"/>
      <c r="B810" s="25"/>
      <c r="C810" s="25"/>
      <c r="D810" s="31"/>
      <c r="E810" s="25"/>
      <c r="F810" s="25"/>
      <c r="G810" s="25"/>
      <c r="H810" s="25"/>
      <c r="I810" s="25"/>
      <c r="J810" s="25"/>
      <c r="K810" s="25"/>
      <c r="L810" s="25"/>
      <c r="M810" s="25"/>
    </row>
    <row r="811" spans="1:13">
      <c r="A811" s="11" t="s">
        <v>716</v>
      </c>
      <c r="B811" s="11" t="s">
        <v>16</v>
      </c>
      <c r="C811" s="11" t="s">
        <v>17</v>
      </c>
      <c r="D811" s="29" t="s">
        <v>717</v>
      </c>
      <c r="E811" s="12"/>
      <c r="F811" s="12"/>
      <c r="G811" s="12"/>
      <c r="H811" s="12"/>
      <c r="I811" s="12"/>
      <c r="J811" s="12"/>
      <c r="K811" s="13">
        <f>K843</f>
        <v>1</v>
      </c>
      <c r="L811" s="14">
        <f>L843</f>
        <v>0</v>
      </c>
      <c r="M811" s="14">
        <f>M843</f>
        <v>0</v>
      </c>
    </row>
    <row r="812" spans="1:13" ht="33.75">
      <c r="A812" s="15" t="s">
        <v>718</v>
      </c>
      <c r="B812" s="10" t="s">
        <v>23</v>
      </c>
      <c r="C812" s="10" t="s">
        <v>4</v>
      </c>
      <c r="D812" s="18" t="s">
        <v>719</v>
      </c>
      <c r="E812" s="9"/>
      <c r="F812" s="9"/>
      <c r="G812" s="9"/>
      <c r="H812" s="9"/>
      <c r="I812" s="9"/>
      <c r="J812" s="9"/>
      <c r="K812" s="20">
        <v>1</v>
      </c>
      <c r="L812" s="23">
        <v>0</v>
      </c>
      <c r="M812" s="17">
        <f>ROUND(K812*L812,2)</f>
        <v>0</v>
      </c>
    </row>
    <row r="813" spans="1:13" ht="67.5">
      <c r="A813" s="9"/>
      <c r="B813" s="9"/>
      <c r="C813" s="9"/>
      <c r="D813" s="18" t="s">
        <v>720</v>
      </c>
      <c r="E813" s="9"/>
      <c r="F813" s="9"/>
      <c r="G813" s="9"/>
      <c r="H813" s="9"/>
      <c r="I813" s="9"/>
      <c r="J813" s="9"/>
      <c r="K813" s="9"/>
      <c r="L813" s="9"/>
      <c r="M813" s="9"/>
    </row>
    <row r="814" spans="1:13" ht="33.75">
      <c r="A814" s="15" t="s">
        <v>721</v>
      </c>
      <c r="B814" s="10" t="s">
        <v>23</v>
      </c>
      <c r="C814" s="10" t="s">
        <v>4</v>
      </c>
      <c r="D814" s="18" t="s">
        <v>722</v>
      </c>
      <c r="E814" s="9"/>
      <c r="F814" s="9"/>
      <c r="G814" s="9"/>
      <c r="H814" s="9"/>
      <c r="I814" s="9"/>
      <c r="J814" s="9"/>
      <c r="K814" s="20">
        <v>1</v>
      </c>
      <c r="L814" s="23">
        <v>0</v>
      </c>
      <c r="M814" s="17">
        <f>ROUND(K814*L814,2)</f>
        <v>0</v>
      </c>
    </row>
    <row r="815" spans="1:13">
      <c r="A815" s="9"/>
      <c r="B815" s="9"/>
      <c r="C815" s="9"/>
      <c r="D815" s="18" t="s">
        <v>723</v>
      </c>
      <c r="E815" s="9"/>
      <c r="F815" s="9"/>
      <c r="G815" s="9"/>
      <c r="H815" s="9"/>
      <c r="I815" s="9"/>
      <c r="J815" s="9"/>
      <c r="K815" s="9"/>
      <c r="L815" s="9"/>
      <c r="M815" s="9"/>
    </row>
    <row r="816" spans="1:13" ht="45">
      <c r="A816" s="15" t="s">
        <v>724</v>
      </c>
      <c r="B816" s="10" t="s">
        <v>23</v>
      </c>
      <c r="C816" s="10" t="s">
        <v>4</v>
      </c>
      <c r="D816" s="18" t="s">
        <v>725</v>
      </c>
      <c r="E816" s="9"/>
      <c r="F816" s="9"/>
      <c r="G816" s="9"/>
      <c r="H816" s="9"/>
      <c r="I816" s="9"/>
      <c r="J816" s="9"/>
      <c r="K816" s="20">
        <v>1</v>
      </c>
      <c r="L816" s="23">
        <v>0</v>
      </c>
      <c r="M816" s="17">
        <f>ROUND(K816*L816,2)</f>
        <v>0</v>
      </c>
    </row>
    <row r="817" spans="1:13">
      <c r="A817" s="9"/>
      <c r="B817" s="9"/>
      <c r="C817" s="9"/>
      <c r="D817" s="18" t="s">
        <v>726</v>
      </c>
      <c r="E817" s="9"/>
      <c r="F817" s="9"/>
      <c r="G817" s="9"/>
      <c r="H817" s="9"/>
      <c r="I817" s="9"/>
      <c r="J817" s="9"/>
      <c r="K817" s="9"/>
      <c r="L817" s="9"/>
      <c r="M817" s="9"/>
    </row>
    <row r="818" spans="1:13" ht="33.75">
      <c r="A818" s="15" t="s">
        <v>727</v>
      </c>
      <c r="B818" s="10" t="s">
        <v>23</v>
      </c>
      <c r="C818" s="10" t="s">
        <v>4</v>
      </c>
      <c r="D818" s="18" t="s">
        <v>728</v>
      </c>
      <c r="E818" s="9"/>
      <c r="F818" s="9"/>
      <c r="G818" s="9"/>
      <c r="H818" s="9"/>
      <c r="I818" s="9"/>
      <c r="J818" s="9"/>
      <c r="K818" s="20">
        <v>1</v>
      </c>
      <c r="L818" s="23">
        <v>0</v>
      </c>
      <c r="M818" s="17">
        <f>ROUND(K818*L818,2)</f>
        <v>0</v>
      </c>
    </row>
    <row r="819" spans="1:13">
      <c r="A819" s="9"/>
      <c r="B819" s="9"/>
      <c r="C819" s="9"/>
      <c r="D819" s="18" t="s">
        <v>729</v>
      </c>
      <c r="E819" s="9"/>
      <c r="F819" s="9"/>
      <c r="G819" s="9"/>
      <c r="H819" s="9"/>
      <c r="I819" s="9"/>
      <c r="J819" s="9"/>
      <c r="K819" s="9"/>
      <c r="L819" s="9"/>
      <c r="M819" s="9"/>
    </row>
    <row r="820" spans="1:13" ht="45">
      <c r="A820" s="15" t="s">
        <v>730</v>
      </c>
      <c r="B820" s="10" t="s">
        <v>23</v>
      </c>
      <c r="C820" s="10" t="s">
        <v>4</v>
      </c>
      <c r="D820" s="18" t="s">
        <v>731</v>
      </c>
      <c r="E820" s="9"/>
      <c r="F820" s="9"/>
      <c r="G820" s="9"/>
      <c r="H820" s="9"/>
      <c r="I820" s="9"/>
      <c r="J820" s="9"/>
      <c r="K820" s="20">
        <v>1</v>
      </c>
      <c r="L820" s="23">
        <v>0</v>
      </c>
      <c r="M820" s="17">
        <f>ROUND(K820*L820,2)</f>
        <v>0</v>
      </c>
    </row>
    <row r="821" spans="1:13">
      <c r="A821" s="9"/>
      <c r="B821" s="9"/>
      <c r="C821" s="9"/>
      <c r="D821" s="18" t="s">
        <v>732</v>
      </c>
      <c r="E821" s="9"/>
      <c r="F821" s="9"/>
      <c r="G821" s="9"/>
      <c r="H821" s="9"/>
      <c r="I821" s="9"/>
      <c r="J821" s="9"/>
      <c r="K821" s="9"/>
      <c r="L821" s="9"/>
      <c r="M821" s="9"/>
    </row>
    <row r="822" spans="1:13" ht="33.75">
      <c r="A822" s="15" t="s">
        <v>733</v>
      </c>
      <c r="B822" s="10" t="s">
        <v>23</v>
      </c>
      <c r="C822" s="10" t="s">
        <v>66</v>
      </c>
      <c r="D822" s="18" t="s">
        <v>734</v>
      </c>
      <c r="E822" s="9"/>
      <c r="F822" s="9"/>
      <c r="G822" s="9"/>
      <c r="H822" s="9"/>
      <c r="I822" s="9"/>
      <c r="J822" s="9"/>
      <c r="K822" s="20">
        <v>41.93</v>
      </c>
      <c r="L822" s="23">
        <v>0</v>
      </c>
      <c r="M822" s="17">
        <f>ROUND(K822*L822,2)</f>
        <v>0</v>
      </c>
    </row>
    <row r="823" spans="1:13">
      <c r="A823" s="9"/>
      <c r="B823" s="9"/>
      <c r="C823" s="9"/>
      <c r="D823" s="18" t="s">
        <v>735</v>
      </c>
      <c r="E823" s="9"/>
      <c r="F823" s="9"/>
      <c r="G823" s="9"/>
      <c r="H823" s="9"/>
      <c r="I823" s="9"/>
      <c r="J823" s="9"/>
      <c r="K823" s="9"/>
      <c r="L823" s="9"/>
      <c r="M823" s="9"/>
    </row>
    <row r="824" spans="1:13" ht="33.75">
      <c r="A824" s="15" t="s">
        <v>736</v>
      </c>
      <c r="B824" s="10" t="s">
        <v>23</v>
      </c>
      <c r="C824" s="10" t="s">
        <v>66</v>
      </c>
      <c r="D824" s="18" t="s">
        <v>737</v>
      </c>
      <c r="E824" s="9"/>
      <c r="F824" s="9"/>
      <c r="G824" s="9"/>
      <c r="H824" s="9"/>
      <c r="I824" s="9"/>
      <c r="J824" s="9"/>
      <c r="K824" s="16">
        <f>K827</f>
        <v>15</v>
      </c>
      <c r="L824" s="17">
        <f>L827</f>
        <v>0</v>
      </c>
      <c r="M824" s="17">
        <f>M827</f>
        <v>0</v>
      </c>
    </row>
    <row r="825" spans="1:13">
      <c r="A825" s="9"/>
      <c r="B825" s="9"/>
      <c r="C825" s="9"/>
      <c r="D825" s="18" t="s">
        <v>738</v>
      </c>
      <c r="E825" s="9"/>
      <c r="F825" s="9"/>
      <c r="G825" s="9"/>
      <c r="H825" s="9"/>
      <c r="I825" s="9"/>
      <c r="J825" s="9"/>
      <c r="K825" s="9"/>
      <c r="L825" s="9"/>
      <c r="M825" s="9"/>
    </row>
    <row r="826" spans="1:13">
      <c r="A826" s="9"/>
      <c r="B826" s="9"/>
      <c r="C826" s="10" t="s">
        <v>27</v>
      </c>
      <c r="D826" s="30"/>
      <c r="E826" s="10" t="s">
        <v>739</v>
      </c>
      <c r="F826" s="19">
        <v>1</v>
      </c>
      <c r="G826" s="20">
        <v>15</v>
      </c>
      <c r="H826" s="20">
        <v>0</v>
      </c>
      <c r="I826" s="20">
        <v>0</v>
      </c>
      <c r="J826" s="16">
        <f>OR(F826&lt;&gt;0,G826&lt;&gt;0,H826&lt;&gt;0,I826&lt;&gt;0)*(F826 + (F826 = 0))*(G826 + (G826 = 0))*(H826 + (H826 = 0))*(I826 + (I826 = 0))</f>
        <v>15</v>
      </c>
      <c r="K826" s="9"/>
      <c r="L826" s="9"/>
      <c r="M826" s="9"/>
    </row>
    <row r="827" spans="1:13">
      <c r="A827" s="9"/>
      <c r="B827" s="9"/>
      <c r="C827" s="9"/>
      <c r="D827" s="30"/>
      <c r="E827" s="9"/>
      <c r="F827" s="9"/>
      <c r="G827" s="9"/>
      <c r="H827" s="9"/>
      <c r="I827" s="9"/>
      <c r="J827" s="21" t="s">
        <v>740</v>
      </c>
      <c r="K827" s="22">
        <f>J826</f>
        <v>15</v>
      </c>
      <c r="L827" s="23">
        <v>0</v>
      </c>
      <c r="M827" s="24">
        <f>ROUND(K827*L827,2)</f>
        <v>0</v>
      </c>
    </row>
    <row r="828" spans="1:13" ht="0.95" customHeight="1">
      <c r="A828" s="25"/>
      <c r="B828" s="25"/>
      <c r="C828" s="25"/>
      <c r="D828" s="31"/>
      <c r="E828" s="25"/>
      <c r="F828" s="25"/>
      <c r="G828" s="25"/>
      <c r="H828" s="25"/>
      <c r="I828" s="25"/>
      <c r="J828" s="25"/>
      <c r="K828" s="25"/>
      <c r="L828" s="25"/>
      <c r="M828" s="25"/>
    </row>
    <row r="829" spans="1:13" ht="33.75">
      <c r="A829" s="15" t="s">
        <v>741</v>
      </c>
      <c r="B829" s="10" t="s">
        <v>23</v>
      </c>
      <c r="C829" s="10" t="s">
        <v>4</v>
      </c>
      <c r="D829" s="18" t="s">
        <v>742</v>
      </c>
      <c r="E829" s="9"/>
      <c r="F829" s="9"/>
      <c r="G829" s="9"/>
      <c r="H829" s="9"/>
      <c r="I829" s="9"/>
      <c r="J829" s="9"/>
      <c r="K829" s="20">
        <v>1</v>
      </c>
      <c r="L829" s="23">
        <v>0</v>
      </c>
      <c r="M829" s="17">
        <f>ROUND(K829*L829,2)</f>
        <v>0</v>
      </c>
    </row>
    <row r="830" spans="1:13">
      <c r="A830" s="9"/>
      <c r="B830" s="9"/>
      <c r="C830" s="9"/>
      <c r="D830" s="18" t="s">
        <v>743</v>
      </c>
      <c r="E830" s="9"/>
      <c r="F830" s="9"/>
      <c r="G830" s="9"/>
      <c r="H830" s="9"/>
      <c r="I830" s="9"/>
      <c r="J830" s="9"/>
      <c r="K830" s="9"/>
      <c r="L830" s="9"/>
      <c r="M830" s="9"/>
    </row>
    <row r="831" spans="1:13" ht="22.5">
      <c r="A831" s="15" t="s">
        <v>744</v>
      </c>
      <c r="B831" s="10" t="s">
        <v>23</v>
      </c>
      <c r="C831" s="10" t="s">
        <v>4</v>
      </c>
      <c r="D831" s="18" t="s">
        <v>745</v>
      </c>
      <c r="E831" s="9"/>
      <c r="F831" s="9"/>
      <c r="G831" s="9"/>
      <c r="H831" s="9"/>
      <c r="I831" s="9"/>
      <c r="J831" s="9"/>
      <c r="K831" s="20">
        <v>3</v>
      </c>
      <c r="L831" s="23">
        <v>0</v>
      </c>
      <c r="M831" s="17">
        <f>ROUND(K831*L831,2)</f>
        <v>0</v>
      </c>
    </row>
    <row r="832" spans="1:13" ht="45">
      <c r="A832" s="9"/>
      <c r="B832" s="9"/>
      <c r="C832" s="9"/>
      <c r="D832" s="18" t="s">
        <v>746</v>
      </c>
      <c r="E832" s="9"/>
      <c r="F832" s="9"/>
      <c r="G832" s="9"/>
      <c r="H832" s="9"/>
      <c r="I832" s="9"/>
      <c r="J832" s="9"/>
      <c r="K832" s="9"/>
      <c r="L832" s="9"/>
      <c r="M832" s="9"/>
    </row>
    <row r="833" spans="1:13" ht="33.75">
      <c r="A833" s="15" t="s">
        <v>747</v>
      </c>
      <c r="B833" s="10" t="s">
        <v>23</v>
      </c>
      <c r="C833" s="10" t="s">
        <v>66</v>
      </c>
      <c r="D833" s="18" t="s">
        <v>748</v>
      </c>
      <c r="E833" s="9"/>
      <c r="F833" s="9"/>
      <c r="G833" s="9"/>
      <c r="H833" s="9"/>
      <c r="I833" s="9"/>
      <c r="J833" s="9"/>
      <c r="K833" s="16">
        <f>K837</f>
        <v>145.86000000000001</v>
      </c>
      <c r="L833" s="17">
        <f>L837</f>
        <v>0</v>
      </c>
      <c r="M833" s="17">
        <f>M837</f>
        <v>0</v>
      </c>
    </row>
    <row r="834" spans="1:13">
      <c r="A834" s="9"/>
      <c r="B834" s="9"/>
      <c r="C834" s="9"/>
      <c r="D834" s="18" t="s">
        <v>749</v>
      </c>
      <c r="E834" s="9"/>
      <c r="F834" s="9"/>
      <c r="G834" s="9"/>
      <c r="H834" s="9"/>
      <c r="I834" s="9"/>
      <c r="J834" s="9"/>
      <c r="K834" s="9"/>
      <c r="L834" s="9"/>
      <c r="M834" s="9"/>
    </row>
    <row r="835" spans="1:13">
      <c r="A835" s="9"/>
      <c r="B835" s="9"/>
      <c r="C835" s="10" t="s">
        <v>27</v>
      </c>
      <c r="D835" s="30"/>
      <c r="E835" s="10" t="s">
        <v>17</v>
      </c>
      <c r="F835" s="19">
        <v>1</v>
      </c>
      <c r="G835" s="20">
        <v>73.930000000000007</v>
      </c>
      <c r="H835" s="20">
        <v>0</v>
      </c>
      <c r="I835" s="20">
        <v>0</v>
      </c>
      <c r="J835" s="16">
        <f>OR(F835&lt;&gt;0,G835&lt;&gt;0,H835&lt;&gt;0,I835&lt;&gt;0)*(F835 + (F835 = 0))*(G835 + (G835 = 0))*(H835 + (H835 = 0))*(I835 + (I835 = 0))</f>
        <v>73.930000000000007</v>
      </c>
      <c r="K835" s="9"/>
      <c r="L835" s="9"/>
      <c r="M835" s="9"/>
    </row>
    <row r="836" spans="1:13">
      <c r="A836" s="9"/>
      <c r="B836" s="9"/>
      <c r="C836" s="10" t="s">
        <v>27</v>
      </c>
      <c r="D836" s="30"/>
      <c r="E836" s="10" t="s">
        <v>17</v>
      </c>
      <c r="F836" s="19">
        <v>1</v>
      </c>
      <c r="G836" s="20">
        <v>71.930000000000007</v>
      </c>
      <c r="H836" s="20">
        <v>0</v>
      </c>
      <c r="I836" s="20">
        <v>0</v>
      </c>
      <c r="J836" s="16">
        <f>OR(F836&lt;&gt;0,G836&lt;&gt;0,H836&lt;&gt;0,I836&lt;&gt;0)*(F836 + (F836 = 0))*(G836 + (G836 = 0))*(H836 + (H836 = 0))*(I836 + (I836 = 0))</f>
        <v>71.930000000000007</v>
      </c>
      <c r="K836" s="9"/>
      <c r="L836" s="9"/>
      <c r="M836" s="9"/>
    </row>
    <row r="837" spans="1:13">
      <c r="A837" s="9"/>
      <c r="B837" s="9"/>
      <c r="C837" s="9"/>
      <c r="D837" s="30"/>
      <c r="E837" s="9"/>
      <c r="F837" s="9"/>
      <c r="G837" s="9"/>
      <c r="H837" s="9"/>
      <c r="I837" s="9"/>
      <c r="J837" s="21" t="s">
        <v>750</v>
      </c>
      <c r="K837" s="22">
        <f>SUM(J835:J836)</f>
        <v>145.86000000000001</v>
      </c>
      <c r="L837" s="23">
        <v>0</v>
      </c>
      <c r="M837" s="24">
        <f>ROUND(K837*L837,2)</f>
        <v>0</v>
      </c>
    </row>
    <row r="838" spans="1:13" ht="0.95" customHeight="1">
      <c r="A838" s="25"/>
      <c r="B838" s="25"/>
      <c r="C838" s="25"/>
      <c r="D838" s="31"/>
      <c r="E838" s="25"/>
      <c r="F838" s="25"/>
      <c r="G838" s="25"/>
      <c r="H838" s="25"/>
      <c r="I838" s="25"/>
      <c r="J838" s="25"/>
      <c r="K838" s="25"/>
      <c r="L838" s="25"/>
      <c r="M838" s="25"/>
    </row>
    <row r="839" spans="1:13" ht="22.5">
      <c r="A839" s="15" t="s">
        <v>751</v>
      </c>
      <c r="B839" s="10" t="s">
        <v>23</v>
      </c>
      <c r="C839" s="10" t="s">
        <v>4</v>
      </c>
      <c r="D839" s="18" t="s">
        <v>752</v>
      </c>
      <c r="E839" s="9"/>
      <c r="F839" s="9"/>
      <c r="G839" s="9"/>
      <c r="H839" s="9"/>
      <c r="I839" s="9"/>
      <c r="J839" s="9"/>
      <c r="K839" s="20">
        <v>6</v>
      </c>
      <c r="L839" s="23">
        <v>0</v>
      </c>
      <c r="M839" s="17">
        <f>ROUND(K839*L839,2)</f>
        <v>0</v>
      </c>
    </row>
    <row r="840" spans="1:13" ht="45">
      <c r="A840" s="9"/>
      <c r="B840" s="9"/>
      <c r="C840" s="9"/>
      <c r="D840" s="18" t="s">
        <v>753</v>
      </c>
      <c r="E840" s="9"/>
      <c r="F840" s="9"/>
      <c r="G840" s="9"/>
      <c r="H840" s="9"/>
      <c r="I840" s="9"/>
      <c r="J840" s="9"/>
      <c r="K840" s="9"/>
      <c r="L840" s="9"/>
      <c r="M840" s="9"/>
    </row>
    <row r="841" spans="1:13" ht="45">
      <c r="A841" s="15" t="s">
        <v>754</v>
      </c>
      <c r="B841" s="10" t="s">
        <v>23</v>
      </c>
      <c r="C841" s="10" t="s">
        <v>4</v>
      </c>
      <c r="D841" s="18" t="s">
        <v>755</v>
      </c>
      <c r="E841" s="9"/>
      <c r="F841" s="9"/>
      <c r="G841" s="9"/>
      <c r="H841" s="9"/>
      <c r="I841" s="9"/>
      <c r="J841" s="9"/>
      <c r="K841" s="20">
        <v>1</v>
      </c>
      <c r="L841" s="23">
        <v>0</v>
      </c>
      <c r="M841" s="17">
        <f>ROUND(K841*L841,2)</f>
        <v>0</v>
      </c>
    </row>
    <row r="842" spans="1:13">
      <c r="A842" s="9"/>
      <c r="B842" s="9"/>
      <c r="C842" s="9"/>
      <c r="D842" s="18" t="s">
        <v>756</v>
      </c>
      <c r="E842" s="9"/>
      <c r="F842" s="9"/>
      <c r="G842" s="9"/>
      <c r="H842" s="9"/>
      <c r="I842" s="9"/>
      <c r="J842" s="9"/>
      <c r="K842" s="9"/>
      <c r="L842" s="9"/>
      <c r="M842" s="9"/>
    </row>
    <row r="843" spans="1:13">
      <c r="A843" s="9"/>
      <c r="B843" s="9"/>
      <c r="C843" s="9"/>
      <c r="D843" s="30"/>
      <c r="E843" s="9"/>
      <c r="F843" s="9"/>
      <c r="G843" s="9"/>
      <c r="H843" s="9"/>
      <c r="I843" s="9"/>
      <c r="J843" s="21" t="s">
        <v>757</v>
      </c>
      <c r="K843" s="20">
        <v>1</v>
      </c>
      <c r="L843" s="24">
        <f>M812+M814+M816+M818+M820+M822+M824+M829+M831+M833+M839+M841</f>
        <v>0</v>
      </c>
      <c r="M843" s="24">
        <f>ROUND(K843*L843,2)</f>
        <v>0</v>
      </c>
    </row>
    <row r="844" spans="1:13" ht="0.95" customHeight="1">
      <c r="A844" s="25"/>
      <c r="B844" s="25"/>
      <c r="C844" s="25"/>
      <c r="D844" s="31"/>
      <c r="E844" s="25"/>
      <c r="F844" s="25"/>
      <c r="G844" s="25"/>
      <c r="H844" s="25"/>
      <c r="I844" s="25"/>
      <c r="J844" s="25"/>
      <c r="K844" s="25"/>
      <c r="L844" s="25"/>
      <c r="M844" s="25"/>
    </row>
    <row r="845" spans="1:13">
      <c r="A845" s="11" t="s">
        <v>758</v>
      </c>
      <c r="B845" s="11" t="s">
        <v>16</v>
      </c>
      <c r="C845" s="11" t="s">
        <v>17</v>
      </c>
      <c r="D845" s="29" t="s">
        <v>759</v>
      </c>
      <c r="E845" s="12"/>
      <c r="F845" s="12"/>
      <c r="G845" s="12"/>
      <c r="H845" s="12"/>
      <c r="I845" s="12"/>
      <c r="J845" s="12"/>
      <c r="K845" s="13">
        <f>K941</f>
        <v>1</v>
      </c>
      <c r="L845" s="14">
        <f>L941</f>
        <v>0</v>
      </c>
      <c r="M845" s="14">
        <f>M941</f>
        <v>0</v>
      </c>
    </row>
    <row r="846" spans="1:13" ht="33.75">
      <c r="A846" s="15" t="s">
        <v>760</v>
      </c>
      <c r="B846" s="10" t="s">
        <v>23</v>
      </c>
      <c r="C846" s="10" t="s">
        <v>4</v>
      </c>
      <c r="D846" s="18" t="s">
        <v>761</v>
      </c>
      <c r="E846" s="9"/>
      <c r="F846" s="9"/>
      <c r="G846" s="9"/>
      <c r="H846" s="9"/>
      <c r="I846" s="9"/>
      <c r="J846" s="9"/>
      <c r="K846" s="16">
        <f>K849</f>
        <v>1</v>
      </c>
      <c r="L846" s="17">
        <f>L849</f>
        <v>0</v>
      </c>
      <c r="M846" s="17">
        <f>M849</f>
        <v>0</v>
      </c>
    </row>
    <row r="847" spans="1:13">
      <c r="A847" s="9"/>
      <c r="B847" s="9"/>
      <c r="C847" s="9"/>
      <c r="D847" s="18" t="s">
        <v>762</v>
      </c>
      <c r="E847" s="9"/>
      <c r="F847" s="9"/>
      <c r="G847" s="9"/>
      <c r="H847" s="9"/>
      <c r="I847" s="9"/>
      <c r="J847" s="9"/>
      <c r="K847" s="9"/>
      <c r="L847" s="9"/>
      <c r="M847" s="9"/>
    </row>
    <row r="848" spans="1:13">
      <c r="A848" s="9"/>
      <c r="B848" s="9"/>
      <c r="C848" s="10" t="s">
        <v>27</v>
      </c>
      <c r="D848" s="30"/>
      <c r="E848" s="10" t="s">
        <v>763</v>
      </c>
      <c r="F848" s="19">
        <v>1</v>
      </c>
      <c r="G848" s="20">
        <v>0</v>
      </c>
      <c r="H848" s="20">
        <v>0</v>
      </c>
      <c r="I848" s="20">
        <v>0</v>
      </c>
      <c r="J848" s="16">
        <f>OR(F848&lt;&gt;0,G848&lt;&gt;0,H848&lt;&gt;0,I848&lt;&gt;0)*(F848 + (F848 = 0))*(G848 + (G848 = 0))*(H848 + (H848 = 0))*(I848 + (I848 = 0))</f>
        <v>1</v>
      </c>
      <c r="K848" s="9"/>
      <c r="L848" s="9"/>
      <c r="M848" s="9"/>
    </row>
    <row r="849" spans="1:13">
      <c r="A849" s="9"/>
      <c r="B849" s="9"/>
      <c r="C849" s="9"/>
      <c r="D849" s="30"/>
      <c r="E849" s="9"/>
      <c r="F849" s="9"/>
      <c r="G849" s="9"/>
      <c r="H849" s="9"/>
      <c r="I849" s="9"/>
      <c r="J849" s="21" t="s">
        <v>764</v>
      </c>
      <c r="K849" s="22">
        <f>J848</f>
        <v>1</v>
      </c>
      <c r="L849" s="23">
        <v>0</v>
      </c>
      <c r="M849" s="24">
        <f>ROUND(K849*L849,2)</f>
        <v>0</v>
      </c>
    </row>
    <row r="850" spans="1:13" ht="0.95" customHeight="1">
      <c r="A850" s="25"/>
      <c r="B850" s="25"/>
      <c r="C850" s="25"/>
      <c r="D850" s="31"/>
      <c r="E850" s="25"/>
      <c r="F850" s="25"/>
      <c r="G850" s="25"/>
      <c r="H850" s="25"/>
      <c r="I850" s="25"/>
      <c r="J850" s="25"/>
      <c r="K850" s="25"/>
      <c r="L850" s="25"/>
      <c r="M850" s="25"/>
    </row>
    <row r="851" spans="1:13" ht="33.75">
      <c r="A851" s="15" t="s">
        <v>765</v>
      </c>
      <c r="B851" s="10" t="s">
        <v>23</v>
      </c>
      <c r="C851" s="10" t="s">
        <v>4</v>
      </c>
      <c r="D851" s="18" t="s">
        <v>766</v>
      </c>
      <c r="E851" s="9"/>
      <c r="F851" s="9"/>
      <c r="G851" s="9"/>
      <c r="H851" s="9"/>
      <c r="I851" s="9"/>
      <c r="J851" s="9"/>
      <c r="K851" s="16">
        <f>K855</f>
        <v>3</v>
      </c>
      <c r="L851" s="17">
        <f>L855</f>
        <v>0</v>
      </c>
      <c r="M851" s="17">
        <f>M855</f>
        <v>0</v>
      </c>
    </row>
    <row r="852" spans="1:13">
      <c r="A852" s="9"/>
      <c r="B852" s="9"/>
      <c r="C852" s="9"/>
      <c r="D852" s="18" t="s">
        <v>767</v>
      </c>
      <c r="E852" s="9"/>
      <c r="F852" s="9"/>
      <c r="G852" s="9"/>
      <c r="H852" s="9"/>
      <c r="I852" s="9"/>
      <c r="J852" s="9"/>
      <c r="K852" s="9"/>
      <c r="L852" s="9"/>
      <c r="M852" s="9"/>
    </row>
    <row r="853" spans="1:13">
      <c r="A853" s="9"/>
      <c r="B853" s="9"/>
      <c r="C853" s="10" t="s">
        <v>27</v>
      </c>
      <c r="D853" s="30"/>
      <c r="E853" s="10" t="s">
        <v>763</v>
      </c>
      <c r="F853" s="19">
        <v>1</v>
      </c>
      <c r="G853" s="20">
        <v>0</v>
      </c>
      <c r="H853" s="20">
        <v>0</v>
      </c>
      <c r="I853" s="20">
        <v>0</v>
      </c>
      <c r="J853" s="16">
        <f>OR(F853&lt;&gt;0,G853&lt;&gt;0,H853&lt;&gt;0,I853&lt;&gt;0)*(F853 + (F853 = 0))*(G853 + (G853 = 0))*(H853 + (H853 = 0))*(I853 + (I853 = 0))</f>
        <v>1</v>
      </c>
      <c r="K853" s="9"/>
      <c r="L853" s="9"/>
      <c r="M853" s="9"/>
    </row>
    <row r="854" spans="1:13">
      <c r="A854" s="9"/>
      <c r="B854" s="9"/>
      <c r="C854" s="10" t="s">
        <v>27</v>
      </c>
      <c r="D854" s="30"/>
      <c r="E854" s="10" t="s">
        <v>17</v>
      </c>
      <c r="F854" s="19">
        <v>2</v>
      </c>
      <c r="G854" s="20">
        <v>0</v>
      </c>
      <c r="H854" s="20">
        <v>0</v>
      </c>
      <c r="I854" s="20">
        <v>0</v>
      </c>
      <c r="J854" s="16">
        <f>OR(F854&lt;&gt;0,G854&lt;&gt;0,H854&lt;&gt;0,I854&lt;&gt;0)*(F854 + (F854 = 0))*(G854 + (G854 = 0))*(H854 + (H854 = 0))*(I854 + (I854 = 0))</f>
        <v>2</v>
      </c>
      <c r="K854" s="9"/>
      <c r="L854" s="9"/>
      <c r="M854" s="9"/>
    </row>
    <row r="855" spans="1:13">
      <c r="A855" s="9"/>
      <c r="B855" s="9"/>
      <c r="C855" s="9"/>
      <c r="D855" s="30"/>
      <c r="E855" s="9"/>
      <c r="F855" s="9"/>
      <c r="G855" s="9"/>
      <c r="H855" s="9"/>
      <c r="I855" s="9"/>
      <c r="J855" s="21" t="s">
        <v>768</v>
      </c>
      <c r="K855" s="22">
        <f>SUM(J853:J854)</f>
        <v>3</v>
      </c>
      <c r="L855" s="23">
        <v>0</v>
      </c>
      <c r="M855" s="24">
        <f>ROUND(K855*L855,2)</f>
        <v>0</v>
      </c>
    </row>
    <row r="856" spans="1:13" ht="0.95" customHeight="1">
      <c r="A856" s="25"/>
      <c r="B856" s="25"/>
      <c r="C856" s="25"/>
      <c r="D856" s="31"/>
      <c r="E856" s="25"/>
      <c r="F856" s="25"/>
      <c r="G856" s="25"/>
      <c r="H856" s="25"/>
      <c r="I856" s="25"/>
      <c r="J856" s="25"/>
      <c r="K856" s="25"/>
      <c r="L856" s="25"/>
      <c r="M856" s="25"/>
    </row>
    <row r="857" spans="1:13" ht="45">
      <c r="A857" s="15" t="s">
        <v>769</v>
      </c>
      <c r="B857" s="10" t="s">
        <v>23</v>
      </c>
      <c r="C857" s="10" t="s">
        <v>4</v>
      </c>
      <c r="D857" s="18" t="s">
        <v>770</v>
      </c>
      <c r="E857" s="9"/>
      <c r="F857" s="9"/>
      <c r="G857" s="9"/>
      <c r="H857" s="9"/>
      <c r="I857" s="9"/>
      <c r="J857" s="9"/>
      <c r="K857" s="20">
        <v>1</v>
      </c>
      <c r="L857" s="23">
        <v>0</v>
      </c>
      <c r="M857" s="17">
        <f>ROUND(K857*L857,2)</f>
        <v>0</v>
      </c>
    </row>
    <row r="858" spans="1:13">
      <c r="A858" s="9"/>
      <c r="B858" s="9"/>
      <c r="C858" s="9"/>
      <c r="D858" s="18" t="s">
        <v>771</v>
      </c>
      <c r="E858" s="9"/>
      <c r="F858" s="9"/>
      <c r="G858" s="9"/>
      <c r="H858" s="9"/>
      <c r="I858" s="9"/>
      <c r="J858" s="9"/>
      <c r="K858" s="9"/>
      <c r="L858" s="9"/>
      <c r="M858" s="9"/>
    </row>
    <row r="859" spans="1:13">
      <c r="A859" s="15" t="s">
        <v>772</v>
      </c>
      <c r="B859" s="10" t="s">
        <v>23</v>
      </c>
      <c r="C859" s="10" t="s">
        <v>4</v>
      </c>
      <c r="D859" s="18" t="s">
        <v>773</v>
      </c>
      <c r="E859" s="9"/>
      <c r="F859" s="9"/>
      <c r="G859" s="9"/>
      <c r="H859" s="9"/>
      <c r="I859" s="9"/>
      <c r="J859" s="9"/>
      <c r="K859" s="16">
        <f>K862</f>
        <v>1</v>
      </c>
      <c r="L859" s="17">
        <f>L862</f>
        <v>0</v>
      </c>
      <c r="M859" s="17">
        <f>M862</f>
        <v>0</v>
      </c>
    </row>
    <row r="860" spans="1:13" ht="45">
      <c r="A860" s="9"/>
      <c r="B860" s="9"/>
      <c r="C860" s="9"/>
      <c r="D860" s="18" t="s">
        <v>774</v>
      </c>
      <c r="E860" s="9"/>
      <c r="F860" s="9"/>
      <c r="G860" s="9"/>
      <c r="H860" s="9"/>
      <c r="I860" s="9"/>
      <c r="J860" s="9"/>
      <c r="K860" s="9"/>
      <c r="L860" s="9"/>
      <c r="M860" s="9"/>
    </row>
    <row r="861" spans="1:13">
      <c r="A861" s="9"/>
      <c r="B861" s="9"/>
      <c r="C861" s="10" t="s">
        <v>27</v>
      </c>
      <c r="D861" s="30"/>
      <c r="E861" s="10" t="s">
        <v>763</v>
      </c>
      <c r="F861" s="19">
        <v>1</v>
      </c>
      <c r="G861" s="20">
        <v>0</v>
      </c>
      <c r="H861" s="20">
        <v>0</v>
      </c>
      <c r="I861" s="20">
        <v>0</v>
      </c>
      <c r="J861" s="16">
        <f>OR(F861&lt;&gt;0,G861&lt;&gt;0,H861&lt;&gt;0,I861&lt;&gt;0)*(F861 + (F861 = 0))*(G861 + (G861 = 0))*(H861 + (H861 = 0))*(I861 + (I861 = 0))</f>
        <v>1</v>
      </c>
      <c r="K861" s="9"/>
      <c r="L861" s="9"/>
      <c r="M861" s="9"/>
    </row>
    <row r="862" spans="1:13">
      <c r="A862" s="9"/>
      <c r="B862" s="9"/>
      <c r="C862" s="9"/>
      <c r="D862" s="30"/>
      <c r="E862" s="9"/>
      <c r="F862" s="9"/>
      <c r="G862" s="9"/>
      <c r="H862" s="9"/>
      <c r="I862" s="9"/>
      <c r="J862" s="21" t="s">
        <v>775</v>
      </c>
      <c r="K862" s="22">
        <f>J861</f>
        <v>1</v>
      </c>
      <c r="L862" s="23">
        <v>0</v>
      </c>
      <c r="M862" s="24">
        <f>ROUND(K862*L862,2)</f>
        <v>0</v>
      </c>
    </row>
    <row r="863" spans="1:13" ht="0.95" customHeight="1">
      <c r="A863" s="25"/>
      <c r="B863" s="25"/>
      <c r="C863" s="25"/>
      <c r="D863" s="31"/>
      <c r="E863" s="25"/>
      <c r="F863" s="25"/>
      <c r="G863" s="25"/>
      <c r="H863" s="25"/>
      <c r="I863" s="25"/>
      <c r="J863" s="25"/>
      <c r="K863" s="25"/>
      <c r="L863" s="25"/>
      <c r="M863" s="25"/>
    </row>
    <row r="864" spans="1:13" ht="22.5">
      <c r="A864" s="15" t="s">
        <v>776</v>
      </c>
      <c r="B864" s="10" t="s">
        <v>23</v>
      </c>
      <c r="C864" s="10" t="s">
        <v>4</v>
      </c>
      <c r="D864" s="18" t="s">
        <v>777</v>
      </c>
      <c r="E864" s="9"/>
      <c r="F864" s="9"/>
      <c r="G864" s="9"/>
      <c r="H864" s="9"/>
      <c r="I864" s="9"/>
      <c r="J864" s="9"/>
      <c r="K864" s="20">
        <v>1</v>
      </c>
      <c r="L864" s="23">
        <v>0</v>
      </c>
      <c r="M864" s="17">
        <f>ROUND(K864*L864,2)</f>
        <v>0</v>
      </c>
    </row>
    <row r="865" spans="1:13" ht="45">
      <c r="A865" s="9"/>
      <c r="B865" s="9"/>
      <c r="C865" s="9"/>
      <c r="D865" s="18" t="s">
        <v>778</v>
      </c>
      <c r="E865" s="9"/>
      <c r="F865" s="9"/>
      <c r="G865" s="9"/>
      <c r="H865" s="9"/>
      <c r="I865" s="9"/>
      <c r="J865" s="9"/>
      <c r="K865" s="9"/>
      <c r="L865" s="9"/>
      <c r="M865" s="9"/>
    </row>
    <row r="866" spans="1:13" ht="22.5">
      <c r="A866" s="15" t="s">
        <v>779</v>
      </c>
      <c r="B866" s="10" t="s">
        <v>23</v>
      </c>
      <c r="C866" s="10" t="s">
        <v>4</v>
      </c>
      <c r="D866" s="18" t="s">
        <v>780</v>
      </c>
      <c r="E866" s="9"/>
      <c r="F866" s="9"/>
      <c r="G866" s="9"/>
      <c r="H866" s="9"/>
      <c r="I866" s="9"/>
      <c r="J866" s="9"/>
      <c r="K866" s="20">
        <v>4</v>
      </c>
      <c r="L866" s="23">
        <v>0</v>
      </c>
      <c r="M866" s="17">
        <f>ROUND(K866*L866,2)</f>
        <v>0</v>
      </c>
    </row>
    <row r="867" spans="1:13" ht="45">
      <c r="A867" s="9"/>
      <c r="B867" s="9"/>
      <c r="C867" s="9"/>
      <c r="D867" s="18" t="s">
        <v>781</v>
      </c>
      <c r="E867" s="9"/>
      <c r="F867" s="9"/>
      <c r="G867" s="9"/>
      <c r="H867" s="9"/>
      <c r="I867" s="9"/>
      <c r="J867" s="9"/>
      <c r="K867" s="9"/>
      <c r="L867" s="9"/>
      <c r="M867" s="9"/>
    </row>
    <row r="868" spans="1:13" ht="45">
      <c r="A868" s="15" t="s">
        <v>782</v>
      </c>
      <c r="B868" s="10" t="s">
        <v>23</v>
      </c>
      <c r="C868" s="10" t="s">
        <v>94</v>
      </c>
      <c r="D868" s="18" t="s">
        <v>783</v>
      </c>
      <c r="E868" s="9"/>
      <c r="F868" s="9"/>
      <c r="G868" s="9"/>
      <c r="H868" s="9"/>
      <c r="I868" s="9"/>
      <c r="J868" s="9"/>
      <c r="K868" s="16">
        <f>K871</f>
        <v>72.510000000000005</v>
      </c>
      <c r="L868" s="17">
        <f>L871</f>
        <v>0</v>
      </c>
      <c r="M868" s="17">
        <f>M871</f>
        <v>0</v>
      </c>
    </row>
    <row r="869" spans="1:13">
      <c r="A869" s="9"/>
      <c r="B869" s="9"/>
      <c r="C869" s="9"/>
      <c r="D869" s="18" t="s">
        <v>784</v>
      </c>
      <c r="E869" s="9"/>
      <c r="F869" s="9"/>
      <c r="G869" s="9"/>
      <c r="H869" s="9"/>
      <c r="I869" s="9"/>
      <c r="J869" s="9"/>
      <c r="K869" s="9"/>
      <c r="L869" s="9"/>
      <c r="M869" s="9"/>
    </row>
    <row r="870" spans="1:13">
      <c r="A870" s="9"/>
      <c r="B870" s="9"/>
      <c r="C870" s="10" t="s">
        <v>27</v>
      </c>
      <c r="D870" s="30"/>
      <c r="E870" s="10" t="s">
        <v>763</v>
      </c>
      <c r="F870" s="19">
        <v>1</v>
      </c>
      <c r="G870" s="20">
        <v>72.510000000000005</v>
      </c>
      <c r="H870" s="20">
        <v>0</v>
      </c>
      <c r="I870" s="20">
        <v>0</v>
      </c>
      <c r="J870" s="16">
        <f>OR(F870&lt;&gt;0,G870&lt;&gt;0,H870&lt;&gt;0,I870&lt;&gt;0)*(F870 + (F870 = 0))*(G870 + (G870 = 0))*(H870 + (H870 = 0))*(I870 + (I870 = 0))</f>
        <v>72.510000000000005</v>
      </c>
      <c r="K870" s="9"/>
      <c r="L870" s="9"/>
      <c r="M870" s="9"/>
    </row>
    <row r="871" spans="1:13">
      <c r="A871" s="9"/>
      <c r="B871" s="9"/>
      <c r="C871" s="9"/>
      <c r="D871" s="30"/>
      <c r="E871" s="9"/>
      <c r="F871" s="9"/>
      <c r="G871" s="9"/>
      <c r="H871" s="9"/>
      <c r="I871" s="9"/>
      <c r="J871" s="21" t="s">
        <v>785</v>
      </c>
      <c r="K871" s="22">
        <f>J870</f>
        <v>72.510000000000005</v>
      </c>
      <c r="L871" s="23">
        <v>0</v>
      </c>
      <c r="M871" s="24">
        <f>ROUND(K871*L871,2)</f>
        <v>0</v>
      </c>
    </row>
    <row r="872" spans="1:13" ht="0.95" customHeight="1">
      <c r="A872" s="25"/>
      <c r="B872" s="25"/>
      <c r="C872" s="25"/>
      <c r="D872" s="31"/>
      <c r="E872" s="25"/>
      <c r="F872" s="25"/>
      <c r="G872" s="25"/>
      <c r="H872" s="25"/>
      <c r="I872" s="25"/>
      <c r="J872" s="25"/>
      <c r="K872" s="25"/>
      <c r="L872" s="25"/>
      <c r="M872" s="25"/>
    </row>
    <row r="873" spans="1:13" ht="45">
      <c r="A873" s="15" t="s">
        <v>786</v>
      </c>
      <c r="B873" s="10" t="s">
        <v>23</v>
      </c>
      <c r="C873" s="10" t="s">
        <v>94</v>
      </c>
      <c r="D873" s="18" t="s">
        <v>787</v>
      </c>
      <c r="E873" s="9"/>
      <c r="F873" s="9"/>
      <c r="G873" s="9"/>
      <c r="H873" s="9"/>
      <c r="I873" s="9"/>
      <c r="J873" s="9"/>
      <c r="K873" s="16">
        <f>K876</f>
        <v>105.85</v>
      </c>
      <c r="L873" s="17">
        <f>L876</f>
        <v>0</v>
      </c>
      <c r="M873" s="17">
        <f>M876</f>
        <v>0</v>
      </c>
    </row>
    <row r="874" spans="1:13">
      <c r="A874" s="9"/>
      <c r="B874" s="9"/>
      <c r="C874" s="9"/>
      <c r="D874" s="18" t="s">
        <v>784</v>
      </c>
      <c r="E874" s="9"/>
      <c r="F874" s="9"/>
      <c r="G874" s="9"/>
      <c r="H874" s="9"/>
      <c r="I874" s="9"/>
      <c r="J874" s="9"/>
      <c r="K874" s="9"/>
      <c r="L874" s="9"/>
      <c r="M874" s="9"/>
    </row>
    <row r="875" spans="1:13">
      <c r="A875" s="9"/>
      <c r="B875" s="9"/>
      <c r="C875" s="10" t="s">
        <v>27</v>
      </c>
      <c r="D875" s="30"/>
      <c r="E875" s="10" t="s">
        <v>763</v>
      </c>
      <c r="F875" s="19">
        <v>1</v>
      </c>
      <c r="G875" s="20">
        <v>105.85</v>
      </c>
      <c r="H875" s="20">
        <v>0</v>
      </c>
      <c r="I875" s="20">
        <v>0</v>
      </c>
      <c r="J875" s="16">
        <f>OR(F875&lt;&gt;0,G875&lt;&gt;0,H875&lt;&gt;0,I875&lt;&gt;0)*(F875 + (F875 = 0))*(G875 + (G875 = 0))*(H875 + (H875 = 0))*(I875 + (I875 = 0))</f>
        <v>105.85</v>
      </c>
      <c r="K875" s="9"/>
      <c r="L875" s="9"/>
      <c r="M875" s="9"/>
    </row>
    <row r="876" spans="1:13">
      <c r="A876" s="9"/>
      <c r="B876" s="9"/>
      <c r="C876" s="9"/>
      <c r="D876" s="30"/>
      <c r="E876" s="9"/>
      <c r="F876" s="9"/>
      <c r="G876" s="9"/>
      <c r="H876" s="9"/>
      <c r="I876" s="9"/>
      <c r="J876" s="21" t="s">
        <v>788</v>
      </c>
      <c r="K876" s="22">
        <f>J875</f>
        <v>105.85</v>
      </c>
      <c r="L876" s="23">
        <v>0</v>
      </c>
      <c r="M876" s="24">
        <f>ROUND(K876*L876,2)</f>
        <v>0</v>
      </c>
    </row>
    <row r="877" spans="1:13" ht="0.95" customHeight="1">
      <c r="A877" s="25"/>
      <c r="B877" s="25"/>
      <c r="C877" s="25"/>
      <c r="D877" s="31"/>
      <c r="E877" s="25"/>
      <c r="F877" s="25"/>
      <c r="G877" s="25"/>
      <c r="H877" s="25"/>
      <c r="I877" s="25"/>
      <c r="J877" s="25"/>
      <c r="K877" s="25"/>
      <c r="L877" s="25"/>
      <c r="M877" s="25"/>
    </row>
    <row r="878" spans="1:13" ht="33.75">
      <c r="A878" s="15" t="s">
        <v>789</v>
      </c>
      <c r="B878" s="10" t="s">
        <v>23</v>
      </c>
      <c r="C878" s="10" t="s">
        <v>4</v>
      </c>
      <c r="D878" s="18" t="s">
        <v>790</v>
      </c>
      <c r="E878" s="9"/>
      <c r="F878" s="9"/>
      <c r="G878" s="9"/>
      <c r="H878" s="9"/>
      <c r="I878" s="9"/>
      <c r="J878" s="9"/>
      <c r="K878" s="16">
        <f>K881</f>
        <v>1</v>
      </c>
      <c r="L878" s="17">
        <f>L881</f>
        <v>0</v>
      </c>
      <c r="M878" s="17">
        <f>M881</f>
        <v>0</v>
      </c>
    </row>
    <row r="879" spans="1:13">
      <c r="A879" s="9"/>
      <c r="B879" s="9"/>
      <c r="C879" s="9"/>
      <c r="D879" s="18" t="s">
        <v>791</v>
      </c>
      <c r="E879" s="9"/>
      <c r="F879" s="9"/>
      <c r="G879" s="9"/>
      <c r="H879" s="9"/>
      <c r="I879" s="9"/>
      <c r="J879" s="9"/>
      <c r="K879" s="9"/>
      <c r="L879" s="9"/>
      <c r="M879" s="9"/>
    </row>
    <row r="880" spans="1:13">
      <c r="A880" s="9"/>
      <c r="B880" s="9"/>
      <c r="C880" s="10" t="s">
        <v>27</v>
      </c>
      <c r="D880" s="30"/>
      <c r="E880" s="10" t="s">
        <v>763</v>
      </c>
      <c r="F880" s="19">
        <v>1</v>
      </c>
      <c r="G880" s="20">
        <v>0</v>
      </c>
      <c r="H880" s="20">
        <v>0</v>
      </c>
      <c r="I880" s="20">
        <v>0</v>
      </c>
      <c r="J880" s="16">
        <f>OR(F880&lt;&gt;0,G880&lt;&gt;0,H880&lt;&gt;0,I880&lt;&gt;0)*(F880 + (F880 = 0))*(G880 + (G880 = 0))*(H880 + (H880 = 0))*(I880 + (I880 = 0))</f>
        <v>1</v>
      </c>
      <c r="K880" s="9"/>
      <c r="L880" s="9"/>
      <c r="M880" s="9"/>
    </row>
    <row r="881" spans="1:13">
      <c r="A881" s="9"/>
      <c r="B881" s="9"/>
      <c r="C881" s="9"/>
      <c r="D881" s="30"/>
      <c r="E881" s="9"/>
      <c r="F881" s="9"/>
      <c r="G881" s="9"/>
      <c r="H881" s="9"/>
      <c r="I881" s="9"/>
      <c r="J881" s="21" t="s">
        <v>792</v>
      </c>
      <c r="K881" s="22">
        <f>J880</f>
        <v>1</v>
      </c>
      <c r="L881" s="23">
        <v>0</v>
      </c>
      <c r="M881" s="24">
        <f>ROUND(K881*L881,2)</f>
        <v>0</v>
      </c>
    </row>
    <row r="882" spans="1:13" ht="0.95" customHeight="1">
      <c r="A882" s="25"/>
      <c r="B882" s="25"/>
      <c r="C882" s="25"/>
      <c r="D882" s="31"/>
      <c r="E882" s="25"/>
      <c r="F882" s="25"/>
      <c r="G882" s="25"/>
      <c r="H882" s="25"/>
      <c r="I882" s="25"/>
      <c r="J882" s="25"/>
      <c r="K882" s="25"/>
      <c r="L882" s="25"/>
      <c r="M882" s="25"/>
    </row>
    <row r="883" spans="1:13" ht="33.75">
      <c r="A883" s="15" t="s">
        <v>793</v>
      </c>
      <c r="B883" s="10" t="s">
        <v>23</v>
      </c>
      <c r="C883" s="10" t="s">
        <v>4</v>
      </c>
      <c r="D883" s="18" t="s">
        <v>790</v>
      </c>
      <c r="E883" s="9"/>
      <c r="F883" s="9"/>
      <c r="G883" s="9"/>
      <c r="H883" s="9"/>
      <c r="I883" s="9"/>
      <c r="J883" s="9"/>
      <c r="K883" s="16">
        <f>K886</f>
        <v>1</v>
      </c>
      <c r="L883" s="17">
        <f>L886</f>
        <v>0</v>
      </c>
      <c r="M883" s="17">
        <f>M886</f>
        <v>0</v>
      </c>
    </row>
    <row r="884" spans="1:13">
      <c r="A884" s="9"/>
      <c r="B884" s="9"/>
      <c r="C884" s="9"/>
      <c r="D884" s="18" t="s">
        <v>794</v>
      </c>
      <c r="E884" s="9"/>
      <c r="F884" s="9"/>
      <c r="G884" s="9"/>
      <c r="H884" s="9"/>
      <c r="I884" s="9"/>
      <c r="J884" s="9"/>
      <c r="K884" s="9"/>
      <c r="L884" s="9"/>
      <c r="M884" s="9"/>
    </row>
    <row r="885" spans="1:13">
      <c r="A885" s="9"/>
      <c r="B885" s="9"/>
      <c r="C885" s="10" t="s">
        <v>27</v>
      </c>
      <c r="D885" s="30"/>
      <c r="E885" s="10" t="s">
        <v>795</v>
      </c>
      <c r="F885" s="19">
        <v>1</v>
      </c>
      <c r="G885" s="20">
        <v>0</v>
      </c>
      <c r="H885" s="20">
        <v>0</v>
      </c>
      <c r="I885" s="20">
        <v>0</v>
      </c>
      <c r="J885" s="16">
        <f>OR(F885&lt;&gt;0,G885&lt;&gt;0,H885&lt;&gt;0,I885&lt;&gt;0)*(F885 + (F885 = 0))*(G885 + (G885 = 0))*(H885 + (H885 = 0))*(I885 + (I885 = 0))</f>
        <v>1</v>
      </c>
      <c r="K885" s="9"/>
      <c r="L885" s="9"/>
      <c r="M885" s="9"/>
    </row>
    <row r="886" spans="1:13">
      <c r="A886" s="9"/>
      <c r="B886" s="9"/>
      <c r="C886" s="9"/>
      <c r="D886" s="30"/>
      <c r="E886" s="9"/>
      <c r="F886" s="9"/>
      <c r="G886" s="9"/>
      <c r="H886" s="9"/>
      <c r="I886" s="9"/>
      <c r="J886" s="21" t="s">
        <v>796</v>
      </c>
      <c r="K886" s="22">
        <f>J885</f>
        <v>1</v>
      </c>
      <c r="L886" s="23">
        <v>0</v>
      </c>
      <c r="M886" s="24">
        <f>ROUND(K886*L886,2)</f>
        <v>0</v>
      </c>
    </row>
    <row r="887" spans="1:13" ht="0.95" customHeight="1">
      <c r="A887" s="25"/>
      <c r="B887" s="25"/>
      <c r="C887" s="25"/>
      <c r="D887" s="31"/>
      <c r="E887" s="25"/>
      <c r="F887" s="25"/>
      <c r="G887" s="25"/>
      <c r="H887" s="25"/>
      <c r="I887" s="25"/>
      <c r="J887" s="25"/>
      <c r="K887" s="25"/>
      <c r="L887" s="25"/>
      <c r="M887" s="25"/>
    </row>
    <row r="888" spans="1:13" ht="33.75">
      <c r="A888" s="15" t="s">
        <v>797</v>
      </c>
      <c r="B888" s="10" t="s">
        <v>23</v>
      </c>
      <c r="C888" s="10" t="s">
        <v>4</v>
      </c>
      <c r="D888" s="18" t="s">
        <v>798</v>
      </c>
      <c r="E888" s="9"/>
      <c r="F888" s="9"/>
      <c r="G888" s="9"/>
      <c r="H888" s="9"/>
      <c r="I888" s="9"/>
      <c r="J888" s="9"/>
      <c r="K888" s="20">
        <v>1</v>
      </c>
      <c r="L888" s="23">
        <v>0</v>
      </c>
      <c r="M888" s="17">
        <f>ROUND(K888*L888,2)</f>
        <v>0</v>
      </c>
    </row>
    <row r="889" spans="1:13" ht="56.25">
      <c r="A889" s="9"/>
      <c r="B889" s="9"/>
      <c r="C889" s="9"/>
      <c r="D889" s="18" t="s">
        <v>799</v>
      </c>
      <c r="E889" s="9"/>
      <c r="F889" s="9"/>
      <c r="G889" s="9"/>
      <c r="H889" s="9"/>
      <c r="I889" s="9"/>
      <c r="J889" s="9"/>
      <c r="K889" s="9"/>
      <c r="L889" s="9"/>
      <c r="M889" s="9"/>
    </row>
    <row r="890" spans="1:13" ht="33.75">
      <c r="A890" s="15" t="s">
        <v>800</v>
      </c>
      <c r="B890" s="10" t="s">
        <v>23</v>
      </c>
      <c r="C890" s="10" t="s">
        <v>4</v>
      </c>
      <c r="D890" s="18" t="s">
        <v>801</v>
      </c>
      <c r="E890" s="9"/>
      <c r="F890" s="9"/>
      <c r="G890" s="9"/>
      <c r="H890" s="9"/>
      <c r="I890" s="9"/>
      <c r="J890" s="9"/>
      <c r="K890" s="20">
        <v>1</v>
      </c>
      <c r="L890" s="23">
        <v>0</v>
      </c>
      <c r="M890" s="17">
        <f>ROUND(K890*L890,2)</f>
        <v>0</v>
      </c>
    </row>
    <row r="891" spans="1:13">
      <c r="A891" s="9"/>
      <c r="B891" s="9"/>
      <c r="C891" s="9"/>
      <c r="D891" s="18" t="s">
        <v>802</v>
      </c>
      <c r="E891" s="9"/>
      <c r="F891" s="9"/>
      <c r="G891" s="9"/>
      <c r="H891" s="9"/>
      <c r="I891" s="9"/>
      <c r="J891" s="9"/>
      <c r="K891" s="9"/>
      <c r="L891" s="9"/>
      <c r="M891" s="9"/>
    </row>
    <row r="892" spans="1:13" ht="22.5">
      <c r="A892" s="15" t="s">
        <v>803</v>
      </c>
      <c r="B892" s="10" t="s">
        <v>23</v>
      </c>
      <c r="C892" s="10" t="s">
        <v>4</v>
      </c>
      <c r="D892" s="18" t="s">
        <v>804</v>
      </c>
      <c r="E892" s="9"/>
      <c r="F892" s="9"/>
      <c r="G892" s="9"/>
      <c r="H892" s="9"/>
      <c r="I892" s="9"/>
      <c r="J892" s="9"/>
      <c r="K892" s="16">
        <f>K895</f>
        <v>2</v>
      </c>
      <c r="L892" s="17">
        <f>L895</f>
        <v>0</v>
      </c>
      <c r="M892" s="17">
        <f>M895</f>
        <v>0</v>
      </c>
    </row>
    <row r="893" spans="1:13">
      <c r="A893" s="9"/>
      <c r="B893" s="9"/>
      <c r="C893" s="9"/>
      <c r="D893" s="18" t="s">
        <v>805</v>
      </c>
      <c r="E893" s="9"/>
      <c r="F893" s="9"/>
      <c r="G893" s="9"/>
      <c r="H893" s="9"/>
      <c r="I893" s="9"/>
      <c r="J893" s="9"/>
      <c r="K893" s="9"/>
      <c r="L893" s="9"/>
      <c r="M893" s="9"/>
    </row>
    <row r="894" spans="1:13">
      <c r="A894" s="9"/>
      <c r="B894" s="9"/>
      <c r="C894" s="10" t="s">
        <v>27</v>
      </c>
      <c r="D894" s="30"/>
      <c r="E894" s="10" t="s">
        <v>806</v>
      </c>
      <c r="F894" s="19">
        <v>2</v>
      </c>
      <c r="G894" s="20">
        <v>0</v>
      </c>
      <c r="H894" s="20">
        <v>0</v>
      </c>
      <c r="I894" s="20">
        <v>0</v>
      </c>
      <c r="J894" s="16">
        <f>OR(F894&lt;&gt;0,G894&lt;&gt;0,H894&lt;&gt;0,I894&lt;&gt;0)*(F894 + (F894 = 0))*(G894 + (G894 = 0))*(H894 + (H894 = 0))*(I894 + (I894 = 0))</f>
        <v>2</v>
      </c>
      <c r="K894" s="9"/>
      <c r="L894" s="9"/>
      <c r="M894" s="9"/>
    </row>
    <row r="895" spans="1:13">
      <c r="A895" s="9"/>
      <c r="B895" s="9"/>
      <c r="C895" s="9"/>
      <c r="D895" s="30"/>
      <c r="E895" s="9"/>
      <c r="F895" s="9"/>
      <c r="G895" s="9"/>
      <c r="H895" s="9"/>
      <c r="I895" s="9"/>
      <c r="J895" s="21" t="s">
        <v>807</v>
      </c>
      <c r="K895" s="22">
        <f>J894</f>
        <v>2</v>
      </c>
      <c r="L895" s="23">
        <v>0</v>
      </c>
      <c r="M895" s="24">
        <f>ROUND(K895*L895,2)</f>
        <v>0</v>
      </c>
    </row>
    <row r="896" spans="1:13" ht="0.95" customHeight="1">
      <c r="A896" s="25"/>
      <c r="B896" s="25"/>
      <c r="C896" s="25"/>
      <c r="D896" s="31"/>
      <c r="E896" s="25"/>
      <c r="F896" s="25"/>
      <c r="G896" s="25"/>
      <c r="H896" s="25"/>
      <c r="I896" s="25"/>
      <c r="J896" s="25"/>
      <c r="K896" s="25"/>
      <c r="L896" s="25"/>
      <c r="M896" s="25"/>
    </row>
    <row r="897" spans="1:13" ht="33.75">
      <c r="A897" s="15" t="s">
        <v>808</v>
      </c>
      <c r="B897" s="10" t="s">
        <v>23</v>
      </c>
      <c r="C897" s="10" t="s">
        <v>4</v>
      </c>
      <c r="D897" s="18" t="s">
        <v>809</v>
      </c>
      <c r="E897" s="9"/>
      <c r="F897" s="9"/>
      <c r="G897" s="9"/>
      <c r="H897" s="9"/>
      <c r="I897" s="9"/>
      <c r="J897" s="9"/>
      <c r="K897" s="16">
        <f>K900</f>
        <v>1</v>
      </c>
      <c r="L897" s="17">
        <f>L900</f>
        <v>0</v>
      </c>
      <c r="M897" s="17">
        <f>M900</f>
        <v>0</v>
      </c>
    </row>
    <row r="898" spans="1:13">
      <c r="A898" s="9"/>
      <c r="B898" s="9"/>
      <c r="C898" s="9"/>
      <c r="D898" s="18" t="s">
        <v>810</v>
      </c>
      <c r="E898" s="9"/>
      <c r="F898" s="9"/>
      <c r="G898" s="9"/>
      <c r="H898" s="9"/>
      <c r="I898" s="9"/>
      <c r="J898" s="9"/>
      <c r="K898" s="9"/>
      <c r="L898" s="9"/>
      <c r="M898" s="9"/>
    </row>
    <row r="899" spans="1:13">
      <c r="A899" s="9"/>
      <c r="B899" s="9"/>
      <c r="C899" s="10" t="s">
        <v>27</v>
      </c>
      <c r="D899" s="30"/>
      <c r="E899" s="10" t="s">
        <v>17</v>
      </c>
      <c r="F899" s="19">
        <v>1</v>
      </c>
      <c r="G899" s="20">
        <v>0</v>
      </c>
      <c r="H899" s="20">
        <v>0</v>
      </c>
      <c r="I899" s="20">
        <v>0</v>
      </c>
      <c r="J899" s="16">
        <f>OR(F899&lt;&gt;0,G899&lt;&gt;0,H899&lt;&gt;0,I899&lt;&gt;0)*(F899 + (F899 = 0))*(G899 + (G899 = 0))*(H899 + (H899 = 0))*(I899 + (I899 = 0))</f>
        <v>1</v>
      </c>
      <c r="K899" s="9"/>
      <c r="L899" s="9"/>
      <c r="M899" s="9"/>
    </row>
    <row r="900" spans="1:13">
      <c r="A900" s="9"/>
      <c r="B900" s="9"/>
      <c r="C900" s="9"/>
      <c r="D900" s="30"/>
      <c r="E900" s="9"/>
      <c r="F900" s="9"/>
      <c r="G900" s="9"/>
      <c r="H900" s="9"/>
      <c r="I900" s="9"/>
      <c r="J900" s="21" t="s">
        <v>811</v>
      </c>
      <c r="K900" s="22">
        <f>J899</f>
        <v>1</v>
      </c>
      <c r="L900" s="23">
        <v>0</v>
      </c>
      <c r="M900" s="24">
        <f>ROUND(K900*L900,2)</f>
        <v>0</v>
      </c>
    </row>
    <row r="901" spans="1:13" ht="0.95" customHeight="1">
      <c r="A901" s="25"/>
      <c r="B901" s="25"/>
      <c r="C901" s="25"/>
      <c r="D901" s="31"/>
      <c r="E901" s="25"/>
      <c r="F901" s="25"/>
      <c r="G901" s="25"/>
      <c r="H901" s="25"/>
      <c r="I901" s="25"/>
      <c r="J901" s="25"/>
      <c r="K901" s="25"/>
      <c r="L901" s="25"/>
      <c r="M901" s="25"/>
    </row>
    <row r="902" spans="1:13">
      <c r="A902" s="15" t="s">
        <v>812</v>
      </c>
      <c r="B902" s="10" t="s">
        <v>23</v>
      </c>
      <c r="C902" s="10" t="s">
        <v>94</v>
      </c>
      <c r="D902" s="18" t="s">
        <v>813</v>
      </c>
      <c r="E902" s="9"/>
      <c r="F902" s="9"/>
      <c r="G902" s="9"/>
      <c r="H902" s="9"/>
      <c r="I902" s="9"/>
      <c r="J902" s="9"/>
      <c r="K902" s="20">
        <v>8.85</v>
      </c>
      <c r="L902" s="23">
        <v>0</v>
      </c>
      <c r="M902" s="17">
        <f>ROUND(K902*L902,2)</f>
        <v>0</v>
      </c>
    </row>
    <row r="903" spans="1:13">
      <c r="A903" s="9"/>
      <c r="B903" s="9"/>
      <c r="C903" s="9"/>
      <c r="D903" s="18" t="s">
        <v>814</v>
      </c>
      <c r="E903" s="9"/>
      <c r="F903" s="9"/>
      <c r="G903" s="9"/>
      <c r="H903" s="9"/>
      <c r="I903" s="9"/>
      <c r="J903" s="9"/>
      <c r="K903" s="9"/>
      <c r="L903" s="9"/>
      <c r="M903" s="9"/>
    </row>
    <row r="904" spans="1:13">
      <c r="A904" s="15" t="s">
        <v>815</v>
      </c>
      <c r="B904" s="10" t="s">
        <v>23</v>
      </c>
      <c r="C904" s="10" t="s">
        <v>4</v>
      </c>
      <c r="D904" s="18" t="s">
        <v>816</v>
      </c>
      <c r="E904" s="9"/>
      <c r="F904" s="9"/>
      <c r="G904" s="9"/>
      <c r="H904" s="9"/>
      <c r="I904" s="9"/>
      <c r="J904" s="9"/>
      <c r="K904" s="16">
        <f>K910</f>
        <v>4</v>
      </c>
      <c r="L904" s="17">
        <f>L910</f>
        <v>0</v>
      </c>
      <c r="M904" s="17">
        <f>M910</f>
        <v>0</v>
      </c>
    </row>
    <row r="905" spans="1:13">
      <c r="A905" s="9"/>
      <c r="B905" s="9"/>
      <c r="C905" s="9"/>
      <c r="D905" s="18" t="s">
        <v>817</v>
      </c>
      <c r="E905" s="9"/>
      <c r="F905" s="9"/>
      <c r="G905" s="9"/>
      <c r="H905" s="9"/>
      <c r="I905" s="9"/>
      <c r="J905" s="9"/>
      <c r="K905" s="9"/>
      <c r="L905" s="9"/>
      <c r="M905" s="9"/>
    </row>
    <row r="906" spans="1:13">
      <c r="A906" s="9"/>
      <c r="B906" s="9"/>
      <c r="C906" s="10" t="s">
        <v>27</v>
      </c>
      <c r="D906" s="30"/>
      <c r="E906" s="10" t="s">
        <v>818</v>
      </c>
      <c r="F906" s="19">
        <v>1</v>
      </c>
      <c r="G906" s="20">
        <v>0</v>
      </c>
      <c r="H906" s="20">
        <v>0</v>
      </c>
      <c r="I906" s="20">
        <v>0</v>
      </c>
      <c r="J906" s="16">
        <f>OR(F906&lt;&gt;0,G906&lt;&gt;0,H906&lt;&gt;0,I906&lt;&gt;0)*(F906 + (F906 = 0))*(G906 + (G906 = 0))*(H906 + (H906 = 0))*(I906 + (I906 = 0))</f>
        <v>1</v>
      </c>
      <c r="K906" s="9"/>
      <c r="L906" s="9"/>
      <c r="M906" s="9"/>
    </row>
    <row r="907" spans="1:13">
      <c r="A907" s="9"/>
      <c r="B907" s="9"/>
      <c r="C907" s="10" t="s">
        <v>27</v>
      </c>
      <c r="D907" s="30"/>
      <c r="E907" s="10" t="s">
        <v>819</v>
      </c>
      <c r="F907" s="19">
        <v>1</v>
      </c>
      <c r="G907" s="20">
        <v>0</v>
      </c>
      <c r="H907" s="20">
        <v>0</v>
      </c>
      <c r="I907" s="20">
        <v>0</v>
      </c>
      <c r="J907" s="16">
        <f>OR(F907&lt;&gt;0,G907&lt;&gt;0,H907&lt;&gt;0,I907&lt;&gt;0)*(F907 + (F907 = 0))*(G907 + (G907 = 0))*(H907 + (H907 = 0))*(I907 + (I907 = 0))</f>
        <v>1</v>
      </c>
      <c r="K907" s="9"/>
      <c r="L907" s="9"/>
      <c r="M907" s="9"/>
    </row>
    <row r="908" spans="1:13">
      <c r="A908" s="9"/>
      <c r="B908" s="9"/>
      <c r="C908" s="10" t="s">
        <v>27</v>
      </c>
      <c r="D908" s="30"/>
      <c r="E908" s="10" t="s">
        <v>820</v>
      </c>
      <c r="F908" s="19">
        <v>1</v>
      </c>
      <c r="G908" s="20">
        <v>0</v>
      </c>
      <c r="H908" s="20">
        <v>0</v>
      </c>
      <c r="I908" s="20">
        <v>0</v>
      </c>
      <c r="J908" s="16">
        <f>OR(F908&lt;&gt;0,G908&lt;&gt;0,H908&lt;&gt;0,I908&lt;&gt;0)*(F908 + (F908 = 0))*(G908 + (G908 = 0))*(H908 + (H908 = 0))*(I908 + (I908 = 0))</f>
        <v>1</v>
      </c>
      <c r="K908" s="9"/>
      <c r="L908" s="9"/>
      <c r="M908" s="9"/>
    </row>
    <row r="909" spans="1:13">
      <c r="A909" s="9"/>
      <c r="B909" s="9"/>
      <c r="C909" s="10" t="s">
        <v>27</v>
      </c>
      <c r="D909" s="30"/>
      <c r="E909" s="10" t="s">
        <v>821</v>
      </c>
      <c r="F909" s="19">
        <v>1</v>
      </c>
      <c r="G909" s="20">
        <v>0</v>
      </c>
      <c r="H909" s="20">
        <v>0</v>
      </c>
      <c r="I909" s="20">
        <v>0</v>
      </c>
      <c r="J909" s="16">
        <f>OR(F909&lt;&gt;0,G909&lt;&gt;0,H909&lt;&gt;0,I909&lt;&gt;0)*(F909 + (F909 = 0))*(G909 + (G909 = 0))*(H909 + (H909 = 0))*(I909 + (I909 = 0))</f>
        <v>1</v>
      </c>
      <c r="K909" s="9"/>
      <c r="L909" s="9"/>
      <c r="M909" s="9"/>
    </row>
    <row r="910" spans="1:13">
      <c r="A910" s="9"/>
      <c r="B910" s="9"/>
      <c r="C910" s="9"/>
      <c r="D910" s="30"/>
      <c r="E910" s="9"/>
      <c r="F910" s="9"/>
      <c r="G910" s="9"/>
      <c r="H910" s="9"/>
      <c r="I910" s="9"/>
      <c r="J910" s="21" t="s">
        <v>822</v>
      </c>
      <c r="K910" s="22">
        <f>SUM(J906:J909)</f>
        <v>4</v>
      </c>
      <c r="L910" s="23">
        <v>0</v>
      </c>
      <c r="M910" s="24">
        <f>ROUND(K910*L910,2)</f>
        <v>0</v>
      </c>
    </row>
    <row r="911" spans="1:13" ht="0.95" customHeight="1">
      <c r="A911" s="25"/>
      <c r="B911" s="25"/>
      <c r="C911" s="25"/>
      <c r="D911" s="31"/>
      <c r="E911" s="25"/>
      <c r="F911" s="25"/>
      <c r="G911" s="25"/>
      <c r="H911" s="25"/>
      <c r="I911" s="25"/>
      <c r="J911" s="25"/>
      <c r="K911" s="25"/>
      <c r="L911" s="25"/>
      <c r="M911" s="25"/>
    </row>
    <row r="912" spans="1:13" ht="33.75">
      <c r="A912" s="15" t="s">
        <v>823</v>
      </c>
      <c r="B912" s="10" t="s">
        <v>23</v>
      </c>
      <c r="C912" s="10" t="s">
        <v>66</v>
      </c>
      <c r="D912" s="18" t="s">
        <v>824</v>
      </c>
      <c r="E912" s="9"/>
      <c r="F912" s="9"/>
      <c r="G912" s="9"/>
      <c r="H912" s="9"/>
      <c r="I912" s="9"/>
      <c r="J912" s="9"/>
      <c r="K912" s="16">
        <f>K916</f>
        <v>10.83</v>
      </c>
      <c r="L912" s="17">
        <f>L916</f>
        <v>0</v>
      </c>
      <c r="M912" s="17">
        <f>M916</f>
        <v>0</v>
      </c>
    </row>
    <row r="913" spans="1:13">
      <c r="A913" s="9"/>
      <c r="B913" s="9"/>
      <c r="C913" s="9"/>
      <c r="D913" s="18" t="s">
        <v>825</v>
      </c>
      <c r="E913" s="9"/>
      <c r="F913" s="9"/>
      <c r="G913" s="9"/>
      <c r="H913" s="9"/>
      <c r="I913" s="9"/>
      <c r="J913" s="9"/>
      <c r="K913" s="9"/>
      <c r="L913" s="9"/>
      <c r="M913" s="9"/>
    </row>
    <row r="914" spans="1:13">
      <c r="A914" s="9"/>
      <c r="B914" s="9"/>
      <c r="C914" s="10" t="s">
        <v>27</v>
      </c>
      <c r="D914" s="30"/>
      <c r="E914" s="10" t="s">
        <v>826</v>
      </c>
      <c r="F914" s="19">
        <v>1</v>
      </c>
      <c r="G914" s="20">
        <v>1.22</v>
      </c>
      <c r="H914" s="20">
        <v>0</v>
      </c>
      <c r="I914" s="20">
        <v>0</v>
      </c>
      <c r="J914" s="16">
        <f>OR(F914&lt;&gt;0,G914&lt;&gt;0,H914&lt;&gt;0,I914&lt;&gt;0)*(F914 + (F914 = 0))*(G914 + (G914 = 0))*(H914 + (H914 = 0))*(I914 + (I914 = 0))</f>
        <v>1.22</v>
      </c>
      <c r="K914" s="9"/>
      <c r="L914" s="9"/>
      <c r="M914" s="9"/>
    </row>
    <row r="915" spans="1:13">
      <c r="A915" s="9"/>
      <c r="B915" s="9"/>
      <c r="C915" s="10" t="s">
        <v>27</v>
      </c>
      <c r="D915" s="30"/>
      <c r="E915" s="10" t="s">
        <v>827</v>
      </c>
      <c r="F915" s="19">
        <v>1</v>
      </c>
      <c r="G915" s="20">
        <v>9.61</v>
      </c>
      <c r="H915" s="20">
        <v>0</v>
      </c>
      <c r="I915" s="20">
        <v>0</v>
      </c>
      <c r="J915" s="16">
        <f>OR(F915&lt;&gt;0,G915&lt;&gt;0,H915&lt;&gt;0,I915&lt;&gt;0)*(F915 + (F915 = 0))*(G915 + (G915 = 0))*(H915 + (H915 = 0))*(I915 + (I915 = 0))</f>
        <v>9.61</v>
      </c>
      <c r="K915" s="9"/>
      <c r="L915" s="9"/>
      <c r="M915" s="9"/>
    </row>
    <row r="916" spans="1:13">
      <c r="A916" s="9"/>
      <c r="B916" s="9"/>
      <c r="C916" s="9"/>
      <c r="D916" s="30"/>
      <c r="E916" s="9"/>
      <c r="F916" s="9"/>
      <c r="G916" s="9"/>
      <c r="H916" s="9"/>
      <c r="I916" s="9"/>
      <c r="J916" s="21" t="s">
        <v>828</v>
      </c>
      <c r="K916" s="22">
        <f>SUM(J914:J915)</f>
        <v>10.83</v>
      </c>
      <c r="L916" s="23">
        <v>0</v>
      </c>
      <c r="M916" s="24">
        <f>ROUND(K916*L916,2)</f>
        <v>0</v>
      </c>
    </row>
    <row r="917" spans="1:13" ht="0.95" customHeight="1">
      <c r="A917" s="25"/>
      <c r="B917" s="25"/>
      <c r="C917" s="25"/>
      <c r="D917" s="31"/>
      <c r="E917" s="25"/>
      <c r="F917" s="25"/>
      <c r="G917" s="25"/>
      <c r="H917" s="25"/>
      <c r="I917" s="25"/>
      <c r="J917" s="25"/>
      <c r="K917" s="25"/>
      <c r="L917" s="25"/>
      <c r="M917" s="25"/>
    </row>
    <row r="918" spans="1:13" ht="33.75">
      <c r="A918" s="15" t="s">
        <v>829</v>
      </c>
      <c r="B918" s="10" t="s">
        <v>23</v>
      </c>
      <c r="C918" s="10" t="s">
        <v>66</v>
      </c>
      <c r="D918" s="18" t="s">
        <v>824</v>
      </c>
      <c r="E918" s="9"/>
      <c r="F918" s="9"/>
      <c r="G918" s="9"/>
      <c r="H918" s="9"/>
      <c r="I918" s="9"/>
      <c r="J918" s="9"/>
      <c r="K918" s="16">
        <f>K922</f>
        <v>13.99</v>
      </c>
      <c r="L918" s="17">
        <f>L922</f>
        <v>0</v>
      </c>
      <c r="M918" s="17">
        <f>M922</f>
        <v>0</v>
      </c>
    </row>
    <row r="919" spans="1:13">
      <c r="A919" s="9"/>
      <c r="B919" s="9"/>
      <c r="C919" s="9"/>
      <c r="D919" s="18" t="s">
        <v>830</v>
      </c>
      <c r="E919" s="9"/>
      <c r="F919" s="9"/>
      <c r="G919" s="9"/>
      <c r="H919" s="9"/>
      <c r="I919" s="9"/>
      <c r="J919" s="9"/>
      <c r="K919" s="9"/>
      <c r="L919" s="9"/>
      <c r="M919" s="9"/>
    </row>
    <row r="920" spans="1:13">
      <c r="A920" s="9"/>
      <c r="B920" s="9"/>
      <c r="C920" s="10" t="s">
        <v>27</v>
      </c>
      <c r="D920" s="30"/>
      <c r="E920" s="10" t="s">
        <v>827</v>
      </c>
      <c r="F920" s="19">
        <v>1</v>
      </c>
      <c r="G920" s="20">
        <v>8.9</v>
      </c>
      <c r="H920" s="20">
        <v>0</v>
      </c>
      <c r="I920" s="20">
        <v>0</v>
      </c>
      <c r="J920" s="16">
        <f>OR(F920&lt;&gt;0,G920&lt;&gt;0,H920&lt;&gt;0,I920&lt;&gt;0)*(F920 + (F920 = 0))*(G920 + (G920 = 0))*(H920 + (H920 = 0))*(I920 + (I920 = 0))</f>
        <v>8.9</v>
      </c>
      <c r="K920" s="9"/>
      <c r="L920" s="9"/>
      <c r="M920" s="9"/>
    </row>
    <row r="921" spans="1:13">
      <c r="A921" s="9"/>
      <c r="B921" s="9"/>
      <c r="C921" s="10" t="s">
        <v>27</v>
      </c>
      <c r="D921" s="30"/>
      <c r="E921" s="10" t="s">
        <v>831</v>
      </c>
      <c r="F921" s="19">
        <v>1</v>
      </c>
      <c r="G921" s="20">
        <v>5.09</v>
      </c>
      <c r="H921" s="20">
        <v>0</v>
      </c>
      <c r="I921" s="20">
        <v>0</v>
      </c>
      <c r="J921" s="16">
        <f>OR(F921&lt;&gt;0,G921&lt;&gt;0,H921&lt;&gt;0,I921&lt;&gt;0)*(F921 + (F921 = 0))*(G921 + (G921 = 0))*(H921 + (H921 = 0))*(I921 + (I921 = 0))</f>
        <v>5.09</v>
      </c>
      <c r="K921" s="9"/>
      <c r="L921" s="9"/>
      <c r="M921" s="9"/>
    </row>
    <row r="922" spans="1:13">
      <c r="A922" s="9"/>
      <c r="B922" s="9"/>
      <c r="C922" s="9"/>
      <c r="D922" s="30"/>
      <c r="E922" s="9"/>
      <c r="F922" s="9"/>
      <c r="G922" s="9"/>
      <c r="H922" s="9"/>
      <c r="I922" s="9"/>
      <c r="J922" s="21" t="s">
        <v>832</v>
      </c>
      <c r="K922" s="22">
        <f>SUM(J920:J921)</f>
        <v>13.99</v>
      </c>
      <c r="L922" s="23">
        <v>0</v>
      </c>
      <c r="M922" s="24">
        <f>ROUND(K922*L922,2)</f>
        <v>0</v>
      </c>
    </row>
    <row r="923" spans="1:13" ht="0.95" customHeight="1">
      <c r="A923" s="25"/>
      <c r="B923" s="25"/>
      <c r="C923" s="25"/>
      <c r="D923" s="31"/>
      <c r="E923" s="25"/>
      <c r="F923" s="25"/>
      <c r="G923" s="25"/>
      <c r="H923" s="25"/>
      <c r="I923" s="25"/>
      <c r="J923" s="25"/>
      <c r="K923" s="25"/>
      <c r="L923" s="25"/>
      <c r="M923" s="25"/>
    </row>
    <row r="924" spans="1:13" ht="33.75">
      <c r="A924" s="15" t="s">
        <v>833</v>
      </c>
      <c r="B924" s="10" t="s">
        <v>23</v>
      </c>
      <c r="C924" s="10" t="s">
        <v>66</v>
      </c>
      <c r="D924" s="18" t="s">
        <v>824</v>
      </c>
      <c r="E924" s="9"/>
      <c r="F924" s="9"/>
      <c r="G924" s="9"/>
      <c r="H924" s="9"/>
      <c r="I924" s="9"/>
      <c r="J924" s="9"/>
      <c r="K924" s="16">
        <f>K927</f>
        <v>16.02</v>
      </c>
      <c r="L924" s="17">
        <f>L927</f>
        <v>0</v>
      </c>
      <c r="M924" s="17">
        <f>M927</f>
        <v>0</v>
      </c>
    </row>
    <row r="925" spans="1:13">
      <c r="A925" s="9"/>
      <c r="B925" s="9"/>
      <c r="C925" s="9"/>
      <c r="D925" s="18" t="s">
        <v>834</v>
      </c>
      <c r="E925" s="9"/>
      <c r="F925" s="9"/>
      <c r="G925" s="9"/>
      <c r="H925" s="9"/>
      <c r="I925" s="9"/>
      <c r="J925" s="9"/>
      <c r="K925" s="9"/>
      <c r="L925" s="9"/>
      <c r="M925" s="9"/>
    </row>
    <row r="926" spans="1:13">
      <c r="A926" s="9"/>
      <c r="B926" s="9"/>
      <c r="C926" s="10" t="s">
        <v>27</v>
      </c>
      <c r="D926" s="30"/>
      <c r="E926" s="10" t="s">
        <v>826</v>
      </c>
      <c r="F926" s="19">
        <v>1</v>
      </c>
      <c r="G926" s="20">
        <v>16.02</v>
      </c>
      <c r="H926" s="20">
        <v>0</v>
      </c>
      <c r="I926" s="20">
        <v>0</v>
      </c>
      <c r="J926" s="16">
        <f>OR(F926&lt;&gt;0,G926&lt;&gt;0,H926&lt;&gt;0,I926&lt;&gt;0)*(F926 + (F926 = 0))*(G926 + (G926 = 0))*(H926 + (H926 = 0))*(I926 + (I926 = 0))</f>
        <v>16.02</v>
      </c>
      <c r="K926" s="9"/>
      <c r="L926" s="9"/>
      <c r="M926" s="9"/>
    </row>
    <row r="927" spans="1:13">
      <c r="A927" s="9"/>
      <c r="B927" s="9"/>
      <c r="C927" s="9"/>
      <c r="D927" s="30"/>
      <c r="E927" s="9"/>
      <c r="F927" s="9"/>
      <c r="G927" s="9"/>
      <c r="H927" s="9"/>
      <c r="I927" s="9"/>
      <c r="J927" s="21" t="s">
        <v>835</v>
      </c>
      <c r="K927" s="22">
        <f>J926</f>
        <v>16.02</v>
      </c>
      <c r="L927" s="23">
        <v>0</v>
      </c>
      <c r="M927" s="24">
        <f>ROUND(K927*L927,2)</f>
        <v>0</v>
      </c>
    </row>
    <row r="928" spans="1:13" ht="0.95" customHeight="1">
      <c r="A928" s="25"/>
      <c r="B928" s="25"/>
      <c r="C928" s="25"/>
      <c r="D928" s="31"/>
      <c r="E928" s="25"/>
      <c r="F928" s="25"/>
      <c r="G928" s="25"/>
      <c r="H928" s="25"/>
      <c r="I928" s="25"/>
      <c r="J928" s="25"/>
      <c r="K928" s="25"/>
      <c r="L928" s="25"/>
      <c r="M928" s="25"/>
    </row>
    <row r="929" spans="1:13" ht="33.75">
      <c r="A929" s="15" t="s">
        <v>836</v>
      </c>
      <c r="B929" s="10" t="s">
        <v>23</v>
      </c>
      <c r="C929" s="10" t="s">
        <v>66</v>
      </c>
      <c r="D929" s="18" t="s">
        <v>824</v>
      </c>
      <c r="E929" s="9"/>
      <c r="F929" s="9"/>
      <c r="G929" s="9"/>
      <c r="H929" s="9"/>
      <c r="I929" s="9"/>
      <c r="J929" s="9"/>
      <c r="K929" s="16">
        <f>K932</f>
        <v>4.3499999999999996</v>
      </c>
      <c r="L929" s="17">
        <f>L932</f>
        <v>0</v>
      </c>
      <c r="M929" s="17">
        <f>M932</f>
        <v>0</v>
      </c>
    </row>
    <row r="930" spans="1:13">
      <c r="A930" s="9"/>
      <c r="B930" s="9"/>
      <c r="C930" s="9"/>
      <c r="D930" s="18" t="s">
        <v>837</v>
      </c>
      <c r="E930" s="9"/>
      <c r="F930" s="9"/>
      <c r="G930" s="9"/>
      <c r="H930" s="9"/>
      <c r="I930" s="9"/>
      <c r="J930" s="9"/>
      <c r="K930" s="9"/>
      <c r="L930" s="9"/>
      <c r="M930" s="9"/>
    </row>
    <row r="931" spans="1:13">
      <c r="A931" s="9"/>
      <c r="B931" s="9"/>
      <c r="C931" s="10" t="s">
        <v>27</v>
      </c>
      <c r="D931" s="30"/>
      <c r="E931" s="10" t="s">
        <v>826</v>
      </c>
      <c r="F931" s="19">
        <v>1</v>
      </c>
      <c r="G931" s="20">
        <v>4.3499999999999996</v>
      </c>
      <c r="H931" s="20">
        <v>0</v>
      </c>
      <c r="I931" s="20">
        <v>0</v>
      </c>
      <c r="J931" s="16">
        <f>OR(F931&lt;&gt;0,G931&lt;&gt;0,H931&lt;&gt;0,I931&lt;&gt;0)*(F931 + (F931 = 0))*(G931 + (G931 = 0))*(H931 + (H931 = 0))*(I931 + (I931 = 0))</f>
        <v>4.3499999999999996</v>
      </c>
      <c r="K931" s="9"/>
      <c r="L931" s="9"/>
      <c r="M931" s="9"/>
    </row>
    <row r="932" spans="1:13">
      <c r="A932" s="9"/>
      <c r="B932" s="9"/>
      <c r="C932" s="9"/>
      <c r="D932" s="30"/>
      <c r="E932" s="9"/>
      <c r="F932" s="9"/>
      <c r="G932" s="9"/>
      <c r="H932" s="9"/>
      <c r="I932" s="9"/>
      <c r="J932" s="21" t="s">
        <v>838</v>
      </c>
      <c r="K932" s="22">
        <f>J931</f>
        <v>4.3499999999999996</v>
      </c>
      <c r="L932" s="23">
        <v>0</v>
      </c>
      <c r="M932" s="24">
        <f>ROUND(K932*L932,2)</f>
        <v>0</v>
      </c>
    </row>
    <row r="933" spans="1:13" ht="0.95" customHeight="1">
      <c r="A933" s="25"/>
      <c r="B933" s="25"/>
      <c r="C933" s="25"/>
      <c r="D933" s="31"/>
      <c r="E933" s="25"/>
      <c r="F933" s="25"/>
      <c r="G933" s="25"/>
      <c r="H933" s="25"/>
      <c r="I933" s="25"/>
      <c r="J933" s="25"/>
      <c r="K933" s="25"/>
      <c r="L933" s="25"/>
      <c r="M933" s="25"/>
    </row>
    <row r="934" spans="1:13" ht="33.75">
      <c r="A934" s="15" t="s">
        <v>839</v>
      </c>
      <c r="B934" s="10" t="s">
        <v>23</v>
      </c>
      <c r="C934" s="10" t="s">
        <v>66</v>
      </c>
      <c r="D934" s="18" t="s">
        <v>824</v>
      </c>
      <c r="E934" s="9"/>
      <c r="F934" s="9"/>
      <c r="G934" s="9"/>
      <c r="H934" s="9"/>
      <c r="I934" s="9"/>
      <c r="J934" s="9"/>
      <c r="K934" s="16">
        <f>K937</f>
        <v>2.99</v>
      </c>
      <c r="L934" s="17">
        <f>L937</f>
        <v>0</v>
      </c>
      <c r="M934" s="17">
        <f>M937</f>
        <v>0</v>
      </c>
    </row>
    <row r="935" spans="1:13">
      <c r="A935" s="9"/>
      <c r="B935" s="9"/>
      <c r="C935" s="9"/>
      <c r="D935" s="18" t="s">
        <v>840</v>
      </c>
      <c r="E935" s="9"/>
      <c r="F935" s="9"/>
      <c r="G935" s="9"/>
      <c r="H935" s="9"/>
      <c r="I935" s="9"/>
      <c r="J935" s="9"/>
      <c r="K935" s="9"/>
      <c r="L935" s="9"/>
      <c r="M935" s="9"/>
    </row>
    <row r="936" spans="1:13">
      <c r="A936" s="9"/>
      <c r="B936" s="9"/>
      <c r="C936" s="10" t="s">
        <v>27</v>
      </c>
      <c r="D936" s="30"/>
      <c r="E936" s="10" t="s">
        <v>826</v>
      </c>
      <c r="F936" s="19">
        <v>1</v>
      </c>
      <c r="G936" s="20">
        <v>2.99</v>
      </c>
      <c r="H936" s="20">
        <v>0</v>
      </c>
      <c r="I936" s="20">
        <v>0</v>
      </c>
      <c r="J936" s="16">
        <f>OR(F936&lt;&gt;0,G936&lt;&gt;0,H936&lt;&gt;0,I936&lt;&gt;0)*(F936 + (F936 = 0))*(G936 + (G936 = 0))*(H936 + (H936 = 0))*(I936 + (I936 = 0))</f>
        <v>2.99</v>
      </c>
      <c r="K936" s="9"/>
      <c r="L936" s="9"/>
      <c r="M936" s="9"/>
    </row>
    <row r="937" spans="1:13">
      <c r="A937" s="9"/>
      <c r="B937" s="9"/>
      <c r="C937" s="9"/>
      <c r="D937" s="30"/>
      <c r="E937" s="9"/>
      <c r="F937" s="9"/>
      <c r="G937" s="9"/>
      <c r="H937" s="9"/>
      <c r="I937" s="9"/>
      <c r="J937" s="21" t="s">
        <v>841</v>
      </c>
      <c r="K937" s="22">
        <f>J936</f>
        <v>2.99</v>
      </c>
      <c r="L937" s="23">
        <v>0</v>
      </c>
      <c r="M937" s="24">
        <f>ROUND(K937*L937,2)</f>
        <v>0</v>
      </c>
    </row>
    <row r="938" spans="1:13" ht="0.95" customHeight="1">
      <c r="A938" s="25"/>
      <c r="B938" s="25"/>
      <c r="C938" s="25"/>
      <c r="D938" s="31"/>
      <c r="E938" s="25"/>
      <c r="F938" s="25"/>
      <c r="G938" s="25"/>
      <c r="H938" s="25"/>
      <c r="I938" s="25"/>
      <c r="J938" s="25"/>
      <c r="K938" s="25"/>
      <c r="L938" s="25"/>
      <c r="M938" s="25"/>
    </row>
    <row r="939" spans="1:13" ht="33.75">
      <c r="A939" s="15" t="s">
        <v>842</v>
      </c>
      <c r="B939" s="10" t="s">
        <v>23</v>
      </c>
      <c r="C939" s="10" t="s">
        <v>4</v>
      </c>
      <c r="D939" s="18" t="s">
        <v>843</v>
      </c>
      <c r="E939" s="9"/>
      <c r="F939" s="9"/>
      <c r="G939" s="9"/>
      <c r="H939" s="9"/>
      <c r="I939" s="9"/>
      <c r="J939" s="9"/>
      <c r="K939" s="20">
        <v>1</v>
      </c>
      <c r="L939" s="23">
        <v>0</v>
      </c>
      <c r="M939" s="17">
        <f>ROUND(K939*L939,2)</f>
        <v>0</v>
      </c>
    </row>
    <row r="940" spans="1:13">
      <c r="A940" s="9"/>
      <c r="B940" s="9"/>
      <c r="C940" s="9"/>
      <c r="D940" s="18" t="s">
        <v>844</v>
      </c>
      <c r="E940" s="9"/>
      <c r="F940" s="9"/>
      <c r="G940" s="9"/>
      <c r="H940" s="9"/>
      <c r="I940" s="9"/>
      <c r="J940" s="9"/>
      <c r="K940" s="9"/>
      <c r="L940" s="9"/>
      <c r="M940" s="9"/>
    </row>
    <row r="941" spans="1:13">
      <c r="A941" s="9"/>
      <c r="B941" s="9"/>
      <c r="C941" s="9"/>
      <c r="D941" s="30"/>
      <c r="E941" s="9"/>
      <c r="F941" s="9"/>
      <c r="G941" s="9"/>
      <c r="H941" s="9"/>
      <c r="I941" s="9"/>
      <c r="J941" s="21" t="s">
        <v>845</v>
      </c>
      <c r="K941" s="20">
        <v>1</v>
      </c>
      <c r="L941" s="24">
        <f>M846+M851+M857+M859+M864+M866+M868+M873+M878+M883+M888+M890+M892+M897+M902+M904+M912+M918+M924+M929+M934+M939</f>
        <v>0</v>
      </c>
      <c r="M941" s="24">
        <f>ROUND(K941*L941,2)</f>
        <v>0</v>
      </c>
    </row>
    <row r="942" spans="1:13" ht="0.95" customHeight="1">
      <c r="A942" s="25"/>
      <c r="B942" s="25"/>
      <c r="C942" s="25"/>
      <c r="D942" s="31"/>
      <c r="E942" s="25"/>
      <c r="F942" s="25"/>
      <c r="G942" s="25"/>
      <c r="H942" s="25"/>
      <c r="I942" s="25"/>
      <c r="J942" s="25"/>
      <c r="K942" s="25"/>
      <c r="L942" s="25"/>
      <c r="M942" s="25"/>
    </row>
    <row r="943" spans="1:13">
      <c r="A943" s="11" t="s">
        <v>846</v>
      </c>
      <c r="B943" s="11" t="s">
        <v>16</v>
      </c>
      <c r="C943" s="11" t="s">
        <v>17</v>
      </c>
      <c r="D943" s="29" t="s">
        <v>847</v>
      </c>
      <c r="E943" s="12"/>
      <c r="F943" s="12"/>
      <c r="G943" s="12"/>
      <c r="H943" s="12"/>
      <c r="I943" s="12"/>
      <c r="J943" s="12"/>
      <c r="K943" s="13">
        <f>K1026</f>
        <v>1</v>
      </c>
      <c r="L943" s="14">
        <f>L1026</f>
        <v>0</v>
      </c>
      <c r="M943" s="14">
        <f>M1026</f>
        <v>0</v>
      </c>
    </row>
    <row r="944" spans="1:13" ht="33.75">
      <c r="A944" s="15" t="s">
        <v>848</v>
      </c>
      <c r="B944" s="10" t="s">
        <v>23</v>
      </c>
      <c r="C944" s="10" t="s">
        <v>4</v>
      </c>
      <c r="D944" s="18" t="s">
        <v>849</v>
      </c>
      <c r="E944" s="9"/>
      <c r="F944" s="9"/>
      <c r="G944" s="9"/>
      <c r="H944" s="9"/>
      <c r="I944" s="9"/>
      <c r="J944" s="9"/>
      <c r="K944" s="20">
        <v>1</v>
      </c>
      <c r="L944" s="23">
        <v>0</v>
      </c>
      <c r="M944" s="17">
        <f>ROUND(K944*L944,2)</f>
        <v>0</v>
      </c>
    </row>
    <row r="945" spans="1:13">
      <c r="A945" s="9"/>
      <c r="B945" s="9"/>
      <c r="C945" s="9"/>
      <c r="D945" s="18" t="s">
        <v>850</v>
      </c>
      <c r="E945" s="9"/>
      <c r="F945" s="9"/>
      <c r="G945" s="9"/>
      <c r="H945" s="9"/>
      <c r="I945" s="9"/>
      <c r="J945" s="9"/>
      <c r="K945" s="9"/>
      <c r="L945" s="9"/>
      <c r="M945" s="9"/>
    </row>
    <row r="946" spans="1:13">
      <c r="A946" s="15" t="s">
        <v>851</v>
      </c>
      <c r="B946" s="10" t="s">
        <v>23</v>
      </c>
      <c r="C946" s="10" t="s">
        <v>4</v>
      </c>
      <c r="D946" s="18" t="s">
        <v>852</v>
      </c>
      <c r="E946" s="9"/>
      <c r="F946" s="9"/>
      <c r="G946" s="9"/>
      <c r="H946" s="9"/>
      <c r="I946" s="9"/>
      <c r="J946" s="9"/>
      <c r="K946" s="20">
        <v>2</v>
      </c>
      <c r="L946" s="23">
        <v>0</v>
      </c>
      <c r="M946" s="17">
        <f>ROUND(K946*L946,2)</f>
        <v>0</v>
      </c>
    </row>
    <row r="947" spans="1:13">
      <c r="A947" s="9"/>
      <c r="B947" s="9"/>
      <c r="C947" s="9"/>
      <c r="D947" s="18" t="s">
        <v>853</v>
      </c>
      <c r="E947" s="9"/>
      <c r="F947" s="9"/>
      <c r="G947" s="9"/>
      <c r="H947" s="9"/>
      <c r="I947" s="9"/>
      <c r="J947" s="9"/>
      <c r="K947" s="9"/>
      <c r="L947" s="9"/>
      <c r="M947" s="9"/>
    </row>
    <row r="948" spans="1:13" ht="33.75">
      <c r="A948" s="15" t="s">
        <v>854</v>
      </c>
      <c r="B948" s="10" t="s">
        <v>23</v>
      </c>
      <c r="C948" s="10" t="s">
        <v>66</v>
      </c>
      <c r="D948" s="18" t="s">
        <v>855</v>
      </c>
      <c r="E948" s="9"/>
      <c r="F948" s="9"/>
      <c r="G948" s="9"/>
      <c r="H948" s="9"/>
      <c r="I948" s="9"/>
      <c r="J948" s="9"/>
      <c r="K948" s="16">
        <f>K952</f>
        <v>24.07</v>
      </c>
      <c r="L948" s="17">
        <f>L952</f>
        <v>0</v>
      </c>
      <c r="M948" s="17">
        <f>M952</f>
        <v>0</v>
      </c>
    </row>
    <row r="949" spans="1:13" ht="67.5">
      <c r="A949" s="9"/>
      <c r="B949" s="9"/>
      <c r="C949" s="9"/>
      <c r="D949" s="18" t="s">
        <v>856</v>
      </c>
      <c r="E949" s="9"/>
      <c r="F949" s="9"/>
      <c r="G949" s="9"/>
      <c r="H949" s="9"/>
      <c r="I949" s="9"/>
      <c r="J949" s="9"/>
      <c r="K949" s="9"/>
      <c r="L949" s="9"/>
      <c r="M949" s="9"/>
    </row>
    <row r="950" spans="1:13">
      <c r="A950" s="9"/>
      <c r="B950" s="9"/>
      <c r="C950" s="10" t="s">
        <v>27</v>
      </c>
      <c r="D950" s="30"/>
      <c r="E950" s="10" t="s">
        <v>857</v>
      </c>
      <c r="F950" s="19">
        <v>1</v>
      </c>
      <c r="G950" s="20">
        <v>11.27</v>
      </c>
      <c r="H950" s="20">
        <v>0</v>
      </c>
      <c r="I950" s="20">
        <v>0</v>
      </c>
      <c r="J950" s="16">
        <f>OR(F950&lt;&gt;0,G950&lt;&gt;0,H950&lt;&gt;0,I950&lt;&gt;0)*(F950 + (F950 = 0))*(G950 + (G950 = 0))*(H950 + (H950 = 0))*(I950 + (I950 = 0))</f>
        <v>11.27</v>
      </c>
      <c r="K950" s="9"/>
      <c r="L950" s="9"/>
      <c r="M950" s="9"/>
    </row>
    <row r="951" spans="1:13">
      <c r="A951" s="9"/>
      <c r="B951" s="9"/>
      <c r="C951" s="10" t="s">
        <v>27</v>
      </c>
      <c r="D951" s="30"/>
      <c r="E951" s="10" t="s">
        <v>858</v>
      </c>
      <c r="F951" s="19">
        <v>1</v>
      </c>
      <c r="G951" s="20">
        <v>12.8</v>
      </c>
      <c r="H951" s="20">
        <v>0</v>
      </c>
      <c r="I951" s="20">
        <v>0</v>
      </c>
      <c r="J951" s="16">
        <f>OR(F951&lt;&gt;0,G951&lt;&gt;0,H951&lt;&gt;0,I951&lt;&gt;0)*(F951 + (F951 = 0))*(G951 + (G951 = 0))*(H951 + (H951 = 0))*(I951 + (I951 = 0))</f>
        <v>12.8</v>
      </c>
      <c r="K951" s="9"/>
      <c r="L951" s="9"/>
      <c r="M951" s="9"/>
    </row>
    <row r="952" spans="1:13">
      <c r="A952" s="9"/>
      <c r="B952" s="9"/>
      <c r="C952" s="9"/>
      <c r="D952" s="30"/>
      <c r="E952" s="9"/>
      <c r="F952" s="9"/>
      <c r="G952" s="9"/>
      <c r="H952" s="9"/>
      <c r="I952" s="9"/>
      <c r="J952" s="21" t="s">
        <v>859</v>
      </c>
      <c r="K952" s="22">
        <f>SUM(J950:J951)</f>
        <v>24.07</v>
      </c>
      <c r="L952" s="23">
        <v>0</v>
      </c>
      <c r="M952" s="24">
        <f>ROUND(K952*L952,2)</f>
        <v>0</v>
      </c>
    </row>
    <row r="953" spans="1:13" ht="0.95" customHeight="1">
      <c r="A953" s="25"/>
      <c r="B953" s="25"/>
      <c r="C953" s="25"/>
      <c r="D953" s="31"/>
      <c r="E953" s="25"/>
      <c r="F953" s="25"/>
      <c r="G953" s="25"/>
      <c r="H953" s="25"/>
      <c r="I953" s="25"/>
      <c r="J953" s="25"/>
      <c r="K953" s="25"/>
      <c r="L953" s="25"/>
      <c r="M953" s="25"/>
    </row>
    <row r="954" spans="1:13" ht="33.75">
      <c r="A954" s="15" t="s">
        <v>860</v>
      </c>
      <c r="B954" s="10" t="s">
        <v>23</v>
      </c>
      <c r="C954" s="10" t="s">
        <v>66</v>
      </c>
      <c r="D954" s="18" t="s">
        <v>861</v>
      </c>
      <c r="E954" s="9"/>
      <c r="F954" s="9"/>
      <c r="G954" s="9"/>
      <c r="H954" s="9"/>
      <c r="I954" s="9"/>
      <c r="J954" s="9"/>
      <c r="K954" s="16">
        <f>K957</f>
        <v>9.0399999999999991</v>
      </c>
      <c r="L954" s="17">
        <f>L957</f>
        <v>0</v>
      </c>
      <c r="M954" s="17">
        <f>M957</f>
        <v>0</v>
      </c>
    </row>
    <row r="955" spans="1:13" ht="67.5">
      <c r="A955" s="9"/>
      <c r="B955" s="9"/>
      <c r="C955" s="9"/>
      <c r="D955" s="18" t="s">
        <v>862</v>
      </c>
      <c r="E955" s="9"/>
      <c r="F955" s="9"/>
      <c r="G955" s="9"/>
      <c r="H955" s="9"/>
      <c r="I955" s="9"/>
      <c r="J955" s="9"/>
      <c r="K955" s="9"/>
      <c r="L955" s="9"/>
      <c r="M955" s="9"/>
    </row>
    <row r="956" spans="1:13">
      <c r="A956" s="9"/>
      <c r="B956" s="9"/>
      <c r="C956" s="10" t="s">
        <v>27</v>
      </c>
      <c r="D956" s="30"/>
      <c r="E956" s="10" t="s">
        <v>863</v>
      </c>
      <c r="F956" s="19">
        <v>1</v>
      </c>
      <c r="G956" s="20">
        <v>9.0399999999999991</v>
      </c>
      <c r="H956" s="20">
        <v>0</v>
      </c>
      <c r="I956" s="20">
        <v>0</v>
      </c>
      <c r="J956" s="16">
        <f>OR(F956&lt;&gt;0,G956&lt;&gt;0,H956&lt;&gt;0,I956&lt;&gt;0)*(F956 + (F956 = 0))*(G956 + (G956 = 0))*(H956 + (H956 = 0))*(I956 + (I956 = 0))</f>
        <v>9.0399999999999991</v>
      </c>
      <c r="K956" s="9"/>
      <c r="L956" s="9"/>
      <c r="M956" s="9"/>
    </row>
    <row r="957" spans="1:13">
      <c r="A957" s="9"/>
      <c r="B957" s="9"/>
      <c r="C957" s="9"/>
      <c r="D957" s="30"/>
      <c r="E957" s="9"/>
      <c r="F957" s="9"/>
      <c r="G957" s="9"/>
      <c r="H957" s="9"/>
      <c r="I957" s="9"/>
      <c r="J957" s="21" t="s">
        <v>864</v>
      </c>
      <c r="K957" s="22">
        <f>J956</f>
        <v>9.0399999999999991</v>
      </c>
      <c r="L957" s="23">
        <v>0</v>
      </c>
      <c r="M957" s="24">
        <f>ROUND(K957*L957,2)</f>
        <v>0</v>
      </c>
    </row>
    <row r="958" spans="1:13" ht="0.95" customHeight="1">
      <c r="A958" s="25"/>
      <c r="B958" s="25"/>
      <c r="C958" s="25"/>
      <c r="D958" s="31"/>
      <c r="E958" s="25"/>
      <c r="F958" s="25"/>
      <c r="G958" s="25"/>
      <c r="H958" s="25"/>
      <c r="I958" s="25"/>
      <c r="J958" s="25"/>
      <c r="K958" s="25"/>
      <c r="L958" s="25"/>
      <c r="M958" s="25"/>
    </row>
    <row r="959" spans="1:13" ht="33.75">
      <c r="A959" s="15" t="s">
        <v>865</v>
      </c>
      <c r="B959" s="10" t="s">
        <v>23</v>
      </c>
      <c r="C959" s="10" t="s">
        <v>66</v>
      </c>
      <c r="D959" s="18" t="s">
        <v>866</v>
      </c>
      <c r="E959" s="9"/>
      <c r="F959" s="9"/>
      <c r="G959" s="9"/>
      <c r="H959" s="9"/>
      <c r="I959" s="9"/>
      <c r="J959" s="9"/>
      <c r="K959" s="16">
        <f>K962</f>
        <v>342.58</v>
      </c>
      <c r="L959" s="17">
        <f>L962</f>
        <v>0</v>
      </c>
      <c r="M959" s="17">
        <f>M962</f>
        <v>0</v>
      </c>
    </row>
    <row r="960" spans="1:13">
      <c r="A960" s="9"/>
      <c r="B960" s="9"/>
      <c r="C960" s="9"/>
      <c r="D960" s="18" t="s">
        <v>867</v>
      </c>
      <c r="E960" s="9"/>
      <c r="F960" s="9"/>
      <c r="G960" s="9"/>
      <c r="H960" s="9"/>
      <c r="I960" s="9"/>
      <c r="J960" s="9"/>
      <c r="K960" s="9"/>
      <c r="L960" s="9"/>
      <c r="M960" s="9"/>
    </row>
    <row r="961" spans="1:13">
      <c r="A961" s="9"/>
      <c r="B961" s="9"/>
      <c r="C961" s="10" t="s">
        <v>27</v>
      </c>
      <c r="D961" s="30"/>
      <c r="E961" s="10" t="s">
        <v>857</v>
      </c>
      <c r="F961" s="19">
        <v>1</v>
      </c>
      <c r="G961" s="20">
        <v>342.58</v>
      </c>
      <c r="H961" s="20">
        <v>0</v>
      </c>
      <c r="I961" s="20">
        <v>0</v>
      </c>
      <c r="J961" s="16">
        <f>OR(F961&lt;&gt;0,G961&lt;&gt;0,H961&lt;&gt;0,I961&lt;&gt;0)*(F961 + (F961 = 0))*(G961 + (G961 = 0))*(H961 + (H961 = 0))*(I961 + (I961 = 0))</f>
        <v>342.58</v>
      </c>
      <c r="K961" s="9"/>
      <c r="L961" s="9"/>
      <c r="M961" s="9"/>
    </row>
    <row r="962" spans="1:13">
      <c r="A962" s="9"/>
      <c r="B962" s="9"/>
      <c r="C962" s="9"/>
      <c r="D962" s="30"/>
      <c r="E962" s="9"/>
      <c r="F962" s="9"/>
      <c r="G962" s="9"/>
      <c r="H962" s="9"/>
      <c r="I962" s="9"/>
      <c r="J962" s="21" t="s">
        <v>868</v>
      </c>
      <c r="K962" s="22">
        <f>J961</f>
        <v>342.58</v>
      </c>
      <c r="L962" s="23">
        <v>0</v>
      </c>
      <c r="M962" s="24">
        <f>ROUND(K962*L962,2)</f>
        <v>0</v>
      </c>
    </row>
    <row r="963" spans="1:13" ht="0.95" customHeight="1">
      <c r="A963" s="25"/>
      <c r="B963" s="25"/>
      <c r="C963" s="25"/>
      <c r="D963" s="31"/>
      <c r="E963" s="25"/>
      <c r="F963" s="25"/>
      <c r="G963" s="25"/>
      <c r="H963" s="25"/>
      <c r="I963" s="25"/>
      <c r="J963" s="25"/>
      <c r="K963" s="25"/>
      <c r="L963" s="25"/>
      <c r="M963" s="25"/>
    </row>
    <row r="964" spans="1:13" ht="33.75">
      <c r="A964" s="15" t="s">
        <v>869</v>
      </c>
      <c r="B964" s="10" t="s">
        <v>23</v>
      </c>
      <c r="C964" s="10" t="s">
        <v>66</v>
      </c>
      <c r="D964" s="18" t="s">
        <v>866</v>
      </c>
      <c r="E964" s="9"/>
      <c r="F964" s="9"/>
      <c r="G964" s="9"/>
      <c r="H964" s="9"/>
      <c r="I964" s="9"/>
      <c r="J964" s="9"/>
      <c r="K964" s="16">
        <f>K968</f>
        <v>1028.8399999999999</v>
      </c>
      <c r="L964" s="17">
        <f>L968</f>
        <v>0</v>
      </c>
      <c r="M964" s="17">
        <f>M968</f>
        <v>0</v>
      </c>
    </row>
    <row r="965" spans="1:13">
      <c r="A965" s="9"/>
      <c r="B965" s="9"/>
      <c r="C965" s="9"/>
      <c r="D965" s="18" t="s">
        <v>870</v>
      </c>
      <c r="E965" s="9"/>
      <c r="F965" s="9"/>
      <c r="G965" s="9"/>
      <c r="H965" s="9"/>
      <c r="I965" s="9"/>
      <c r="J965" s="9"/>
      <c r="K965" s="9"/>
      <c r="L965" s="9"/>
      <c r="M965" s="9"/>
    </row>
    <row r="966" spans="1:13">
      <c r="A966" s="9"/>
      <c r="B966" s="9"/>
      <c r="C966" s="10" t="s">
        <v>27</v>
      </c>
      <c r="D966" s="30"/>
      <c r="E966" s="10" t="s">
        <v>857</v>
      </c>
      <c r="F966" s="19">
        <v>1</v>
      </c>
      <c r="G966" s="20">
        <v>876.14</v>
      </c>
      <c r="H966" s="20">
        <v>0</v>
      </c>
      <c r="I966" s="20">
        <v>0</v>
      </c>
      <c r="J966" s="16">
        <f>OR(F966&lt;&gt;0,G966&lt;&gt;0,H966&lt;&gt;0,I966&lt;&gt;0)*(F966 + (F966 = 0))*(G966 + (G966 = 0))*(H966 + (H966 = 0))*(I966 + (I966 = 0))</f>
        <v>876.14</v>
      </c>
      <c r="K966" s="9"/>
      <c r="L966" s="9"/>
      <c r="M966" s="9"/>
    </row>
    <row r="967" spans="1:13">
      <c r="A967" s="9"/>
      <c r="B967" s="9"/>
      <c r="C967" s="10" t="s">
        <v>27</v>
      </c>
      <c r="D967" s="30"/>
      <c r="E967" s="10" t="s">
        <v>871</v>
      </c>
      <c r="F967" s="19">
        <v>1</v>
      </c>
      <c r="G967" s="20">
        <v>152.69999999999999</v>
      </c>
      <c r="H967" s="20">
        <v>0</v>
      </c>
      <c r="I967" s="20">
        <v>0</v>
      </c>
      <c r="J967" s="16">
        <f>OR(F967&lt;&gt;0,G967&lt;&gt;0,H967&lt;&gt;0,I967&lt;&gt;0)*(F967 + (F967 = 0))*(G967 + (G967 = 0))*(H967 + (H967 = 0))*(I967 + (I967 = 0))</f>
        <v>152.69999999999999</v>
      </c>
      <c r="K967" s="9"/>
      <c r="L967" s="9"/>
      <c r="M967" s="9"/>
    </row>
    <row r="968" spans="1:13">
      <c r="A968" s="9"/>
      <c r="B968" s="9"/>
      <c r="C968" s="9"/>
      <c r="D968" s="30"/>
      <c r="E968" s="9"/>
      <c r="F968" s="9"/>
      <c r="G968" s="9"/>
      <c r="H968" s="9"/>
      <c r="I968" s="9"/>
      <c r="J968" s="21" t="s">
        <v>872</v>
      </c>
      <c r="K968" s="22">
        <f>SUM(J966:J967)</f>
        <v>1028.8399999999999</v>
      </c>
      <c r="L968" s="23">
        <v>0</v>
      </c>
      <c r="M968" s="24">
        <f>ROUND(K968*L968,2)</f>
        <v>0</v>
      </c>
    </row>
    <row r="969" spans="1:13" ht="0.95" customHeight="1">
      <c r="A969" s="25"/>
      <c r="B969" s="25"/>
      <c r="C969" s="25"/>
      <c r="D969" s="31"/>
      <c r="E969" s="25"/>
      <c r="F969" s="25"/>
      <c r="G969" s="25"/>
      <c r="H969" s="25"/>
      <c r="I969" s="25"/>
      <c r="J969" s="25"/>
      <c r="K969" s="25"/>
      <c r="L969" s="25"/>
      <c r="M969" s="25"/>
    </row>
    <row r="970" spans="1:13" ht="33.75">
      <c r="A970" s="15" t="s">
        <v>873</v>
      </c>
      <c r="B970" s="10" t="s">
        <v>23</v>
      </c>
      <c r="C970" s="10" t="s">
        <v>66</v>
      </c>
      <c r="D970" s="18" t="s">
        <v>866</v>
      </c>
      <c r="E970" s="9"/>
      <c r="F970" s="9"/>
      <c r="G970" s="9"/>
      <c r="H970" s="9"/>
      <c r="I970" s="9"/>
      <c r="J970" s="9"/>
      <c r="K970" s="16">
        <f>K973</f>
        <v>10.33</v>
      </c>
      <c r="L970" s="17">
        <f>L973</f>
        <v>0</v>
      </c>
      <c r="M970" s="17">
        <f>M973</f>
        <v>0</v>
      </c>
    </row>
    <row r="971" spans="1:13">
      <c r="A971" s="9"/>
      <c r="B971" s="9"/>
      <c r="C971" s="9"/>
      <c r="D971" s="18" t="s">
        <v>874</v>
      </c>
      <c r="E971" s="9"/>
      <c r="F971" s="9"/>
      <c r="G971" s="9"/>
      <c r="H971" s="9"/>
      <c r="I971" s="9"/>
      <c r="J971" s="9"/>
      <c r="K971" s="9"/>
      <c r="L971" s="9"/>
      <c r="M971" s="9"/>
    </row>
    <row r="972" spans="1:13">
      <c r="A972" s="9"/>
      <c r="B972" s="9"/>
      <c r="C972" s="10" t="s">
        <v>27</v>
      </c>
      <c r="D972" s="30"/>
      <c r="E972" s="10" t="s">
        <v>857</v>
      </c>
      <c r="F972" s="19">
        <v>1</v>
      </c>
      <c r="G972" s="20">
        <v>10.33</v>
      </c>
      <c r="H972" s="20">
        <v>0</v>
      </c>
      <c r="I972" s="20">
        <v>0</v>
      </c>
      <c r="J972" s="16">
        <f>OR(F972&lt;&gt;0,G972&lt;&gt;0,H972&lt;&gt;0,I972&lt;&gt;0)*(F972 + (F972 = 0))*(G972 + (G972 = 0))*(H972 + (H972 = 0))*(I972 + (I972 = 0))</f>
        <v>10.33</v>
      </c>
      <c r="K972" s="9"/>
      <c r="L972" s="9"/>
      <c r="M972" s="9"/>
    </row>
    <row r="973" spans="1:13">
      <c r="A973" s="9"/>
      <c r="B973" s="9"/>
      <c r="C973" s="9"/>
      <c r="D973" s="30"/>
      <c r="E973" s="9"/>
      <c r="F973" s="9"/>
      <c r="G973" s="9"/>
      <c r="H973" s="9"/>
      <c r="I973" s="9"/>
      <c r="J973" s="21" t="s">
        <v>875</v>
      </c>
      <c r="K973" s="22">
        <f>J972</f>
        <v>10.33</v>
      </c>
      <c r="L973" s="23">
        <v>0</v>
      </c>
      <c r="M973" s="24">
        <f>ROUND(K973*L973,2)</f>
        <v>0</v>
      </c>
    </row>
    <row r="974" spans="1:13" ht="0.95" customHeight="1">
      <c r="A974" s="25"/>
      <c r="B974" s="25"/>
      <c r="C974" s="25"/>
      <c r="D974" s="31"/>
      <c r="E974" s="25"/>
      <c r="F974" s="25"/>
      <c r="G974" s="25"/>
      <c r="H974" s="25"/>
      <c r="I974" s="25"/>
      <c r="J974" s="25"/>
      <c r="K974" s="25"/>
      <c r="L974" s="25"/>
      <c r="M974" s="25"/>
    </row>
    <row r="975" spans="1:13" ht="33.75">
      <c r="A975" s="15" t="s">
        <v>876</v>
      </c>
      <c r="B975" s="10" t="s">
        <v>23</v>
      </c>
      <c r="C975" s="10" t="s">
        <v>66</v>
      </c>
      <c r="D975" s="18" t="s">
        <v>877</v>
      </c>
      <c r="E975" s="9"/>
      <c r="F975" s="9"/>
      <c r="G975" s="9"/>
      <c r="H975" s="9"/>
      <c r="I975" s="9"/>
      <c r="J975" s="9"/>
      <c r="K975" s="16">
        <f>K979</f>
        <v>22.76</v>
      </c>
      <c r="L975" s="17">
        <f>L979</f>
        <v>0</v>
      </c>
      <c r="M975" s="17">
        <f>M979</f>
        <v>0</v>
      </c>
    </row>
    <row r="976" spans="1:13">
      <c r="A976" s="9"/>
      <c r="B976" s="9"/>
      <c r="C976" s="9"/>
      <c r="D976" s="18" t="s">
        <v>878</v>
      </c>
      <c r="E976" s="9"/>
      <c r="F976" s="9"/>
      <c r="G976" s="9"/>
      <c r="H976" s="9"/>
      <c r="I976" s="9"/>
      <c r="J976" s="9"/>
      <c r="K976" s="9"/>
      <c r="L976" s="9"/>
      <c r="M976" s="9"/>
    </row>
    <row r="977" spans="1:13">
      <c r="A977" s="9"/>
      <c r="B977" s="9"/>
      <c r="C977" s="10" t="s">
        <v>27</v>
      </c>
      <c r="D977" s="30"/>
      <c r="E977" s="10" t="s">
        <v>863</v>
      </c>
      <c r="F977" s="19">
        <v>1</v>
      </c>
      <c r="G977" s="20">
        <v>10.15</v>
      </c>
      <c r="H977" s="20">
        <v>0</v>
      </c>
      <c r="I977" s="20">
        <v>0</v>
      </c>
      <c r="J977" s="16">
        <f>OR(F977&lt;&gt;0,G977&lt;&gt;0,H977&lt;&gt;0,I977&lt;&gt;0)*(F977 + (F977 = 0))*(G977 + (G977 = 0))*(H977 + (H977 = 0))*(I977 + (I977 = 0))</f>
        <v>10.15</v>
      </c>
      <c r="K977" s="9"/>
      <c r="L977" s="9"/>
      <c r="M977" s="9"/>
    </row>
    <row r="978" spans="1:13">
      <c r="A978" s="9"/>
      <c r="B978" s="9"/>
      <c r="C978" s="10" t="s">
        <v>27</v>
      </c>
      <c r="D978" s="30"/>
      <c r="E978" s="10" t="s">
        <v>857</v>
      </c>
      <c r="F978" s="19">
        <v>1</v>
      </c>
      <c r="G978" s="20">
        <v>12.61</v>
      </c>
      <c r="H978" s="20">
        <v>0</v>
      </c>
      <c r="I978" s="20">
        <v>0</v>
      </c>
      <c r="J978" s="16">
        <f>OR(F978&lt;&gt;0,G978&lt;&gt;0,H978&lt;&gt;0,I978&lt;&gt;0)*(F978 + (F978 = 0))*(G978 + (G978 = 0))*(H978 + (H978 = 0))*(I978 + (I978 = 0))</f>
        <v>12.61</v>
      </c>
      <c r="K978" s="9"/>
      <c r="L978" s="9"/>
      <c r="M978" s="9"/>
    </row>
    <row r="979" spans="1:13">
      <c r="A979" s="9"/>
      <c r="B979" s="9"/>
      <c r="C979" s="9"/>
      <c r="D979" s="30"/>
      <c r="E979" s="9"/>
      <c r="F979" s="9"/>
      <c r="G979" s="9"/>
      <c r="H979" s="9"/>
      <c r="I979" s="9"/>
      <c r="J979" s="21" t="s">
        <v>879</v>
      </c>
      <c r="K979" s="22">
        <f>SUM(J977:J978)</f>
        <v>22.76</v>
      </c>
      <c r="L979" s="23">
        <v>0</v>
      </c>
      <c r="M979" s="24">
        <f>ROUND(K979*L979,2)</f>
        <v>0</v>
      </c>
    </row>
    <row r="980" spans="1:13" ht="0.95" customHeight="1">
      <c r="A980" s="25"/>
      <c r="B980" s="25"/>
      <c r="C980" s="25"/>
      <c r="D980" s="31"/>
      <c r="E980" s="25"/>
      <c r="F980" s="25"/>
      <c r="G980" s="25"/>
      <c r="H980" s="25"/>
      <c r="I980" s="25"/>
      <c r="J980" s="25"/>
      <c r="K980" s="25"/>
      <c r="L980" s="25"/>
      <c r="M980" s="25"/>
    </row>
    <row r="981" spans="1:13" ht="33.75">
      <c r="A981" s="15" t="s">
        <v>880</v>
      </c>
      <c r="B981" s="10" t="s">
        <v>23</v>
      </c>
      <c r="C981" s="10" t="s">
        <v>66</v>
      </c>
      <c r="D981" s="18" t="s">
        <v>881</v>
      </c>
      <c r="E981" s="9"/>
      <c r="F981" s="9"/>
      <c r="G981" s="9"/>
      <c r="H981" s="9"/>
      <c r="I981" s="9"/>
      <c r="J981" s="9"/>
      <c r="K981" s="16">
        <f>K984</f>
        <v>57.57</v>
      </c>
      <c r="L981" s="17">
        <f>L984</f>
        <v>0</v>
      </c>
      <c r="M981" s="17">
        <f>M984</f>
        <v>0</v>
      </c>
    </row>
    <row r="982" spans="1:13">
      <c r="A982" s="9"/>
      <c r="B982" s="9"/>
      <c r="C982" s="9"/>
      <c r="D982" s="18" t="s">
        <v>882</v>
      </c>
      <c r="E982" s="9"/>
      <c r="F982" s="9"/>
      <c r="G982" s="9"/>
      <c r="H982" s="9"/>
      <c r="I982" s="9"/>
      <c r="J982" s="9"/>
      <c r="K982" s="9"/>
      <c r="L982" s="9"/>
      <c r="M982" s="9"/>
    </row>
    <row r="983" spans="1:13">
      <c r="A983" s="9"/>
      <c r="B983" s="9"/>
      <c r="C983" s="10" t="s">
        <v>27</v>
      </c>
      <c r="D983" s="30"/>
      <c r="E983" s="10" t="s">
        <v>863</v>
      </c>
      <c r="F983" s="19">
        <v>1</v>
      </c>
      <c r="G983" s="20">
        <v>57.57</v>
      </c>
      <c r="H983" s="20">
        <v>0</v>
      </c>
      <c r="I983" s="20">
        <v>0</v>
      </c>
      <c r="J983" s="16">
        <f>OR(F983&lt;&gt;0,G983&lt;&gt;0,H983&lt;&gt;0,I983&lt;&gt;0)*(F983 + (F983 = 0))*(G983 + (G983 = 0))*(H983 + (H983 = 0))*(I983 + (I983 = 0))</f>
        <v>57.57</v>
      </c>
      <c r="K983" s="9"/>
      <c r="L983" s="9"/>
      <c r="M983" s="9"/>
    </row>
    <row r="984" spans="1:13">
      <c r="A984" s="9"/>
      <c r="B984" s="9"/>
      <c r="C984" s="9"/>
      <c r="D984" s="30"/>
      <c r="E984" s="9"/>
      <c r="F984" s="9"/>
      <c r="G984" s="9"/>
      <c r="H984" s="9"/>
      <c r="I984" s="9"/>
      <c r="J984" s="21" t="s">
        <v>883</v>
      </c>
      <c r="K984" s="22">
        <f>J983</f>
        <v>57.57</v>
      </c>
      <c r="L984" s="23">
        <v>0</v>
      </c>
      <c r="M984" s="24">
        <f>ROUND(K984*L984,2)</f>
        <v>0</v>
      </c>
    </row>
    <row r="985" spans="1:13" ht="0.95" customHeight="1">
      <c r="A985" s="25"/>
      <c r="B985" s="25"/>
      <c r="C985" s="25"/>
      <c r="D985" s="31"/>
      <c r="E985" s="25"/>
      <c r="F985" s="25"/>
      <c r="G985" s="25"/>
      <c r="H985" s="25"/>
      <c r="I985" s="25"/>
      <c r="J985" s="25"/>
      <c r="K985" s="25"/>
      <c r="L985" s="25"/>
      <c r="M985" s="25"/>
    </row>
    <row r="986" spans="1:13" ht="33.75">
      <c r="A986" s="15" t="s">
        <v>884</v>
      </c>
      <c r="B986" s="10" t="s">
        <v>23</v>
      </c>
      <c r="C986" s="10" t="s">
        <v>66</v>
      </c>
      <c r="D986" s="18" t="s">
        <v>885</v>
      </c>
      <c r="E986" s="9"/>
      <c r="F986" s="9"/>
      <c r="G986" s="9"/>
      <c r="H986" s="9"/>
      <c r="I986" s="9"/>
      <c r="J986" s="9"/>
      <c r="K986" s="16">
        <f>K989</f>
        <v>1211.46</v>
      </c>
      <c r="L986" s="17">
        <f>L989</f>
        <v>0</v>
      </c>
      <c r="M986" s="17">
        <f>M989</f>
        <v>0</v>
      </c>
    </row>
    <row r="987" spans="1:13" ht="67.5">
      <c r="A987" s="9"/>
      <c r="B987" s="9"/>
      <c r="C987" s="9"/>
      <c r="D987" s="18" t="s">
        <v>886</v>
      </c>
      <c r="E987" s="9"/>
      <c r="F987" s="9"/>
      <c r="G987" s="9"/>
      <c r="H987" s="9"/>
      <c r="I987" s="9"/>
      <c r="J987" s="9"/>
      <c r="K987" s="9"/>
      <c r="L987" s="9"/>
      <c r="M987" s="9"/>
    </row>
    <row r="988" spans="1:13">
      <c r="A988" s="9"/>
      <c r="B988" s="9"/>
      <c r="C988" s="10" t="s">
        <v>27</v>
      </c>
      <c r="D988" s="30"/>
      <c r="E988" s="10" t="s">
        <v>857</v>
      </c>
      <c r="F988" s="19">
        <v>1</v>
      </c>
      <c r="G988" s="20">
        <v>1211.46</v>
      </c>
      <c r="H988" s="20">
        <v>0</v>
      </c>
      <c r="I988" s="20">
        <v>0</v>
      </c>
      <c r="J988" s="16">
        <f>OR(F988&lt;&gt;0,G988&lt;&gt;0,H988&lt;&gt;0,I988&lt;&gt;0)*(F988 + (F988 = 0))*(G988 + (G988 = 0))*(H988 + (H988 = 0))*(I988 + (I988 = 0))</f>
        <v>1211.46</v>
      </c>
      <c r="K988" s="9"/>
      <c r="L988" s="9"/>
      <c r="M988" s="9"/>
    </row>
    <row r="989" spans="1:13">
      <c r="A989" s="9"/>
      <c r="B989" s="9"/>
      <c r="C989" s="9"/>
      <c r="D989" s="30"/>
      <c r="E989" s="9"/>
      <c r="F989" s="9"/>
      <c r="G989" s="9"/>
      <c r="H989" s="9"/>
      <c r="I989" s="9"/>
      <c r="J989" s="21" t="s">
        <v>887</v>
      </c>
      <c r="K989" s="22">
        <f>J988</f>
        <v>1211.46</v>
      </c>
      <c r="L989" s="23">
        <v>0</v>
      </c>
      <c r="M989" s="24">
        <f>ROUND(K989*L989,2)</f>
        <v>0</v>
      </c>
    </row>
    <row r="990" spans="1:13" ht="0.95" customHeight="1">
      <c r="A990" s="25"/>
      <c r="B990" s="25"/>
      <c r="C990" s="25"/>
      <c r="D990" s="31"/>
      <c r="E990" s="25"/>
      <c r="F990" s="25"/>
      <c r="G990" s="25"/>
      <c r="H990" s="25"/>
      <c r="I990" s="25"/>
      <c r="J990" s="25"/>
      <c r="K990" s="25"/>
      <c r="L990" s="25"/>
      <c r="M990" s="25"/>
    </row>
    <row r="991" spans="1:13" ht="33.75">
      <c r="A991" s="15" t="s">
        <v>888</v>
      </c>
      <c r="B991" s="10" t="s">
        <v>23</v>
      </c>
      <c r="C991" s="10" t="s">
        <v>66</v>
      </c>
      <c r="D991" s="18" t="s">
        <v>885</v>
      </c>
      <c r="E991" s="9"/>
      <c r="F991" s="9"/>
      <c r="G991" s="9"/>
      <c r="H991" s="9"/>
      <c r="I991" s="9"/>
      <c r="J991" s="9"/>
      <c r="K991" s="16">
        <f>K994</f>
        <v>2931.81</v>
      </c>
      <c r="L991" s="17">
        <f>L994</f>
        <v>0</v>
      </c>
      <c r="M991" s="17">
        <f>M994</f>
        <v>0</v>
      </c>
    </row>
    <row r="992" spans="1:13" ht="67.5">
      <c r="A992" s="9"/>
      <c r="B992" s="9"/>
      <c r="C992" s="9"/>
      <c r="D992" s="18" t="s">
        <v>889</v>
      </c>
      <c r="E992" s="9"/>
      <c r="F992" s="9"/>
      <c r="G992" s="9"/>
      <c r="H992" s="9"/>
      <c r="I992" s="9"/>
      <c r="J992" s="9"/>
      <c r="K992" s="9"/>
      <c r="L992" s="9"/>
      <c r="M992" s="9"/>
    </row>
    <row r="993" spans="1:13">
      <c r="A993" s="9"/>
      <c r="B993" s="9"/>
      <c r="C993" s="10" t="s">
        <v>27</v>
      </c>
      <c r="D993" s="30"/>
      <c r="E993" s="10" t="s">
        <v>857</v>
      </c>
      <c r="F993" s="19">
        <v>1</v>
      </c>
      <c r="G993" s="20">
        <v>2931.81</v>
      </c>
      <c r="H993" s="20">
        <v>0</v>
      </c>
      <c r="I993" s="20">
        <v>0</v>
      </c>
      <c r="J993" s="16">
        <f>OR(F993&lt;&gt;0,G993&lt;&gt;0,H993&lt;&gt;0,I993&lt;&gt;0)*(F993 + (F993 = 0))*(G993 + (G993 = 0))*(H993 + (H993 = 0))*(I993 + (I993 = 0))</f>
        <v>2931.81</v>
      </c>
      <c r="K993" s="9"/>
      <c r="L993" s="9"/>
      <c r="M993" s="9"/>
    </row>
    <row r="994" spans="1:13">
      <c r="A994" s="9"/>
      <c r="B994" s="9"/>
      <c r="C994" s="9"/>
      <c r="D994" s="30"/>
      <c r="E994" s="9"/>
      <c r="F994" s="9"/>
      <c r="G994" s="9"/>
      <c r="H994" s="9"/>
      <c r="I994" s="9"/>
      <c r="J994" s="21" t="s">
        <v>890</v>
      </c>
      <c r="K994" s="22">
        <f>J993</f>
        <v>2931.81</v>
      </c>
      <c r="L994" s="23">
        <v>0</v>
      </c>
      <c r="M994" s="24">
        <f>ROUND(K994*L994,2)</f>
        <v>0</v>
      </c>
    </row>
    <row r="995" spans="1:13" ht="0.95" customHeight="1">
      <c r="A995" s="25"/>
      <c r="B995" s="25"/>
      <c r="C995" s="25"/>
      <c r="D995" s="31"/>
      <c r="E995" s="25"/>
      <c r="F995" s="25"/>
      <c r="G995" s="25"/>
      <c r="H995" s="25"/>
      <c r="I995" s="25"/>
      <c r="J995" s="25"/>
      <c r="K995" s="25"/>
      <c r="L995" s="25"/>
      <c r="M995" s="25"/>
    </row>
    <row r="996" spans="1:13" ht="33.75">
      <c r="A996" s="15" t="s">
        <v>891</v>
      </c>
      <c r="B996" s="10" t="s">
        <v>23</v>
      </c>
      <c r="C996" s="10" t="s">
        <v>66</v>
      </c>
      <c r="D996" s="18" t="s">
        <v>885</v>
      </c>
      <c r="E996" s="9"/>
      <c r="F996" s="9"/>
      <c r="G996" s="9"/>
      <c r="H996" s="9"/>
      <c r="I996" s="9"/>
      <c r="J996" s="9"/>
      <c r="K996" s="16">
        <f>K999</f>
        <v>59.85</v>
      </c>
      <c r="L996" s="17">
        <f>L999</f>
        <v>0</v>
      </c>
      <c r="M996" s="17">
        <f>M999</f>
        <v>0</v>
      </c>
    </row>
    <row r="997" spans="1:13" ht="67.5">
      <c r="A997" s="9"/>
      <c r="B997" s="9"/>
      <c r="C997" s="9"/>
      <c r="D997" s="18" t="s">
        <v>892</v>
      </c>
      <c r="E997" s="9"/>
      <c r="F997" s="9"/>
      <c r="G997" s="9"/>
      <c r="H997" s="9"/>
      <c r="I997" s="9"/>
      <c r="J997" s="9"/>
      <c r="K997" s="9"/>
      <c r="L997" s="9"/>
      <c r="M997" s="9"/>
    </row>
    <row r="998" spans="1:13">
      <c r="A998" s="9"/>
      <c r="B998" s="9"/>
      <c r="C998" s="10" t="s">
        <v>27</v>
      </c>
      <c r="D998" s="30"/>
      <c r="E998" s="10" t="s">
        <v>857</v>
      </c>
      <c r="F998" s="19">
        <v>1</v>
      </c>
      <c r="G998" s="20">
        <v>59.85</v>
      </c>
      <c r="H998" s="20">
        <v>0</v>
      </c>
      <c r="I998" s="20">
        <v>0</v>
      </c>
      <c r="J998" s="16">
        <f>OR(F998&lt;&gt;0,G998&lt;&gt;0,H998&lt;&gt;0,I998&lt;&gt;0)*(F998 + (F998 = 0))*(G998 + (G998 = 0))*(H998 + (H998 = 0))*(I998 + (I998 = 0))</f>
        <v>59.85</v>
      </c>
      <c r="K998" s="9"/>
      <c r="L998" s="9"/>
      <c r="M998" s="9"/>
    </row>
    <row r="999" spans="1:13">
      <c r="A999" s="9"/>
      <c r="B999" s="9"/>
      <c r="C999" s="9"/>
      <c r="D999" s="30"/>
      <c r="E999" s="9"/>
      <c r="F999" s="9"/>
      <c r="G999" s="9"/>
      <c r="H999" s="9"/>
      <c r="I999" s="9"/>
      <c r="J999" s="21" t="s">
        <v>893</v>
      </c>
      <c r="K999" s="22">
        <f>J998</f>
        <v>59.85</v>
      </c>
      <c r="L999" s="23">
        <v>0</v>
      </c>
      <c r="M999" s="24">
        <f>ROUND(K999*L999,2)</f>
        <v>0</v>
      </c>
    </row>
    <row r="1000" spans="1:13" ht="0.95" customHeight="1">
      <c r="A1000" s="25"/>
      <c r="B1000" s="25"/>
      <c r="C1000" s="25"/>
      <c r="D1000" s="31"/>
      <c r="E1000" s="25"/>
      <c r="F1000" s="25"/>
      <c r="G1000" s="25"/>
      <c r="H1000" s="25"/>
      <c r="I1000" s="25"/>
      <c r="J1000" s="25"/>
      <c r="K1000" s="25"/>
      <c r="L1000" s="25"/>
      <c r="M1000" s="25"/>
    </row>
    <row r="1001" spans="1:13" ht="33.75">
      <c r="A1001" s="15" t="s">
        <v>894</v>
      </c>
      <c r="B1001" s="10" t="s">
        <v>23</v>
      </c>
      <c r="C1001" s="10" t="s">
        <v>66</v>
      </c>
      <c r="D1001" s="18" t="s">
        <v>885</v>
      </c>
      <c r="E1001" s="9"/>
      <c r="F1001" s="9"/>
      <c r="G1001" s="9"/>
      <c r="H1001" s="9"/>
      <c r="I1001" s="9"/>
      <c r="J1001" s="9"/>
      <c r="K1001" s="16">
        <f>K1004</f>
        <v>30.99</v>
      </c>
      <c r="L1001" s="17">
        <f>L1004</f>
        <v>0</v>
      </c>
      <c r="M1001" s="17">
        <f>M1004</f>
        <v>0</v>
      </c>
    </row>
    <row r="1002" spans="1:13" ht="67.5">
      <c r="A1002" s="9"/>
      <c r="B1002" s="9"/>
      <c r="C1002" s="9"/>
      <c r="D1002" s="18" t="s">
        <v>895</v>
      </c>
      <c r="E1002" s="9"/>
      <c r="F1002" s="9"/>
      <c r="G1002" s="9"/>
      <c r="H1002" s="9"/>
      <c r="I1002" s="9"/>
      <c r="J1002" s="9"/>
      <c r="K1002" s="9"/>
      <c r="L1002" s="9"/>
      <c r="M1002" s="9"/>
    </row>
    <row r="1003" spans="1:13">
      <c r="A1003" s="9"/>
      <c r="B1003" s="9"/>
      <c r="C1003" s="10" t="s">
        <v>27</v>
      </c>
      <c r="D1003" s="30"/>
      <c r="E1003" s="10" t="s">
        <v>857</v>
      </c>
      <c r="F1003" s="19">
        <v>1</v>
      </c>
      <c r="G1003" s="20">
        <v>30.99</v>
      </c>
      <c r="H1003" s="20">
        <v>0</v>
      </c>
      <c r="I1003" s="20">
        <v>0</v>
      </c>
      <c r="J1003" s="16">
        <f>OR(F1003&lt;&gt;0,G1003&lt;&gt;0,H1003&lt;&gt;0,I1003&lt;&gt;0)*(F1003 + (F1003 = 0))*(G1003 + (G1003 = 0))*(H1003 + (H1003 = 0))*(I1003 + (I1003 = 0))</f>
        <v>30.99</v>
      </c>
      <c r="K1003" s="9"/>
      <c r="L1003" s="9"/>
      <c r="M1003" s="9"/>
    </row>
    <row r="1004" spans="1:13">
      <c r="A1004" s="9"/>
      <c r="B1004" s="9"/>
      <c r="C1004" s="9"/>
      <c r="D1004" s="30"/>
      <c r="E1004" s="9"/>
      <c r="F1004" s="9"/>
      <c r="G1004" s="9"/>
      <c r="H1004" s="9"/>
      <c r="I1004" s="9"/>
      <c r="J1004" s="21" t="s">
        <v>896</v>
      </c>
      <c r="K1004" s="22">
        <f>J1003</f>
        <v>30.99</v>
      </c>
      <c r="L1004" s="23">
        <v>0</v>
      </c>
      <c r="M1004" s="24">
        <f>ROUND(K1004*L1004,2)</f>
        <v>0</v>
      </c>
    </row>
    <row r="1005" spans="1:13" ht="0.95" customHeight="1">
      <c r="A1005" s="25"/>
      <c r="B1005" s="25"/>
      <c r="C1005" s="25"/>
      <c r="D1005" s="31"/>
      <c r="E1005" s="25"/>
      <c r="F1005" s="25"/>
      <c r="G1005" s="25"/>
      <c r="H1005" s="25"/>
      <c r="I1005" s="25"/>
      <c r="J1005" s="25"/>
      <c r="K1005" s="25"/>
      <c r="L1005" s="25"/>
      <c r="M1005" s="25"/>
    </row>
    <row r="1006" spans="1:13" ht="33.75">
      <c r="A1006" s="15" t="s">
        <v>897</v>
      </c>
      <c r="B1006" s="10" t="s">
        <v>23</v>
      </c>
      <c r="C1006" s="10" t="s">
        <v>4</v>
      </c>
      <c r="D1006" s="18" t="s">
        <v>898</v>
      </c>
      <c r="E1006" s="9"/>
      <c r="F1006" s="9"/>
      <c r="G1006" s="9"/>
      <c r="H1006" s="9"/>
      <c r="I1006" s="9"/>
      <c r="J1006" s="9"/>
      <c r="K1006" s="16">
        <f>K1009</f>
        <v>1</v>
      </c>
      <c r="L1006" s="17">
        <f>L1009</f>
        <v>0</v>
      </c>
      <c r="M1006" s="17">
        <f>M1009</f>
        <v>0</v>
      </c>
    </row>
    <row r="1007" spans="1:13">
      <c r="A1007" s="9"/>
      <c r="B1007" s="9"/>
      <c r="C1007" s="9"/>
      <c r="D1007" s="18" t="s">
        <v>899</v>
      </c>
      <c r="E1007" s="9"/>
      <c r="F1007" s="9"/>
      <c r="G1007" s="9"/>
      <c r="H1007" s="9"/>
      <c r="I1007" s="9"/>
      <c r="J1007" s="9"/>
      <c r="K1007" s="9"/>
      <c r="L1007" s="9"/>
      <c r="M1007" s="9"/>
    </row>
    <row r="1008" spans="1:13">
      <c r="A1008" s="9"/>
      <c r="B1008" s="9"/>
      <c r="C1008" s="10" t="s">
        <v>27</v>
      </c>
      <c r="D1008" s="30"/>
      <c r="E1008" s="10" t="s">
        <v>900</v>
      </c>
      <c r="F1008" s="19">
        <v>1</v>
      </c>
      <c r="G1008" s="20">
        <v>0</v>
      </c>
      <c r="H1008" s="20">
        <v>0</v>
      </c>
      <c r="I1008" s="20">
        <v>0</v>
      </c>
      <c r="J1008" s="16">
        <f>OR(F1008&lt;&gt;0,G1008&lt;&gt;0,H1008&lt;&gt;0,I1008&lt;&gt;0)*(F1008 + (F1008 = 0))*(G1008 + (G1008 = 0))*(H1008 + (H1008 = 0))*(I1008 + (I1008 = 0))</f>
        <v>1</v>
      </c>
      <c r="K1008" s="9"/>
      <c r="L1008" s="9"/>
      <c r="M1008" s="9"/>
    </row>
    <row r="1009" spans="1:13">
      <c r="A1009" s="9"/>
      <c r="B1009" s="9"/>
      <c r="C1009" s="9"/>
      <c r="D1009" s="30"/>
      <c r="E1009" s="9"/>
      <c r="F1009" s="9"/>
      <c r="G1009" s="9"/>
      <c r="H1009" s="9"/>
      <c r="I1009" s="9"/>
      <c r="J1009" s="21" t="s">
        <v>901</v>
      </c>
      <c r="K1009" s="22">
        <f>J1008</f>
        <v>1</v>
      </c>
      <c r="L1009" s="23">
        <v>0</v>
      </c>
      <c r="M1009" s="24">
        <f>ROUND(K1009*L1009,2)</f>
        <v>0</v>
      </c>
    </row>
    <row r="1010" spans="1:13" ht="0.95" customHeight="1">
      <c r="A1010" s="25"/>
      <c r="B1010" s="25"/>
      <c r="C1010" s="25"/>
      <c r="D1010" s="31"/>
      <c r="E1010" s="25"/>
      <c r="F1010" s="25"/>
      <c r="G1010" s="25"/>
      <c r="H1010" s="25"/>
      <c r="I1010" s="25"/>
      <c r="J1010" s="25"/>
      <c r="K1010" s="25"/>
      <c r="L1010" s="25"/>
      <c r="M1010" s="25"/>
    </row>
    <row r="1011" spans="1:13" ht="33.75">
      <c r="A1011" s="15" t="s">
        <v>902</v>
      </c>
      <c r="B1011" s="10" t="s">
        <v>23</v>
      </c>
      <c r="C1011" s="10" t="s">
        <v>4</v>
      </c>
      <c r="D1011" s="18" t="s">
        <v>903</v>
      </c>
      <c r="E1011" s="9"/>
      <c r="F1011" s="9"/>
      <c r="G1011" s="9"/>
      <c r="H1011" s="9"/>
      <c r="I1011" s="9"/>
      <c r="J1011" s="9"/>
      <c r="K1011" s="16">
        <f>K1014</f>
        <v>1</v>
      </c>
      <c r="L1011" s="17">
        <f>L1014</f>
        <v>0</v>
      </c>
      <c r="M1011" s="17">
        <f>M1014</f>
        <v>0</v>
      </c>
    </row>
    <row r="1012" spans="1:13">
      <c r="A1012" s="9"/>
      <c r="B1012" s="9"/>
      <c r="C1012" s="9"/>
      <c r="D1012" s="18" t="s">
        <v>904</v>
      </c>
      <c r="E1012" s="9"/>
      <c r="F1012" s="9"/>
      <c r="G1012" s="9"/>
      <c r="H1012" s="9"/>
      <c r="I1012" s="9"/>
      <c r="J1012" s="9"/>
      <c r="K1012" s="9"/>
      <c r="L1012" s="9"/>
      <c r="M1012" s="9"/>
    </row>
    <row r="1013" spans="1:13">
      <c r="A1013" s="9"/>
      <c r="B1013" s="9"/>
      <c r="C1013" s="10" t="s">
        <v>27</v>
      </c>
      <c r="D1013" s="30"/>
      <c r="E1013" s="10" t="s">
        <v>905</v>
      </c>
      <c r="F1013" s="19">
        <v>1</v>
      </c>
      <c r="G1013" s="20">
        <v>0</v>
      </c>
      <c r="H1013" s="20">
        <v>0</v>
      </c>
      <c r="I1013" s="20">
        <v>0</v>
      </c>
      <c r="J1013" s="16">
        <f>OR(F1013&lt;&gt;0,G1013&lt;&gt;0,H1013&lt;&gt;0,I1013&lt;&gt;0)*(F1013 + (F1013 = 0))*(G1013 + (G1013 = 0))*(H1013 + (H1013 = 0))*(I1013 + (I1013 = 0))</f>
        <v>1</v>
      </c>
      <c r="K1013" s="9"/>
      <c r="L1013" s="9"/>
      <c r="M1013" s="9"/>
    </row>
    <row r="1014" spans="1:13">
      <c r="A1014" s="9"/>
      <c r="B1014" s="9"/>
      <c r="C1014" s="9"/>
      <c r="D1014" s="30"/>
      <c r="E1014" s="9"/>
      <c r="F1014" s="9"/>
      <c r="G1014" s="9"/>
      <c r="H1014" s="9"/>
      <c r="I1014" s="9"/>
      <c r="J1014" s="21" t="s">
        <v>906</v>
      </c>
      <c r="K1014" s="22">
        <f>J1013</f>
        <v>1</v>
      </c>
      <c r="L1014" s="23">
        <v>0</v>
      </c>
      <c r="M1014" s="24">
        <f>ROUND(K1014*L1014,2)</f>
        <v>0</v>
      </c>
    </row>
    <row r="1015" spans="1:13" ht="0.95" customHeight="1">
      <c r="A1015" s="25"/>
      <c r="B1015" s="25"/>
      <c r="C1015" s="25"/>
      <c r="D1015" s="31"/>
      <c r="E1015" s="25"/>
      <c r="F1015" s="25"/>
      <c r="G1015" s="25"/>
      <c r="H1015" s="25"/>
      <c r="I1015" s="25"/>
      <c r="J1015" s="25"/>
      <c r="K1015" s="25"/>
      <c r="L1015" s="25"/>
      <c r="M1015" s="25"/>
    </row>
    <row r="1016" spans="1:13" ht="33.75">
      <c r="A1016" s="15" t="s">
        <v>907</v>
      </c>
      <c r="B1016" s="10" t="s">
        <v>23</v>
      </c>
      <c r="C1016" s="10" t="s">
        <v>4</v>
      </c>
      <c r="D1016" s="18" t="s">
        <v>908</v>
      </c>
      <c r="E1016" s="9"/>
      <c r="F1016" s="9"/>
      <c r="G1016" s="9"/>
      <c r="H1016" s="9"/>
      <c r="I1016" s="9"/>
      <c r="J1016" s="9"/>
      <c r="K1016" s="16">
        <f>K1019</f>
        <v>1</v>
      </c>
      <c r="L1016" s="17">
        <f>L1019</f>
        <v>0</v>
      </c>
      <c r="M1016" s="17">
        <f>M1019</f>
        <v>0</v>
      </c>
    </row>
    <row r="1017" spans="1:13">
      <c r="A1017" s="9"/>
      <c r="B1017" s="9"/>
      <c r="C1017" s="9"/>
      <c r="D1017" s="18" t="s">
        <v>909</v>
      </c>
      <c r="E1017" s="9"/>
      <c r="F1017" s="9"/>
      <c r="G1017" s="9"/>
      <c r="H1017" s="9"/>
      <c r="I1017" s="9"/>
      <c r="J1017" s="9"/>
      <c r="K1017" s="9"/>
      <c r="L1017" s="9"/>
      <c r="M1017" s="9"/>
    </row>
    <row r="1018" spans="1:13">
      <c r="A1018" s="9"/>
      <c r="B1018" s="9"/>
      <c r="C1018" s="10" t="s">
        <v>27</v>
      </c>
      <c r="D1018" s="30"/>
      <c r="E1018" s="10" t="s">
        <v>905</v>
      </c>
      <c r="F1018" s="19">
        <v>1</v>
      </c>
      <c r="G1018" s="20">
        <v>0</v>
      </c>
      <c r="H1018" s="20">
        <v>0</v>
      </c>
      <c r="I1018" s="20">
        <v>0</v>
      </c>
      <c r="J1018" s="16">
        <f>OR(F1018&lt;&gt;0,G1018&lt;&gt;0,H1018&lt;&gt;0,I1018&lt;&gt;0)*(F1018 + (F1018 = 0))*(G1018 + (G1018 = 0))*(H1018 + (H1018 = 0))*(I1018 + (I1018 = 0))</f>
        <v>1</v>
      </c>
      <c r="K1018" s="9"/>
      <c r="L1018" s="9"/>
      <c r="M1018" s="9"/>
    </row>
    <row r="1019" spans="1:13">
      <c r="A1019" s="9"/>
      <c r="B1019" s="9"/>
      <c r="C1019" s="9"/>
      <c r="D1019" s="30"/>
      <c r="E1019" s="9"/>
      <c r="F1019" s="9"/>
      <c r="G1019" s="9"/>
      <c r="H1019" s="9"/>
      <c r="I1019" s="9"/>
      <c r="J1019" s="21" t="s">
        <v>910</v>
      </c>
      <c r="K1019" s="22">
        <f>J1018</f>
        <v>1</v>
      </c>
      <c r="L1019" s="23">
        <v>0</v>
      </c>
      <c r="M1019" s="24">
        <f>ROUND(K1019*L1019,2)</f>
        <v>0</v>
      </c>
    </row>
    <row r="1020" spans="1:13" ht="0.95" customHeight="1">
      <c r="A1020" s="25"/>
      <c r="B1020" s="25"/>
      <c r="C1020" s="25"/>
      <c r="D1020" s="31"/>
      <c r="E1020" s="25"/>
      <c r="F1020" s="25"/>
      <c r="G1020" s="25"/>
      <c r="H1020" s="25"/>
      <c r="I1020" s="25"/>
      <c r="J1020" s="25"/>
      <c r="K1020" s="25"/>
      <c r="L1020" s="25"/>
      <c r="M1020" s="25"/>
    </row>
    <row r="1021" spans="1:13" ht="22.5">
      <c r="A1021" s="15" t="s">
        <v>911</v>
      </c>
      <c r="B1021" s="10" t="s">
        <v>23</v>
      </c>
      <c r="C1021" s="10" t="s">
        <v>66</v>
      </c>
      <c r="D1021" s="18" t="s">
        <v>912</v>
      </c>
      <c r="E1021" s="9"/>
      <c r="F1021" s="9"/>
      <c r="G1021" s="9"/>
      <c r="H1021" s="9"/>
      <c r="I1021" s="9"/>
      <c r="J1021" s="9"/>
      <c r="K1021" s="16">
        <f>K1024</f>
        <v>1.5</v>
      </c>
      <c r="L1021" s="17">
        <f>L1024</f>
        <v>0</v>
      </c>
      <c r="M1021" s="17">
        <f>M1024</f>
        <v>0</v>
      </c>
    </row>
    <row r="1022" spans="1:13">
      <c r="A1022" s="9"/>
      <c r="B1022" s="9"/>
      <c r="C1022" s="9"/>
      <c r="D1022" s="18" t="s">
        <v>913</v>
      </c>
      <c r="E1022" s="9"/>
      <c r="F1022" s="9"/>
      <c r="G1022" s="9"/>
      <c r="H1022" s="9"/>
      <c r="I1022" s="9"/>
      <c r="J1022" s="9"/>
      <c r="K1022" s="9"/>
      <c r="L1022" s="9"/>
      <c r="M1022" s="9"/>
    </row>
    <row r="1023" spans="1:13">
      <c r="A1023" s="9"/>
      <c r="B1023" s="9"/>
      <c r="C1023" s="10" t="s">
        <v>27</v>
      </c>
      <c r="D1023" s="30"/>
      <c r="E1023" s="10" t="s">
        <v>914</v>
      </c>
      <c r="F1023" s="19">
        <v>1</v>
      </c>
      <c r="G1023" s="23">
        <v>1.5</v>
      </c>
      <c r="H1023" s="23">
        <v>0</v>
      </c>
      <c r="I1023" s="23">
        <v>0</v>
      </c>
      <c r="J1023" s="17">
        <f>OR(F1023&lt;&gt;0,G1023&lt;&gt;0,H1023&lt;&gt;0,I1023&lt;&gt;0)*(F1023 + (F1023 = 0))*(G1023 + (G1023 = 0))*(H1023 + (H1023 = 0))*(I1023 + (I1023 = 0))</f>
        <v>1.5</v>
      </c>
      <c r="K1023" s="9"/>
      <c r="L1023" s="9"/>
      <c r="M1023" s="9"/>
    </row>
    <row r="1024" spans="1:13">
      <c r="A1024" s="9"/>
      <c r="B1024" s="9"/>
      <c r="C1024" s="9"/>
      <c r="D1024" s="30"/>
      <c r="E1024" s="9"/>
      <c r="F1024" s="9"/>
      <c r="G1024" s="9"/>
      <c r="H1024" s="9"/>
      <c r="I1024" s="9"/>
      <c r="J1024" s="21" t="s">
        <v>915</v>
      </c>
      <c r="K1024" s="22">
        <f>J1023</f>
        <v>1.5</v>
      </c>
      <c r="L1024" s="23">
        <v>0</v>
      </c>
      <c r="M1024" s="24">
        <f>ROUND(K1024*L1024,2)</f>
        <v>0</v>
      </c>
    </row>
    <row r="1025" spans="1:13" ht="0.95" customHeight="1">
      <c r="A1025" s="25"/>
      <c r="B1025" s="25"/>
      <c r="C1025" s="25"/>
      <c r="D1025" s="31"/>
      <c r="E1025" s="25"/>
      <c r="F1025" s="25"/>
      <c r="G1025" s="25"/>
      <c r="H1025" s="25"/>
      <c r="I1025" s="25"/>
      <c r="J1025" s="25"/>
      <c r="K1025" s="25"/>
      <c r="L1025" s="25"/>
      <c r="M1025" s="25"/>
    </row>
    <row r="1026" spans="1:13">
      <c r="A1026" s="9"/>
      <c r="B1026" s="9"/>
      <c r="C1026" s="9"/>
      <c r="D1026" s="30"/>
      <c r="E1026" s="9"/>
      <c r="F1026" s="9"/>
      <c r="G1026" s="9"/>
      <c r="H1026" s="9"/>
      <c r="I1026" s="9"/>
      <c r="J1026" s="21" t="s">
        <v>916</v>
      </c>
      <c r="K1026" s="20">
        <v>1</v>
      </c>
      <c r="L1026" s="24">
        <f>M944+M946+M948+M954+M959+M964+M970+M975+M981+M986+M991+M996+M1001+M1006+M1011+M1016+M1021</f>
        <v>0</v>
      </c>
      <c r="M1026" s="24">
        <f>ROUND(K1026*L1026,2)</f>
        <v>0</v>
      </c>
    </row>
    <row r="1027" spans="1:13" ht="0.95" customHeight="1">
      <c r="A1027" s="25"/>
      <c r="B1027" s="25"/>
      <c r="C1027" s="25"/>
      <c r="D1027" s="31"/>
      <c r="E1027" s="25"/>
      <c r="F1027" s="25"/>
      <c r="G1027" s="25"/>
      <c r="H1027" s="25"/>
      <c r="I1027" s="25"/>
      <c r="J1027" s="25"/>
      <c r="K1027" s="25"/>
      <c r="L1027" s="25"/>
      <c r="M1027" s="25"/>
    </row>
    <row r="1028" spans="1:13">
      <c r="A1028" s="11" t="s">
        <v>917</v>
      </c>
      <c r="B1028" s="11" t="s">
        <v>16</v>
      </c>
      <c r="C1028" s="11" t="s">
        <v>17</v>
      </c>
      <c r="D1028" s="29" t="s">
        <v>918</v>
      </c>
      <c r="E1028" s="12"/>
      <c r="F1028" s="12"/>
      <c r="G1028" s="12"/>
      <c r="H1028" s="12"/>
      <c r="I1028" s="12"/>
      <c r="J1028" s="12"/>
      <c r="K1028" s="13">
        <f>K1072</f>
        <v>1</v>
      </c>
      <c r="L1028" s="14">
        <f>L1072</f>
        <v>0</v>
      </c>
      <c r="M1028" s="14">
        <f>M1072</f>
        <v>0</v>
      </c>
    </row>
    <row r="1029" spans="1:13" ht="33.75">
      <c r="A1029" s="15" t="s">
        <v>919</v>
      </c>
      <c r="B1029" s="10" t="s">
        <v>23</v>
      </c>
      <c r="C1029" s="10" t="s">
        <v>4</v>
      </c>
      <c r="D1029" s="18" t="s">
        <v>920</v>
      </c>
      <c r="E1029" s="9"/>
      <c r="F1029" s="9"/>
      <c r="G1029" s="9"/>
      <c r="H1029" s="9"/>
      <c r="I1029" s="9"/>
      <c r="J1029" s="9"/>
      <c r="K1029" s="20">
        <v>1</v>
      </c>
      <c r="L1029" s="23">
        <v>0</v>
      </c>
      <c r="M1029" s="17">
        <f>ROUND(K1029*L1029,2)</f>
        <v>0</v>
      </c>
    </row>
    <row r="1030" spans="1:13">
      <c r="A1030" s="9"/>
      <c r="B1030" s="9"/>
      <c r="C1030" s="9"/>
      <c r="D1030" s="18" t="s">
        <v>921</v>
      </c>
      <c r="E1030" s="9"/>
      <c r="F1030" s="9"/>
      <c r="G1030" s="9"/>
      <c r="H1030" s="9"/>
      <c r="I1030" s="9"/>
      <c r="J1030" s="9"/>
      <c r="K1030" s="9"/>
      <c r="L1030" s="9"/>
      <c r="M1030" s="9"/>
    </row>
    <row r="1031" spans="1:13" ht="33.75">
      <c r="A1031" s="15" t="s">
        <v>922</v>
      </c>
      <c r="B1031" s="10" t="s">
        <v>23</v>
      </c>
      <c r="C1031" s="10" t="s">
        <v>4</v>
      </c>
      <c r="D1031" s="18" t="s">
        <v>923</v>
      </c>
      <c r="E1031" s="9"/>
      <c r="F1031" s="9"/>
      <c r="G1031" s="9"/>
      <c r="H1031" s="9"/>
      <c r="I1031" s="9"/>
      <c r="J1031" s="9"/>
      <c r="K1031" s="16">
        <f>K1034</f>
        <v>1</v>
      </c>
      <c r="L1031" s="17">
        <f>L1034</f>
        <v>0</v>
      </c>
      <c r="M1031" s="17">
        <f>M1034</f>
        <v>0</v>
      </c>
    </row>
    <row r="1032" spans="1:13">
      <c r="A1032" s="9"/>
      <c r="B1032" s="9"/>
      <c r="C1032" s="9"/>
      <c r="D1032" s="18" t="s">
        <v>924</v>
      </c>
      <c r="E1032" s="9"/>
      <c r="F1032" s="9"/>
      <c r="G1032" s="9"/>
      <c r="H1032" s="9"/>
      <c r="I1032" s="9"/>
      <c r="J1032" s="9"/>
      <c r="K1032" s="9"/>
      <c r="L1032" s="9"/>
      <c r="M1032" s="9"/>
    </row>
    <row r="1033" spans="1:13">
      <c r="A1033" s="9"/>
      <c r="B1033" s="9"/>
      <c r="C1033" s="10" t="s">
        <v>27</v>
      </c>
      <c r="D1033" s="30"/>
      <c r="E1033" s="10" t="s">
        <v>925</v>
      </c>
      <c r="F1033" s="19">
        <v>1</v>
      </c>
      <c r="G1033" s="20">
        <v>0</v>
      </c>
      <c r="H1033" s="20">
        <v>0</v>
      </c>
      <c r="I1033" s="20">
        <v>0</v>
      </c>
      <c r="J1033" s="16">
        <f>OR(F1033&lt;&gt;0,G1033&lt;&gt;0,H1033&lt;&gt;0,I1033&lt;&gt;0)*(F1033 + (F1033 = 0))*(G1033 + (G1033 = 0))*(H1033 + (H1033 = 0))*(I1033 + (I1033 = 0))</f>
        <v>1</v>
      </c>
      <c r="K1033" s="9"/>
      <c r="L1033" s="9"/>
      <c r="M1033" s="9"/>
    </row>
    <row r="1034" spans="1:13">
      <c r="A1034" s="9"/>
      <c r="B1034" s="9"/>
      <c r="C1034" s="9"/>
      <c r="D1034" s="30"/>
      <c r="E1034" s="9"/>
      <c r="F1034" s="9"/>
      <c r="G1034" s="9"/>
      <c r="H1034" s="9"/>
      <c r="I1034" s="9"/>
      <c r="J1034" s="21" t="s">
        <v>926</v>
      </c>
      <c r="K1034" s="22">
        <f>J1033</f>
        <v>1</v>
      </c>
      <c r="L1034" s="23">
        <v>0</v>
      </c>
      <c r="M1034" s="24">
        <f>ROUND(K1034*L1034,2)</f>
        <v>0</v>
      </c>
    </row>
    <row r="1035" spans="1:13" ht="0.95" customHeight="1">
      <c r="A1035" s="25"/>
      <c r="B1035" s="25"/>
      <c r="C1035" s="25"/>
      <c r="D1035" s="31"/>
      <c r="E1035" s="25"/>
      <c r="F1035" s="25"/>
      <c r="G1035" s="25"/>
      <c r="H1035" s="25"/>
      <c r="I1035" s="25"/>
      <c r="J1035" s="25"/>
      <c r="K1035" s="25"/>
      <c r="L1035" s="25"/>
      <c r="M1035" s="25"/>
    </row>
    <row r="1036" spans="1:13" ht="33.75">
      <c r="A1036" s="15" t="s">
        <v>927</v>
      </c>
      <c r="B1036" s="10" t="s">
        <v>23</v>
      </c>
      <c r="C1036" s="10" t="s">
        <v>4</v>
      </c>
      <c r="D1036" s="18" t="s">
        <v>928</v>
      </c>
      <c r="E1036" s="9"/>
      <c r="F1036" s="9"/>
      <c r="G1036" s="9"/>
      <c r="H1036" s="9"/>
      <c r="I1036" s="9"/>
      <c r="J1036" s="9"/>
      <c r="K1036" s="20">
        <v>1</v>
      </c>
      <c r="L1036" s="23">
        <v>0</v>
      </c>
      <c r="M1036" s="17">
        <f>ROUND(K1036*L1036,2)</f>
        <v>0</v>
      </c>
    </row>
    <row r="1037" spans="1:13" ht="56.25">
      <c r="A1037" s="9"/>
      <c r="B1037" s="9"/>
      <c r="C1037" s="9"/>
      <c r="D1037" s="18" t="s">
        <v>929</v>
      </c>
      <c r="E1037" s="9"/>
      <c r="F1037" s="9"/>
      <c r="G1037" s="9"/>
      <c r="H1037" s="9"/>
      <c r="I1037" s="9"/>
      <c r="J1037" s="9"/>
      <c r="K1037" s="9"/>
      <c r="L1037" s="9"/>
      <c r="M1037" s="9"/>
    </row>
    <row r="1038" spans="1:13" ht="45">
      <c r="A1038" s="15" t="s">
        <v>930</v>
      </c>
      <c r="B1038" s="10" t="s">
        <v>23</v>
      </c>
      <c r="C1038" s="10" t="s">
        <v>66</v>
      </c>
      <c r="D1038" s="18" t="s">
        <v>931</v>
      </c>
      <c r="E1038" s="9"/>
      <c r="F1038" s="9"/>
      <c r="G1038" s="9"/>
      <c r="H1038" s="9"/>
      <c r="I1038" s="9"/>
      <c r="J1038" s="9"/>
      <c r="K1038" s="16">
        <f>K1042</f>
        <v>66.819999999999993</v>
      </c>
      <c r="L1038" s="17">
        <f>L1042</f>
        <v>0</v>
      </c>
      <c r="M1038" s="17">
        <f>M1042</f>
        <v>0</v>
      </c>
    </row>
    <row r="1039" spans="1:13">
      <c r="A1039" s="9"/>
      <c r="B1039" s="9"/>
      <c r="C1039" s="9"/>
      <c r="D1039" s="18" t="s">
        <v>932</v>
      </c>
      <c r="E1039" s="9"/>
      <c r="F1039" s="9"/>
      <c r="G1039" s="9"/>
      <c r="H1039" s="9"/>
      <c r="I1039" s="9"/>
      <c r="J1039" s="9"/>
      <c r="K1039" s="9"/>
      <c r="L1039" s="9"/>
      <c r="M1039" s="9"/>
    </row>
    <row r="1040" spans="1:13">
      <c r="A1040" s="9"/>
      <c r="B1040" s="9"/>
      <c r="C1040" s="10" t="s">
        <v>27</v>
      </c>
      <c r="D1040" s="30"/>
      <c r="E1040" s="10" t="s">
        <v>925</v>
      </c>
      <c r="F1040" s="19">
        <v>1</v>
      </c>
      <c r="G1040" s="20">
        <v>39.11</v>
      </c>
      <c r="H1040" s="20">
        <v>0</v>
      </c>
      <c r="I1040" s="20">
        <v>0</v>
      </c>
      <c r="J1040" s="16">
        <f>OR(F1040&lt;&gt;0,G1040&lt;&gt;0,H1040&lt;&gt;0,I1040&lt;&gt;0)*(F1040 + (F1040 = 0))*(G1040 + (G1040 = 0))*(H1040 + (H1040 = 0))*(I1040 + (I1040 = 0))</f>
        <v>39.11</v>
      </c>
      <c r="K1040" s="9"/>
      <c r="L1040" s="9"/>
      <c r="M1040" s="9"/>
    </row>
    <row r="1041" spans="1:13">
      <c r="A1041" s="9"/>
      <c r="B1041" s="9"/>
      <c r="C1041" s="10" t="s">
        <v>27</v>
      </c>
      <c r="D1041" s="30"/>
      <c r="E1041" s="10" t="s">
        <v>933</v>
      </c>
      <c r="F1041" s="19">
        <v>1</v>
      </c>
      <c r="G1041" s="20">
        <v>27.71</v>
      </c>
      <c r="H1041" s="20">
        <v>0</v>
      </c>
      <c r="I1041" s="20">
        <v>0</v>
      </c>
      <c r="J1041" s="16">
        <f>OR(F1041&lt;&gt;0,G1041&lt;&gt;0,H1041&lt;&gt;0,I1041&lt;&gt;0)*(F1041 + (F1041 = 0))*(G1041 + (G1041 = 0))*(H1041 + (H1041 = 0))*(I1041 + (I1041 = 0))</f>
        <v>27.71</v>
      </c>
      <c r="K1041" s="9"/>
      <c r="L1041" s="9"/>
      <c r="M1041" s="9"/>
    </row>
    <row r="1042" spans="1:13">
      <c r="A1042" s="9"/>
      <c r="B1042" s="9"/>
      <c r="C1042" s="9"/>
      <c r="D1042" s="30"/>
      <c r="E1042" s="9"/>
      <c r="F1042" s="9"/>
      <c r="G1042" s="9"/>
      <c r="H1042" s="9"/>
      <c r="I1042" s="9"/>
      <c r="J1042" s="21" t="s">
        <v>934</v>
      </c>
      <c r="K1042" s="22">
        <f>SUM(J1040:J1041)</f>
        <v>66.819999999999993</v>
      </c>
      <c r="L1042" s="23">
        <v>0</v>
      </c>
      <c r="M1042" s="24">
        <f>ROUND(K1042*L1042,2)</f>
        <v>0</v>
      </c>
    </row>
    <row r="1043" spans="1:13" ht="0.95" customHeight="1">
      <c r="A1043" s="25"/>
      <c r="B1043" s="25"/>
      <c r="C1043" s="25"/>
      <c r="D1043" s="31"/>
      <c r="E1043" s="25"/>
      <c r="F1043" s="25"/>
      <c r="G1043" s="25"/>
      <c r="H1043" s="25"/>
      <c r="I1043" s="25"/>
      <c r="J1043" s="25"/>
      <c r="K1043" s="25"/>
      <c r="L1043" s="25"/>
      <c r="M1043" s="25"/>
    </row>
    <row r="1044" spans="1:13" ht="45">
      <c r="A1044" s="15" t="s">
        <v>935</v>
      </c>
      <c r="B1044" s="10" t="s">
        <v>23</v>
      </c>
      <c r="C1044" s="10" t="s">
        <v>66</v>
      </c>
      <c r="D1044" s="18" t="s">
        <v>931</v>
      </c>
      <c r="E1044" s="9"/>
      <c r="F1044" s="9"/>
      <c r="G1044" s="9"/>
      <c r="H1044" s="9"/>
      <c r="I1044" s="9"/>
      <c r="J1044" s="9"/>
      <c r="K1044" s="16">
        <f>K1049</f>
        <v>107.57</v>
      </c>
      <c r="L1044" s="17">
        <f>L1049</f>
        <v>0</v>
      </c>
      <c r="M1044" s="17">
        <f>M1049</f>
        <v>0</v>
      </c>
    </row>
    <row r="1045" spans="1:13">
      <c r="A1045" s="9"/>
      <c r="B1045" s="9"/>
      <c r="C1045" s="9"/>
      <c r="D1045" s="18" t="s">
        <v>936</v>
      </c>
      <c r="E1045" s="9"/>
      <c r="F1045" s="9"/>
      <c r="G1045" s="9"/>
      <c r="H1045" s="9"/>
      <c r="I1045" s="9"/>
      <c r="J1045" s="9"/>
      <c r="K1045" s="9"/>
      <c r="L1045" s="9"/>
      <c r="M1045" s="9"/>
    </row>
    <row r="1046" spans="1:13">
      <c r="A1046" s="9"/>
      <c r="B1046" s="9"/>
      <c r="C1046" s="10" t="s">
        <v>27</v>
      </c>
      <c r="D1046" s="30"/>
      <c r="E1046" s="10" t="s">
        <v>925</v>
      </c>
      <c r="F1046" s="19">
        <v>1</v>
      </c>
      <c r="G1046" s="20">
        <v>67.319999999999993</v>
      </c>
      <c r="H1046" s="20">
        <v>0</v>
      </c>
      <c r="I1046" s="20">
        <v>0</v>
      </c>
      <c r="J1046" s="16">
        <f>OR(F1046&lt;&gt;0,G1046&lt;&gt;0,H1046&lt;&gt;0,I1046&lt;&gt;0)*(F1046 + (F1046 = 0))*(G1046 + (G1046 = 0))*(H1046 + (H1046 = 0))*(I1046 + (I1046 = 0))</f>
        <v>67.319999999999993</v>
      </c>
      <c r="K1046" s="9"/>
      <c r="L1046" s="9"/>
      <c r="M1046" s="9"/>
    </row>
    <row r="1047" spans="1:13">
      <c r="A1047" s="9"/>
      <c r="B1047" s="9"/>
      <c r="C1047" s="10" t="s">
        <v>27</v>
      </c>
      <c r="D1047" s="30"/>
      <c r="E1047" s="10" t="s">
        <v>933</v>
      </c>
      <c r="F1047" s="19">
        <v>1</v>
      </c>
      <c r="G1047" s="20">
        <v>22.98</v>
      </c>
      <c r="H1047" s="20">
        <v>0</v>
      </c>
      <c r="I1047" s="20">
        <v>0</v>
      </c>
      <c r="J1047" s="16">
        <f>OR(F1047&lt;&gt;0,G1047&lt;&gt;0,H1047&lt;&gt;0,I1047&lt;&gt;0)*(F1047 + (F1047 = 0))*(G1047 + (G1047 = 0))*(H1047 + (H1047 = 0))*(I1047 + (I1047 = 0))</f>
        <v>22.98</v>
      </c>
      <c r="K1047" s="9"/>
      <c r="L1047" s="9"/>
      <c r="M1047" s="9"/>
    </row>
    <row r="1048" spans="1:13">
      <c r="A1048" s="9"/>
      <c r="B1048" s="9"/>
      <c r="C1048" s="10" t="s">
        <v>27</v>
      </c>
      <c r="D1048" s="30"/>
      <c r="E1048" s="10" t="s">
        <v>937</v>
      </c>
      <c r="F1048" s="19">
        <v>1</v>
      </c>
      <c r="G1048" s="20">
        <v>17.27</v>
      </c>
      <c r="H1048" s="20">
        <v>0</v>
      </c>
      <c r="I1048" s="20">
        <v>0</v>
      </c>
      <c r="J1048" s="16">
        <f>OR(F1048&lt;&gt;0,G1048&lt;&gt;0,H1048&lt;&gt;0,I1048&lt;&gt;0)*(F1048 + (F1048 = 0))*(G1048 + (G1048 = 0))*(H1048 + (H1048 = 0))*(I1048 + (I1048 = 0))</f>
        <v>17.27</v>
      </c>
      <c r="K1048" s="9"/>
      <c r="L1048" s="9"/>
      <c r="M1048" s="9"/>
    </row>
    <row r="1049" spans="1:13">
      <c r="A1049" s="9"/>
      <c r="B1049" s="9"/>
      <c r="C1049" s="9"/>
      <c r="D1049" s="30"/>
      <c r="E1049" s="9"/>
      <c r="F1049" s="9"/>
      <c r="G1049" s="9"/>
      <c r="H1049" s="9"/>
      <c r="I1049" s="9"/>
      <c r="J1049" s="21" t="s">
        <v>938</v>
      </c>
      <c r="K1049" s="22">
        <f>SUM(J1046:J1048)</f>
        <v>107.57</v>
      </c>
      <c r="L1049" s="23">
        <v>0</v>
      </c>
      <c r="M1049" s="24">
        <f>ROUND(K1049*L1049,2)</f>
        <v>0</v>
      </c>
    </row>
    <row r="1050" spans="1:13" ht="0.95" customHeight="1">
      <c r="A1050" s="25"/>
      <c r="B1050" s="25"/>
      <c r="C1050" s="25"/>
      <c r="D1050" s="31"/>
      <c r="E1050" s="25"/>
      <c r="F1050" s="25"/>
      <c r="G1050" s="25"/>
      <c r="H1050" s="25"/>
      <c r="I1050" s="25"/>
      <c r="J1050" s="25"/>
      <c r="K1050" s="25"/>
      <c r="L1050" s="25"/>
      <c r="M1050" s="25"/>
    </row>
    <row r="1051" spans="1:13" ht="45">
      <c r="A1051" s="15" t="s">
        <v>939</v>
      </c>
      <c r="B1051" s="10" t="s">
        <v>23</v>
      </c>
      <c r="C1051" s="10" t="s">
        <v>66</v>
      </c>
      <c r="D1051" s="18" t="s">
        <v>931</v>
      </c>
      <c r="E1051" s="9"/>
      <c r="F1051" s="9"/>
      <c r="G1051" s="9"/>
      <c r="H1051" s="9"/>
      <c r="I1051" s="9"/>
      <c r="J1051" s="9"/>
      <c r="K1051" s="16">
        <f>K1055</f>
        <v>13</v>
      </c>
      <c r="L1051" s="17">
        <f>L1055</f>
        <v>0</v>
      </c>
      <c r="M1051" s="17">
        <f>M1055</f>
        <v>0</v>
      </c>
    </row>
    <row r="1052" spans="1:13">
      <c r="A1052" s="9"/>
      <c r="B1052" s="9"/>
      <c r="C1052" s="9"/>
      <c r="D1052" s="18" t="s">
        <v>940</v>
      </c>
      <c r="E1052" s="9"/>
      <c r="F1052" s="9"/>
      <c r="G1052" s="9"/>
      <c r="H1052" s="9"/>
      <c r="I1052" s="9"/>
      <c r="J1052" s="9"/>
      <c r="K1052" s="9"/>
      <c r="L1052" s="9"/>
      <c r="M1052" s="9"/>
    </row>
    <row r="1053" spans="1:13">
      <c r="A1053" s="9"/>
      <c r="B1053" s="9"/>
      <c r="C1053" s="10" t="s">
        <v>27</v>
      </c>
      <c r="D1053" s="30"/>
      <c r="E1053" s="10" t="s">
        <v>925</v>
      </c>
      <c r="F1053" s="19">
        <v>1</v>
      </c>
      <c r="G1053" s="20">
        <v>12.62</v>
      </c>
      <c r="H1053" s="20">
        <v>0</v>
      </c>
      <c r="I1053" s="20">
        <v>0</v>
      </c>
      <c r="J1053" s="16">
        <f>OR(F1053&lt;&gt;0,G1053&lt;&gt;0,H1053&lt;&gt;0,I1053&lt;&gt;0)*(F1053 + (F1053 = 0))*(G1053 + (G1053 = 0))*(H1053 + (H1053 = 0))*(I1053 + (I1053 = 0))</f>
        <v>12.62</v>
      </c>
      <c r="K1053" s="9"/>
      <c r="L1053" s="9"/>
      <c r="M1053" s="9"/>
    </row>
    <row r="1054" spans="1:13">
      <c r="A1054" s="9"/>
      <c r="B1054" s="9"/>
      <c r="C1054" s="10" t="s">
        <v>27</v>
      </c>
      <c r="D1054" s="30"/>
      <c r="E1054" s="10" t="s">
        <v>937</v>
      </c>
      <c r="F1054" s="19">
        <v>1</v>
      </c>
      <c r="G1054" s="20">
        <v>0.38</v>
      </c>
      <c r="H1054" s="20">
        <v>0</v>
      </c>
      <c r="I1054" s="20">
        <v>0</v>
      </c>
      <c r="J1054" s="16">
        <f>OR(F1054&lt;&gt;0,G1054&lt;&gt;0,H1054&lt;&gt;0,I1054&lt;&gt;0)*(F1054 + (F1054 = 0))*(G1054 + (G1054 = 0))*(H1054 + (H1054 = 0))*(I1054 + (I1054 = 0))</f>
        <v>0.38</v>
      </c>
      <c r="K1054" s="9"/>
      <c r="L1054" s="9"/>
      <c r="M1054" s="9"/>
    </row>
    <row r="1055" spans="1:13">
      <c r="A1055" s="9"/>
      <c r="B1055" s="9"/>
      <c r="C1055" s="9"/>
      <c r="D1055" s="30"/>
      <c r="E1055" s="9"/>
      <c r="F1055" s="9"/>
      <c r="G1055" s="9"/>
      <c r="H1055" s="9"/>
      <c r="I1055" s="9"/>
      <c r="J1055" s="21" t="s">
        <v>941</v>
      </c>
      <c r="K1055" s="22">
        <f>SUM(J1053:J1054)</f>
        <v>13</v>
      </c>
      <c r="L1055" s="23">
        <v>0</v>
      </c>
      <c r="M1055" s="24">
        <f>ROUND(K1055*L1055,2)</f>
        <v>0</v>
      </c>
    </row>
    <row r="1056" spans="1:13" ht="0.95" customHeight="1">
      <c r="A1056" s="25"/>
      <c r="B1056" s="25"/>
      <c r="C1056" s="25"/>
      <c r="D1056" s="31"/>
      <c r="E1056" s="25"/>
      <c r="F1056" s="25"/>
      <c r="G1056" s="25"/>
      <c r="H1056" s="25"/>
      <c r="I1056" s="25"/>
      <c r="J1056" s="25"/>
      <c r="K1056" s="25"/>
      <c r="L1056" s="25"/>
      <c r="M1056" s="25"/>
    </row>
    <row r="1057" spans="1:13" ht="45">
      <c r="A1057" s="15" t="s">
        <v>942</v>
      </c>
      <c r="B1057" s="10" t="s">
        <v>23</v>
      </c>
      <c r="C1057" s="10" t="s">
        <v>66</v>
      </c>
      <c r="D1057" s="18" t="s">
        <v>931</v>
      </c>
      <c r="E1057" s="9"/>
      <c r="F1057" s="9"/>
      <c r="G1057" s="9"/>
      <c r="H1057" s="9"/>
      <c r="I1057" s="9"/>
      <c r="J1057" s="9"/>
      <c r="K1057" s="16">
        <f>K1060</f>
        <v>7.82</v>
      </c>
      <c r="L1057" s="17">
        <f>L1060</f>
        <v>0</v>
      </c>
      <c r="M1057" s="17">
        <f>M1060</f>
        <v>0</v>
      </c>
    </row>
    <row r="1058" spans="1:13">
      <c r="A1058" s="9"/>
      <c r="B1058" s="9"/>
      <c r="C1058" s="9"/>
      <c r="D1058" s="18" t="s">
        <v>943</v>
      </c>
      <c r="E1058" s="9"/>
      <c r="F1058" s="9"/>
      <c r="G1058" s="9"/>
      <c r="H1058" s="9"/>
      <c r="I1058" s="9"/>
      <c r="J1058" s="9"/>
      <c r="K1058" s="9"/>
      <c r="L1058" s="9"/>
      <c r="M1058" s="9"/>
    </row>
    <row r="1059" spans="1:13">
      <c r="A1059" s="9"/>
      <c r="B1059" s="9"/>
      <c r="C1059" s="10" t="s">
        <v>27</v>
      </c>
      <c r="D1059" s="30"/>
      <c r="E1059" s="10" t="s">
        <v>937</v>
      </c>
      <c r="F1059" s="19">
        <v>1</v>
      </c>
      <c r="G1059" s="20">
        <v>7.82</v>
      </c>
      <c r="H1059" s="20">
        <v>0</v>
      </c>
      <c r="I1059" s="20">
        <v>0</v>
      </c>
      <c r="J1059" s="16">
        <f>OR(F1059&lt;&gt;0,G1059&lt;&gt;0,H1059&lt;&gt;0,I1059&lt;&gt;0)*(F1059 + (F1059 = 0))*(G1059 + (G1059 = 0))*(H1059 + (H1059 = 0))*(I1059 + (I1059 = 0))</f>
        <v>7.82</v>
      </c>
      <c r="K1059" s="9"/>
      <c r="L1059" s="9"/>
      <c r="M1059" s="9"/>
    </row>
    <row r="1060" spans="1:13">
      <c r="A1060" s="9"/>
      <c r="B1060" s="9"/>
      <c r="C1060" s="9"/>
      <c r="D1060" s="30"/>
      <c r="E1060" s="9"/>
      <c r="F1060" s="9"/>
      <c r="G1060" s="9"/>
      <c r="H1060" s="9"/>
      <c r="I1060" s="9"/>
      <c r="J1060" s="21" t="s">
        <v>944</v>
      </c>
      <c r="K1060" s="22">
        <f>J1059</f>
        <v>7.82</v>
      </c>
      <c r="L1060" s="23">
        <v>0</v>
      </c>
      <c r="M1060" s="24">
        <f>ROUND(K1060*L1060,2)</f>
        <v>0</v>
      </c>
    </row>
    <row r="1061" spans="1:13" ht="0.95" customHeight="1">
      <c r="A1061" s="25"/>
      <c r="B1061" s="25"/>
      <c r="C1061" s="25"/>
      <c r="D1061" s="31"/>
      <c r="E1061" s="25"/>
      <c r="F1061" s="25"/>
      <c r="G1061" s="25"/>
      <c r="H1061" s="25"/>
      <c r="I1061" s="25"/>
      <c r="J1061" s="25"/>
      <c r="K1061" s="25"/>
      <c r="L1061" s="25"/>
      <c r="M1061" s="25"/>
    </row>
    <row r="1062" spans="1:13" ht="33.75">
      <c r="A1062" s="15" t="s">
        <v>945</v>
      </c>
      <c r="B1062" s="10" t="s">
        <v>23</v>
      </c>
      <c r="C1062" s="10" t="s">
        <v>4</v>
      </c>
      <c r="D1062" s="18" t="s">
        <v>946</v>
      </c>
      <c r="E1062" s="9"/>
      <c r="F1062" s="9"/>
      <c r="G1062" s="9"/>
      <c r="H1062" s="9"/>
      <c r="I1062" s="9"/>
      <c r="J1062" s="9"/>
      <c r="K1062" s="16">
        <f>K1065</f>
        <v>16</v>
      </c>
      <c r="L1062" s="17">
        <f>L1065</f>
        <v>0</v>
      </c>
      <c r="M1062" s="17">
        <f>M1065</f>
        <v>0</v>
      </c>
    </row>
    <row r="1063" spans="1:13" ht="56.25">
      <c r="A1063" s="9"/>
      <c r="B1063" s="9"/>
      <c r="C1063" s="9"/>
      <c r="D1063" s="18" t="s">
        <v>947</v>
      </c>
      <c r="E1063" s="9"/>
      <c r="F1063" s="9"/>
      <c r="G1063" s="9"/>
      <c r="H1063" s="9"/>
      <c r="I1063" s="9"/>
      <c r="J1063" s="9"/>
      <c r="K1063" s="9"/>
      <c r="L1063" s="9"/>
      <c r="M1063" s="9"/>
    </row>
    <row r="1064" spans="1:13">
      <c r="A1064" s="9"/>
      <c r="B1064" s="9"/>
      <c r="C1064" s="10" t="s">
        <v>27</v>
      </c>
      <c r="D1064" s="30"/>
      <c r="E1064" s="10" t="s">
        <v>948</v>
      </c>
      <c r="F1064" s="19">
        <v>1</v>
      </c>
      <c r="G1064" s="20">
        <v>16</v>
      </c>
      <c r="H1064" s="20">
        <v>0</v>
      </c>
      <c r="I1064" s="20">
        <v>0</v>
      </c>
      <c r="J1064" s="16">
        <f>OR(F1064&lt;&gt;0,G1064&lt;&gt;0,H1064&lt;&gt;0,I1064&lt;&gt;0)*(F1064 + (F1064 = 0))*(G1064 + (G1064 = 0))*(H1064 + (H1064 = 0))*(I1064 + (I1064 = 0))</f>
        <v>16</v>
      </c>
      <c r="K1064" s="9"/>
      <c r="L1064" s="9"/>
      <c r="M1064" s="9"/>
    </row>
    <row r="1065" spans="1:13">
      <c r="A1065" s="9"/>
      <c r="B1065" s="9"/>
      <c r="C1065" s="9"/>
      <c r="D1065" s="30"/>
      <c r="E1065" s="9"/>
      <c r="F1065" s="9"/>
      <c r="G1065" s="9"/>
      <c r="H1065" s="9"/>
      <c r="I1065" s="9"/>
      <c r="J1065" s="21" t="s">
        <v>949</v>
      </c>
      <c r="K1065" s="22">
        <f>J1064</f>
        <v>16</v>
      </c>
      <c r="L1065" s="23">
        <v>0</v>
      </c>
      <c r="M1065" s="24">
        <f>ROUND(K1065*L1065,2)</f>
        <v>0</v>
      </c>
    </row>
    <row r="1066" spans="1:13" ht="0.95" customHeight="1">
      <c r="A1066" s="25"/>
      <c r="B1066" s="25"/>
      <c r="C1066" s="25"/>
      <c r="D1066" s="31"/>
      <c r="E1066" s="25"/>
      <c r="F1066" s="25"/>
      <c r="G1066" s="25"/>
      <c r="H1066" s="25"/>
      <c r="I1066" s="25"/>
      <c r="J1066" s="25"/>
      <c r="K1066" s="25"/>
      <c r="L1066" s="25"/>
      <c r="M1066" s="25"/>
    </row>
    <row r="1067" spans="1:13" ht="33.75">
      <c r="A1067" s="15" t="s">
        <v>950</v>
      </c>
      <c r="B1067" s="10" t="s">
        <v>23</v>
      </c>
      <c r="C1067" s="10" t="s">
        <v>4</v>
      </c>
      <c r="D1067" s="18" t="s">
        <v>951</v>
      </c>
      <c r="E1067" s="9"/>
      <c r="F1067" s="9"/>
      <c r="G1067" s="9"/>
      <c r="H1067" s="9"/>
      <c r="I1067" s="9"/>
      <c r="J1067" s="9"/>
      <c r="K1067" s="16">
        <f>K1070</f>
        <v>1</v>
      </c>
      <c r="L1067" s="17">
        <f>L1070</f>
        <v>0</v>
      </c>
      <c r="M1067" s="17">
        <f>M1070</f>
        <v>0</v>
      </c>
    </row>
    <row r="1068" spans="1:13" ht="56.25">
      <c r="A1068" s="9"/>
      <c r="B1068" s="9"/>
      <c r="C1068" s="9"/>
      <c r="D1068" s="18" t="s">
        <v>952</v>
      </c>
      <c r="E1068" s="9"/>
      <c r="F1068" s="9"/>
      <c r="G1068" s="9"/>
      <c r="H1068" s="9"/>
      <c r="I1068" s="9"/>
      <c r="J1068" s="9"/>
      <c r="K1068" s="9"/>
      <c r="L1068" s="9"/>
      <c r="M1068" s="9"/>
    </row>
    <row r="1069" spans="1:13">
      <c r="A1069" s="9"/>
      <c r="B1069" s="9"/>
      <c r="C1069" s="10" t="s">
        <v>27</v>
      </c>
      <c r="D1069" s="30"/>
      <c r="E1069" s="10" t="s">
        <v>953</v>
      </c>
      <c r="F1069" s="19">
        <v>1</v>
      </c>
      <c r="G1069" s="20">
        <v>1</v>
      </c>
      <c r="H1069" s="20">
        <v>0</v>
      </c>
      <c r="I1069" s="20">
        <v>0</v>
      </c>
      <c r="J1069" s="16">
        <f>OR(F1069&lt;&gt;0,G1069&lt;&gt;0,H1069&lt;&gt;0,I1069&lt;&gt;0)*(F1069 + (F1069 = 0))*(G1069 + (G1069 = 0))*(H1069 + (H1069 = 0))*(I1069 + (I1069 = 0))</f>
        <v>1</v>
      </c>
      <c r="K1069" s="9"/>
      <c r="L1069" s="9"/>
      <c r="M1069" s="9"/>
    </row>
    <row r="1070" spans="1:13">
      <c r="A1070" s="9"/>
      <c r="B1070" s="9"/>
      <c r="C1070" s="9"/>
      <c r="D1070" s="30"/>
      <c r="E1070" s="9"/>
      <c r="F1070" s="9"/>
      <c r="G1070" s="9"/>
      <c r="H1070" s="9"/>
      <c r="I1070" s="9"/>
      <c r="J1070" s="21" t="s">
        <v>954</v>
      </c>
      <c r="K1070" s="22">
        <f>J1069</f>
        <v>1</v>
      </c>
      <c r="L1070" s="23">
        <v>0</v>
      </c>
      <c r="M1070" s="24">
        <f>ROUND(K1070*L1070,2)</f>
        <v>0</v>
      </c>
    </row>
    <row r="1071" spans="1:13" ht="0.95" customHeight="1">
      <c r="A1071" s="25"/>
      <c r="B1071" s="25"/>
      <c r="C1071" s="25"/>
      <c r="D1071" s="31"/>
      <c r="E1071" s="25"/>
      <c r="F1071" s="25"/>
      <c r="G1071" s="25"/>
      <c r="H1071" s="25"/>
      <c r="I1071" s="25"/>
      <c r="J1071" s="25"/>
      <c r="K1071" s="25"/>
      <c r="L1071" s="25"/>
      <c r="M1071" s="25"/>
    </row>
    <row r="1072" spans="1:13">
      <c r="A1072" s="9"/>
      <c r="B1072" s="9"/>
      <c r="C1072" s="9"/>
      <c r="D1072" s="30"/>
      <c r="E1072" s="9"/>
      <c r="F1072" s="9"/>
      <c r="G1072" s="9"/>
      <c r="H1072" s="9"/>
      <c r="I1072" s="9"/>
      <c r="J1072" s="21" t="s">
        <v>955</v>
      </c>
      <c r="K1072" s="20">
        <v>1</v>
      </c>
      <c r="L1072" s="24">
        <f>M1029+M1031+M1036+M1038+M1044+M1051+M1057+M1062+M1067</f>
        <v>0</v>
      </c>
      <c r="M1072" s="24">
        <f>ROUND(K1072*L1072,2)</f>
        <v>0</v>
      </c>
    </row>
    <row r="1073" spans="1:13" ht="0.95" customHeight="1">
      <c r="A1073" s="25"/>
      <c r="B1073" s="25"/>
      <c r="C1073" s="25"/>
      <c r="D1073" s="31"/>
      <c r="E1073" s="25"/>
      <c r="F1073" s="25"/>
      <c r="G1073" s="25"/>
      <c r="H1073" s="25"/>
      <c r="I1073" s="25"/>
      <c r="J1073" s="25"/>
      <c r="K1073" s="25"/>
      <c r="L1073" s="25"/>
      <c r="M1073" s="25"/>
    </row>
    <row r="1074" spans="1:13">
      <c r="A1074" s="11" t="s">
        <v>956</v>
      </c>
      <c r="B1074" s="11" t="s">
        <v>16</v>
      </c>
      <c r="C1074" s="11" t="s">
        <v>17</v>
      </c>
      <c r="D1074" s="29" t="s">
        <v>957</v>
      </c>
      <c r="E1074" s="12"/>
      <c r="F1074" s="12"/>
      <c r="G1074" s="12"/>
      <c r="H1074" s="12"/>
      <c r="I1074" s="12"/>
      <c r="J1074" s="12"/>
      <c r="K1074" s="13">
        <f>K1082</f>
        <v>1</v>
      </c>
      <c r="L1074" s="14">
        <f>L1082</f>
        <v>0</v>
      </c>
      <c r="M1074" s="14">
        <f>M1082</f>
        <v>0</v>
      </c>
    </row>
    <row r="1075" spans="1:13" ht="45">
      <c r="A1075" s="15" t="s">
        <v>958</v>
      </c>
      <c r="B1075" s="10" t="s">
        <v>23</v>
      </c>
      <c r="C1075" s="10" t="s">
        <v>4</v>
      </c>
      <c r="D1075" s="18" t="s">
        <v>959</v>
      </c>
      <c r="E1075" s="9"/>
      <c r="F1075" s="9"/>
      <c r="G1075" s="9"/>
      <c r="H1075" s="9"/>
      <c r="I1075" s="9"/>
      <c r="J1075" s="9"/>
      <c r="K1075" s="16">
        <f>K1078</f>
        <v>1</v>
      </c>
      <c r="L1075" s="17">
        <f>L1078</f>
        <v>0</v>
      </c>
      <c r="M1075" s="17">
        <f>M1078</f>
        <v>0</v>
      </c>
    </row>
    <row r="1076" spans="1:13">
      <c r="A1076" s="9"/>
      <c r="B1076" s="9"/>
      <c r="C1076" s="9"/>
      <c r="D1076" s="18" t="s">
        <v>960</v>
      </c>
      <c r="E1076" s="9"/>
      <c r="F1076" s="9"/>
      <c r="G1076" s="9"/>
      <c r="H1076" s="9"/>
      <c r="I1076" s="9"/>
      <c r="J1076" s="9"/>
      <c r="K1076" s="9"/>
      <c r="L1076" s="9"/>
      <c r="M1076" s="9"/>
    </row>
    <row r="1077" spans="1:13">
      <c r="A1077" s="9"/>
      <c r="B1077" s="9"/>
      <c r="C1077" s="10" t="s">
        <v>27</v>
      </c>
      <c r="D1077" s="30"/>
      <c r="E1077" s="10" t="s">
        <v>763</v>
      </c>
      <c r="F1077" s="19">
        <v>1</v>
      </c>
      <c r="G1077" s="20">
        <v>0</v>
      </c>
      <c r="H1077" s="20">
        <v>0</v>
      </c>
      <c r="I1077" s="20">
        <v>0</v>
      </c>
      <c r="J1077" s="16">
        <f>OR(F1077&lt;&gt;0,G1077&lt;&gt;0,H1077&lt;&gt;0,I1077&lt;&gt;0)*(F1077 + (F1077 = 0))*(G1077 + (G1077 = 0))*(H1077 + (H1077 = 0))*(I1077 + (I1077 = 0))</f>
        <v>1</v>
      </c>
      <c r="K1077" s="9"/>
      <c r="L1077" s="9"/>
      <c r="M1077" s="9"/>
    </row>
    <row r="1078" spans="1:13">
      <c r="A1078" s="9"/>
      <c r="B1078" s="9"/>
      <c r="C1078" s="9"/>
      <c r="D1078" s="30"/>
      <c r="E1078" s="9"/>
      <c r="F1078" s="9"/>
      <c r="G1078" s="9"/>
      <c r="H1078" s="9"/>
      <c r="I1078" s="9"/>
      <c r="J1078" s="21" t="s">
        <v>961</v>
      </c>
      <c r="K1078" s="22">
        <f>J1077</f>
        <v>1</v>
      </c>
      <c r="L1078" s="23">
        <v>0</v>
      </c>
      <c r="M1078" s="24">
        <f>ROUND(K1078*L1078,2)</f>
        <v>0</v>
      </c>
    </row>
    <row r="1079" spans="1:13" ht="0.95" customHeight="1">
      <c r="A1079" s="25"/>
      <c r="B1079" s="25"/>
      <c r="C1079" s="25"/>
      <c r="D1079" s="31"/>
      <c r="E1079" s="25"/>
      <c r="F1079" s="25"/>
      <c r="G1079" s="25"/>
      <c r="H1079" s="25"/>
      <c r="I1079" s="25"/>
      <c r="J1079" s="25"/>
      <c r="K1079" s="25"/>
      <c r="L1079" s="25"/>
      <c r="M1079" s="25"/>
    </row>
    <row r="1080" spans="1:13" ht="33.75">
      <c r="A1080" s="15" t="s">
        <v>962</v>
      </c>
      <c r="B1080" s="10" t="s">
        <v>23</v>
      </c>
      <c r="C1080" s="10" t="s">
        <v>4</v>
      </c>
      <c r="D1080" s="18" t="s">
        <v>963</v>
      </c>
      <c r="E1080" s="9"/>
      <c r="F1080" s="9"/>
      <c r="G1080" s="9"/>
      <c r="H1080" s="9"/>
      <c r="I1080" s="9"/>
      <c r="J1080" s="9"/>
      <c r="K1080" s="20">
        <v>1</v>
      </c>
      <c r="L1080" s="23">
        <v>0</v>
      </c>
      <c r="M1080" s="17">
        <f>ROUND(K1080*L1080,2)</f>
        <v>0</v>
      </c>
    </row>
    <row r="1081" spans="1:13">
      <c r="A1081" s="9"/>
      <c r="B1081" s="9"/>
      <c r="C1081" s="9"/>
      <c r="D1081" s="18" t="s">
        <v>964</v>
      </c>
      <c r="E1081" s="9"/>
      <c r="F1081" s="9"/>
      <c r="G1081" s="9"/>
      <c r="H1081" s="9"/>
      <c r="I1081" s="9"/>
      <c r="J1081" s="9"/>
      <c r="K1081" s="9"/>
      <c r="L1081" s="9"/>
      <c r="M1081" s="9"/>
    </row>
    <row r="1082" spans="1:13">
      <c r="A1082" s="9"/>
      <c r="B1082" s="9"/>
      <c r="C1082" s="9"/>
      <c r="D1082" s="30"/>
      <c r="E1082" s="9"/>
      <c r="F1082" s="9"/>
      <c r="G1082" s="9"/>
      <c r="H1082" s="9"/>
      <c r="I1082" s="9"/>
      <c r="J1082" s="21" t="s">
        <v>965</v>
      </c>
      <c r="K1082" s="20">
        <v>1</v>
      </c>
      <c r="L1082" s="24">
        <f>M1075+M1080</f>
        <v>0</v>
      </c>
      <c r="M1082" s="24">
        <f>ROUND(K1082*L1082,2)</f>
        <v>0</v>
      </c>
    </row>
    <row r="1083" spans="1:13" ht="0.95" customHeight="1">
      <c r="A1083" s="25"/>
      <c r="B1083" s="25"/>
      <c r="C1083" s="25"/>
      <c r="D1083" s="31"/>
      <c r="E1083" s="25"/>
      <c r="F1083" s="25"/>
      <c r="G1083" s="25"/>
      <c r="H1083" s="25"/>
      <c r="I1083" s="25"/>
      <c r="J1083" s="25"/>
      <c r="K1083" s="25"/>
      <c r="L1083" s="25"/>
      <c r="M1083" s="25"/>
    </row>
    <row r="1084" spans="1:13">
      <c r="A1084" s="11" t="s">
        <v>966</v>
      </c>
      <c r="B1084" s="11" t="s">
        <v>16</v>
      </c>
      <c r="C1084" s="11" t="s">
        <v>17</v>
      </c>
      <c r="D1084" s="29" t="s">
        <v>967</v>
      </c>
      <c r="E1084" s="12"/>
      <c r="F1084" s="12"/>
      <c r="G1084" s="12"/>
      <c r="H1084" s="12"/>
      <c r="I1084" s="12"/>
      <c r="J1084" s="12"/>
      <c r="K1084" s="13">
        <f>K1101</f>
        <v>1</v>
      </c>
      <c r="L1084" s="14">
        <f>L1101</f>
        <v>0</v>
      </c>
      <c r="M1084" s="14">
        <f>M1101</f>
        <v>0</v>
      </c>
    </row>
    <row r="1085" spans="1:13" ht="33.75">
      <c r="A1085" s="15" t="s">
        <v>968</v>
      </c>
      <c r="B1085" s="10" t="s">
        <v>23</v>
      </c>
      <c r="C1085" s="10" t="s">
        <v>66</v>
      </c>
      <c r="D1085" s="18" t="s">
        <v>969</v>
      </c>
      <c r="E1085" s="9"/>
      <c r="F1085" s="9"/>
      <c r="G1085" s="9"/>
      <c r="H1085" s="9"/>
      <c r="I1085" s="9"/>
      <c r="J1085" s="9"/>
      <c r="K1085" s="20">
        <v>17.45</v>
      </c>
      <c r="L1085" s="23">
        <v>0</v>
      </c>
      <c r="M1085" s="17">
        <f>ROUND(K1085*L1085,2)</f>
        <v>0</v>
      </c>
    </row>
    <row r="1086" spans="1:13">
      <c r="A1086" s="9"/>
      <c r="B1086" s="9"/>
      <c r="C1086" s="9"/>
      <c r="D1086" s="18" t="s">
        <v>970</v>
      </c>
      <c r="E1086" s="9"/>
      <c r="F1086" s="9"/>
      <c r="G1086" s="9"/>
      <c r="H1086" s="9"/>
      <c r="I1086" s="9"/>
      <c r="J1086" s="9"/>
      <c r="K1086" s="9"/>
      <c r="L1086" s="9"/>
      <c r="M1086" s="9"/>
    </row>
    <row r="1087" spans="1:13" ht="33.75">
      <c r="A1087" s="15" t="s">
        <v>971</v>
      </c>
      <c r="B1087" s="10" t="s">
        <v>23</v>
      </c>
      <c r="C1087" s="10" t="s">
        <v>4</v>
      </c>
      <c r="D1087" s="18" t="s">
        <v>972</v>
      </c>
      <c r="E1087" s="9"/>
      <c r="F1087" s="9"/>
      <c r="G1087" s="9"/>
      <c r="H1087" s="9"/>
      <c r="I1087" s="9"/>
      <c r="J1087" s="9"/>
      <c r="K1087" s="20">
        <v>1</v>
      </c>
      <c r="L1087" s="23">
        <v>0</v>
      </c>
      <c r="M1087" s="17">
        <f>ROUND(K1087*L1087,2)</f>
        <v>0</v>
      </c>
    </row>
    <row r="1088" spans="1:13">
      <c r="A1088" s="9"/>
      <c r="B1088" s="9"/>
      <c r="C1088" s="9"/>
      <c r="D1088" s="18" t="s">
        <v>973</v>
      </c>
      <c r="E1088" s="9"/>
      <c r="F1088" s="9"/>
      <c r="G1088" s="9"/>
      <c r="H1088" s="9"/>
      <c r="I1088" s="9"/>
      <c r="J1088" s="9"/>
      <c r="K1088" s="9"/>
      <c r="L1088" s="9"/>
      <c r="M1088" s="9"/>
    </row>
    <row r="1089" spans="1:13" ht="33.75">
      <c r="A1089" s="15" t="s">
        <v>974</v>
      </c>
      <c r="B1089" s="10" t="s">
        <v>23</v>
      </c>
      <c r="C1089" s="10" t="s">
        <v>66</v>
      </c>
      <c r="D1089" s="18" t="s">
        <v>975</v>
      </c>
      <c r="E1089" s="9"/>
      <c r="F1089" s="9"/>
      <c r="G1089" s="9"/>
      <c r="H1089" s="9"/>
      <c r="I1089" s="9"/>
      <c r="J1089" s="9"/>
      <c r="K1089" s="20">
        <v>12.21</v>
      </c>
      <c r="L1089" s="23">
        <v>0</v>
      </c>
      <c r="M1089" s="17">
        <f>ROUND(K1089*L1089,2)</f>
        <v>0</v>
      </c>
    </row>
    <row r="1090" spans="1:13">
      <c r="A1090" s="9"/>
      <c r="B1090" s="9"/>
      <c r="C1090" s="9"/>
      <c r="D1090" s="18" t="s">
        <v>976</v>
      </c>
      <c r="E1090" s="9"/>
      <c r="F1090" s="9"/>
      <c r="G1090" s="9"/>
      <c r="H1090" s="9"/>
      <c r="I1090" s="9"/>
      <c r="J1090" s="9"/>
      <c r="K1090" s="9"/>
      <c r="L1090" s="9"/>
      <c r="M1090" s="9"/>
    </row>
    <row r="1091" spans="1:13" ht="33.75">
      <c r="A1091" s="15" t="s">
        <v>977</v>
      </c>
      <c r="B1091" s="10" t="s">
        <v>23</v>
      </c>
      <c r="C1091" s="10" t="s">
        <v>66</v>
      </c>
      <c r="D1091" s="18" t="s">
        <v>978</v>
      </c>
      <c r="E1091" s="9"/>
      <c r="F1091" s="9"/>
      <c r="G1091" s="9"/>
      <c r="H1091" s="9"/>
      <c r="I1091" s="9"/>
      <c r="J1091" s="9"/>
      <c r="K1091" s="20">
        <v>3</v>
      </c>
      <c r="L1091" s="23">
        <v>0</v>
      </c>
      <c r="M1091" s="17">
        <f>ROUND(K1091*L1091,2)</f>
        <v>0</v>
      </c>
    </row>
    <row r="1092" spans="1:13">
      <c r="A1092" s="9"/>
      <c r="B1092" s="9"/>
      <c r="C1092" s="9"/>
      <c r="D1092" s="18" t="s">
        <v>979</v>
      </c>
      <c r="E1092" s="9"/>
      <c r="F1092" s="9"/>
      <c r="G1092" s="9"/>
      <c r="H1092" s="9"/>
      <c r="I1092" s="9"/>
      <c r="J1092" s="9"/>
      <c r="K1092" s="9"/>
      <c r="L1092" s="9"/>
      <c r="M1092" s="9"/>
    </row>
    <row r="1093" spans="1:13" ht="33.75">
      <c r="A1093" s="15" t="s">
        <v>980</v>
      </c>
      <c r="B1093" s="10" t="s">
        <v>23</v>
      </c>
      <c r="C1093" s="10" t="s">
        <v>66</v>
      </c>
      <c r="D1093" s="18" t="s">
        <v>981</v>
      </c>
      <c r="E1093" s="9"/>
      <c r="F1093" s="9"/>
      <c r="G1093" s="9"/>
      <c r="H1093" s="9"/>
      <c r="I1093" s="9"/>
      <c r="J1093" s="9"/>
      <c r="K1093" s="20">
        <v>9.43</v>
      </c>
      <c r="L1093" s="23">
        <v>0</v>
      </c>
      <c r="M1093" s="17">
        <f>ROUND(K1093*L1093,2)</f>
        <v>0</v>
      </c>
    </row>
    <row r="1094" spans="1:13">
      <c r="A1094" s="9"/>
      <c r="B1094" s="9"/>
      <c r="C1094" s="9"/>
      <c r="D1094" s="18" t="s">
        <v>982</v>
      </c>
      <c r="E1094" s="9"/>
      <c r="F1094" s="9"/>
      <c r="G1094" s="9"/>
      <c r="H1094" s="9"/>
      <c r="I1094" s="9"/>
      <c r="J1094" s="9"/>
      <c r="K1094" s="9"/>
      <c r="L1094" s="9"/>
      <c r="M1094" s="9"/>
    </row>
    <row r="1095" spans="1:13" ht="33.75">
      <c r="A1095" s="15" t="s">
        <v>983</v>
      </c>
      <c r="B1095" s="10" t="s">
        <v>23</v>
      </c>
      <c r="C1095" s="10" t="s">
        <v>66</v>
      </c>
      <c r="D1095" s="18" t="s">
        <v>984</v>
      </c>
      <c r="E1095" s="9"/>
      <c r="F1095" s="9"/>
      <c r="G1095" s="9"/>
      <c r="H1095" s="9"/>
      <c r="I1095" s="9"/>
      <c r="J1095" s="9"/>
      <c r="K1095" s="20">
        <v>1.45</v>
      </c>
      <c r="L1095" s="23">
        <v>0</v>
      </c>
      <c r="M1095" s="17">
        <f>ROUND(K1095*L1095,2)</f>
        <v>0</v>
      </c>
    </row>
    <row r="1096" spans="1:13">
      <c r="A1096" s="9"/>
      <c r="B1096" s="9"/>
      <c r="C1096" s="9"/>
      <c r="D1096" s="18" t="s">
        <v>985</v>
      </c>
      <c r="E1096" s="9"/>
      <c r="F1096" s="9"/>
      <c r="G1096" s="9"/>
      <c r="H1096" s="9"/>
      <c r="I1096" s="9"/>
      <c r="J1096" s="9"/>
      <c r="K1096" s="9"/>
      <c r="L1096" s="9"/>
      <c r="M1096" s="9"/>
    </row>
    <row r="1097" spans="1:13" ht="33.75">
      <c r="A1097" s="15" t="s">
        <v>986</v>
      </c>
      <c r="B1097" s="10" t="s">
        <v>23</v>
      </c>
      <c r="C1097" s="10" t="s">
        <v>66</v>
      </c>
      <c r="D1097" s="18" t="s">
        <v>987</v>
      </c>
      <c r="E1097" s="9"/>
      <c r="F1097" s="9"/>
      <c r="G1097" s="9"/>
      <c r="H1097" s="9"/>
      <c r="I1097" s="9"/>
      <c r="J1097" s="9"/>
      <c r="K1097" s="20">
        <v>7.88</v>
      </c>
      <c r="L1097" s="23">
        <v>0</v>
      </c>
      <c r="M1097" s="17">
        <f>ROUND(K1097*L1097,2)</f>
        <v>0</v>
      </c>
    </row>
    <row r="1098" spans="1:13">
      <c r="A1098" s="9"/>
      <c r="B1098" s="9"/>
      <c r="C1098" s="9"/>
      <c r="D1098" s="18" t="s">
        <v>988</v>
      </c>
      <c r="E1098" s="9"/>
      <c r="F1098" s="9"/>
      <c r="G1098" s="9"/>
      <c r="H1098" s="9"/>
      <c r="I1098" s="9"/>
      <c r="J1098" s="9"/>
      <c r="K1098" s="9"/>
      <c r="L1098" s="9"/>
      <c r="M1098" s="9"/>
    </row>
    <row r="1099" spans="1:13" ht="33.75">
      <c r="A1099" s="15" t="s">
        <v>989</v>
      </c>
      <c r="B1099" s="10" t="s">
        <v>23</v>
      </c>
      <c r="C1099" s="10" t="s">
        <v>4</v>
      </c>
      <c r="D1099" s="18" t="s">
        <v>990</v>
      </c>
      <c r="E1099" s="9"/>
      <c r="F1099" s="9"/>
      <c r="G1099" s="9"/>
      <c r="H1099" s="9"/>
      <c r="I1099" s="9"/>
      <c r="J1099" s="9"/>
      <c r="K1099" s="20">
        <v>3</v>
      </c>
      <c r="L1099" s="23">
        <v>0</v>
      </c>
      <c r="M1099" s="17">
        <f>ROUND(K1099*L1099,2)</f>
        <v>0</v>
      </c>
    </row>
    <row r="1100" spans="1:13" ht="67.5">
      <c r="A1100" s="9"/>
      <c r="B1100" s="9"/>
      <c r="C1100" s="9"/>
      <c r="D1100" s="18" t="s">
        <v>991</v>
      </c>
      <c r="E1100" s="9"/>
      <c r="F1100" s="9"/>
      <c r="G1100" s="9"/>
      <c r="H1100" s="9"/>
      <c r="I1100" s="9"/>
      <c r="J1100" s="9"/>
      <c r="K1100" s="9"/>
      <c r="L1100" s="9"/>
      <c r="M1100" s="9"/>
    </row>
    <row r="1101" spans="1:13">
      <c r="A1101" s="9"/>
      <c r="B1101" s="9"/>
      <c r="C1101" s="9"/>
      <c r="D1101" s="30"/>
      <c r="E1101" s="9"/>
      <c r="F1101" s="9"/>
      <c r="G1101" s="9"/>
      <c r="H1101" s="9"/>
      <c r="I1101" s="9"/>
      <c r="J1101" s="21" t="s">
        <v>992</v>
      </c>
      <c r="K1101" s="20">
        <v>1</v>
      </c>
      <c r="L1101" s="24">
        <f>M1085+M1087+M1089+M1091+M1093+M1095+M1097+M1099</f>
        <v>0</v>
      </c>
      <c r="M1101" s="24">
        <f>ROUND(K1101*L1101,2)</f>
        <v>0</v>
      </c>
    </row>
    <row r="1102" spans="1:13" ht="0.95" customHeight="1">
      <c r="A1102" s="25"/>
      <c r="B1102" s="25"/>
      <c r="C1102" s="25"/>
      <c r="D1102" s="31"/>
      <c r="E1102" s="25"/>
      <c r="F1102" s="25"/>
      <c r="G1102" s="25"/>
      <c r="H1102" s="25"/>
      <c r="I1102" s="25"/>
      <c r="J1102" s="25"/>
      <c r="K1102" s="25"/>
      <c r="L1102" s="25"/>
      <c r="M1102" s="25"/>
    </row>
    <row r="1103" spans="1:13">
      <c r="A1103" s="11" t="s">
        <v>993</v>
      </c>
      <c r="B1103" s="11" t="s">
        <v>16</v>
      </c>
      <c r="C1103" s="11" t="s">
        <v>17</v>
      </c>
      <c r="D1103" s="29" t="s">
        <v>994</v>
      </c>
      <c r="E1103" s="12"/>
      <c r="F1103" s="12"/>
      <c r="G1103" s="12"/>
      <c r="H1103" s="12"/>
      <c r="I1103" s="12"/>
      <c r="J1103" s="12"/>
      <c r="K1103" s="13">
        <f>K1107</f>
        <v>1</v>
      </c>
      <c r="L1103" s="14">
        <f>L1107</f>
        <v>0</v>
      </c>
      <c r="M1103" s="14">
        <f>M1107</f>
        <v>0</v>
      </c>
    </row>
    <row r="1104" spans="1:13">
      <c r="A1104" s="9"/>
      <c r="B1104" s="9"/>
      <c r="C1104" s="9"/>
      <c r="D1104" s="18" t="s">
        <v>994</v>
      </c>
      <c r="E1104" s="9"/>
      <c r="F1104" s="9"/>
      <c r="G1104" s="9"/>
      <c r="H1104" s="9"/>
      <c r="I1104" s="9"/>
      <c r="J1104" s="9"/>
      <c r="K1104" s="9"/>
      <c r="L1104" s="9"/>
      <c r="M1104" s="9"/>
    </row>
    <row r="1105" spans="1:13" ht="33.75">
      <c r="A1105" s="15" t="s">
        <v>995</v>
      </c>
      <c r="B1105" s="10" t="s">
        <v>23</v>
      </c>
      <c r="C1105" s="10" t="s">
        <v>4</v>
      </c>
      <c r="D1105" s="18" t="s">
        <v>996</v>
      </c>
      <c r="E1105" s="9"/>
      <c r="F1105" s="9"/>
      <c r="G1105" s="9"/>
      <c r="H1105" s="9"/>
      <c r="I1105" s="9"/>
      <c r="J1105" s="9"/>
      <c r="K1105" s="20">
        <v>0</v>
      </c>
      <c r="L1105" s="23">
        <v>0</v>
      </c>
      <c r="M1105" s="17">
        <f>ROUND(K1105*L1105,2)</f>
        <v>0</v>
      </c>
    </row>
    <row r="1106" spans="1:13">
      <c r="A1106" s="9"/>
      <c r="B1106" s="9"/>
      <c r="C1106" s="9"/>
      <c r="D1106" s="18" t="s">
        <v>997</v>
      </c>
      <c r="E1106" s="9"/>
      <c r="F1106" s="9"/>
      <c r="G1106" s="9"/>
      <c r="H1106" s="9"/>
      <c r="I1106" s="9"/>
      <c r="J1106" s="9"/>
      <c r="K1106" s="9"/>
      <c r="L1106" s="9"/>
      <c r="M1106" s="9"/>
    </row>
    <row r="1107" spans="1:13">
      <c r="A1107" s="9"/>
      <c r="B1107" s="9"/>
      <c r="C1107" s="9"/>
      <c r="D1107" s="30"/>
      <c r="E1107" s="9"/>
      <c r="F1107" s="9"/>
      <c r="G1107" s="9"/>
      <c r="H1107" s="9"/>
      <c r="I1107" s="9"/>
      <c r="J1107" s="21" t="s">
        <v>998</v>
      </c>
      <c r="K1107" s="20">
        <v>1</v>
      </c>
      <c r="L1107" s="23">
        <v>0</v>
      </c>
      <c r="M1107" s="24">
        <f>ROUND(K1107*L1107,2)</f>
        <v>0</v>
      </c>
    </row>
    <row r="1108" spans="1:13" ht="0.95" customHeight="1">
      <c r="A1108" s="25"/>
      <c r="B1108" s="25"/>
      <c r="C1108" s="25"/>
      <c r="D1108" s="31"/>
      <c r="E1108" s="25"/>
      <c r="F1108" s="25"/>
      <c r="G1108" s="25"/>
      <c r="H1108" s="25"/>
      <c r="I1108" s="25"/>
      <c r="J1108" s="25"/>
      <c r="K1108" s="25"/>
      <c r="L1108" s="25"/>
      <c r="M1108" s="25"/>
    </row>
    <row r="1109" spans="1:13">
      <c r="A1109" s="11" t="s">
        <v>999</v>
      </c>
      <c r="B1109" s="11" t="s">
        <v>16</v>
      </c>
      <c r="C1109" s="11" t="s">
        <v>17</v>
      </c>
      <c r="D1109" s="29" t="s">
        <v>1000</v>
      </c>
      <c r="E1109" s="12"/>
      <c r="F1109" s="12"/>
      <c r="G1109" s="12"/>
      <c r="H1109" s="12"/>
      <c r="I1109" s="12"/>
      <c r="J1109" s="12"/>
      <c r="K1109" s="13">
        <f>K1175</f>
        <v>1</v>
      </c>
      <c r="L1109" s="14">
        <f>L1175</f>
        <v>0</v>
      </c>
      <c r="M1109" s="14">
        <f>M1175</f>
        <v>0</v>
      </c>
    </row>
    <row r="1110" spans="1:13" ht="33.75">
      <c r="A1110" s="15" t="s">
        <v>1001</v>
      </c>
      <c r="B1110" s="10" t="s">
        <v>23</v>
      </c>
      <c r="C1110" s="10" t="s">
        <v>4</v>
      </c>
      <c r="D1110" s="18" t="s">
        <v>1002</v>
      </c>
      <c r="E1110" s="9"/>
      <c r="F1110" s="9"/>
      <c r="G1110" s="9"/>
      <c r="H1110" s="9"/>
      <c r="I1110" s="9"/>
      <c r="J1110" s="9"/>
      <c r="K1110" s="16">
        <f>K1116</f>
        <v>5</v>
      </c>
      <c r="L1110" s="17">
        <f>L1116</f>
        <v>0</v>
      </c>
      <c r="M1110" s="17">
        <f>M1116</f>
        <v>0</v>
      </c>
    </row>
    <row r="1111" spans="1:13">
      <c r="A1111" s="9"/>
      <c r="B1111" s="9"/>
      <c r="C1111" s="9"/>
      <c r="D1111" s="18" t="s">
        <v>1003</v>
      </c>
      <c r="E1111" s="9"/>
      <c r="F1111" s="9"/>
      <c r="G1111" s="9"/>
      <c r="H1111" s="9"/>
      <c r="I1111" s="9"/>
      <c r="J1111" s="9"/>
      <c r="K1111" s="9"/>
      <c r="L1111" s="9"/>
      <c r="M1111" s="9"/>
    </row>
    <row r="1112" spans="1:13">
      <c r="A1112" s="9"/>
      <c r="B1112" s="9"/>
      <c r="C1112" s="10" t="s">
        <v>27</v>
      </c>
      <c r="D1112" s="30"/>
      <c r="E1112" s="10" t="s">
        <v>1004</v>
      </c>
      <c r="F1112" s="19">
        <v>2</v>
      </c>
      <c r="G1112" s="20">
        <v>0</v>
      </c>
      <c r="H1112" s="20">
        <v>0</v>
      </c>
      <c r="I1112" s="20">
        <v>0</v>
      </c>
      <c r="J1112" s="16">
        <f>OR(F1112&lt;&gt;0,G1112&lt;&gt;0,H1112&lt;&gt;0,I1112&lt;&gt;0)*(F1112 + (F1112 = 0))*(G1112 + (G1112 = 0))*(H1112 + (H1112 = 0))*(I1112 + (I1112 = 0))</f>
        <v>2</v>
      </c>
      <c r="K1112" s="9"/>
      <c r="L1112" s="9"/>
      <c r="M1112" s="9"/>
    </row>
    <row r="1113" spans="1:13">
      <c r="A1113" s="9"/>
      <c r="B1113" s="9"/>
      <c r="C1113" s="10" t="s">
        <v>27</v>
      </c>
      <c r="D1113" s="30"/>
      <c r="E1113" s="10" t="s">
        <v>1005</v>
      </c>
      <c r="F1113" s="19">
        <v>1</v>
      </c>
      <c r="G1113" s="20">
        <v>0</v>
      </c>
      <c r="H1113" s="20">
        <v>0</v>
      </c>
      <c r="I1113" s="20">
        <v>0</v>
      </c>
      <c r="J1113" s="16">
        <f>OR(F1113&lt;&gt;0,G1113&lt;&gt;0,H1113&lt;&gt;0,I1113&lt;&gt;0)*(F1113 + (F1113 = 0))*(G1113 + (G1113 = 0))*(H1113 + (H1113 = 0))*(I1113 + (I1113 = 0))</f>
        <v>1</v>
      </c>
      <c r="K1113" s="9"/>
      <c r="L1113" s="9"/>
      <c r="M1113" s="9"/>
    </row>
    <row r="1114" spans="1:13">
      <c r="A1114" s="9"/>
      <c r="B1114" s="9"/>
      <c r="C1114" s="10" t="s">
        <v>27</v>
      </c>
      <c r="D1114" s="30"/>
      <c r="E1114" s="10" t="s">
        <v>1006</v>
      </c>
      <c r="F1114" s="19">
        <v>1</v>
      </c>
      <c r="G1114" s="20">
        <v>0</v>
      </c>
      <c r="H1114" s="20">
        <v>0</v>
      </c>
      <c r="I1114" s="20">
        <v>0</v>
      </c>
      <c r="J1114" s="16">
        <f>OR(F1114&lt;&gt;0,G1114&lt;&gt;0,H1114&lt;&gt;0,I1114&lt;&gt;0)*(F1114 + (F1114 = 0))*(G1114 + (G1114 = 0))*(H1114 + (H1114 = 0))*(I1114 + (I1114 = 0))</f>
        <v>1</v>
      </c>
      <c r="K1114" s="9"/>
      <c r="L1114" s="9"/>
      <c r="M1114" s="9"/>
    </row>
    <row r="1115" spans="1:13">
      <c r="A1115" s="9"/>
      <c r="B1115" s="9"/>
      <c r="C1115" s="10" t="s">
        <v>27</v>
      </c>
      <c r="D1115" s="30"/>
      <c r="E1115" s="10" t="s">
        <v>1007</v>
      </c>
      <c r="F1115" s="19">
        <v>1</v>
      </c>
      <c r="G1115" s="20">
        <v>0</v>
      </c>
      <c r="H1115" s="20">
        <v>0</v>
      </c>
      <c r="I1115" s="20">
        <v>0</v>
      </c>
      <c r="J1115" s="16">
        <f>OR(F1115&lt;&gt;0,G1115&lt;&gt;0,H1115&lt;&gt;0,I1115&lt;&gt;0)*(F1115 + (F1115 = 0))*(G1115 + (G1115 = 0))*(H1115 + (H1115 = 0))*(I1115 + (I1115 = 0))</f>
        <v>1</v>
      </c>
      <c r="K1115" s="9"/>
      <c r="L1115" s="9"/>
      <c r="M1115" s="9"/>
    </row>
    <row r="1116" spans="1:13">
      <c r="A1116" s="9"/>
      <c r="B1116" s="9"/>
      <c r="C1116" s="9"/>
      <c r="D1116" s="30"/>
      <c r="E1116" s="9"/>
      <c r="F1116" s="9"/>
      <c r="G1116" s="9"/>
      <c r="H1116" s="9"/>
      <c r="I1116" s="9"/>
      <c r="J1116" s="21" t="s">
        <v>1008</v>
      </c>
      <c r="K1116" s="22">
        <f>SUM(J1112:J1115)</f>
        <v>5</v>
      </c>
      <c r="L1116" s="23">
        <v>0</v>
      </c>
      <c r="M1116" s="24">
        <f>ROUND(K1116*L1116,2)</f>
        <v>0</v>
      </c>
    </row>
    <row r="1117" spans="1:13" ht="0.95" customHeight="1">
      <c r="A1117" s="25"/>
      <c r="B1117" s="25"/>
      <c r="C1117" s="25"/>
      <c r="D1117" s="31"/>
      <c r="E1117" s="25"/>
      <c r="F1117" s="25"/>
      <c r="G1117" s="25"/>
      <c r="H1117" s="25"/>
      <c r="I1117" s="25"/>
      <c r="J1117" s="25"/>
      <c r="K1117" s="25"/>
      <c r="L1117" s="25"/>
      <c r="M1117" s="25"/>
    </row>
    <row r="1118" spans="1:13" ht="45">
      <c r="A1118" s="15" t="s">
        <v>1009</v>
      </c>
      <c r="B1118" s="10" t="s">
        <v>23</v>
      </c>
      <c r="C1118" s="10" t="s">
        <v>4</v>
      </c>
      <c r="D1118" s="18" t="s">
        <v>1010</v>
      </c>
      <c r="E1118" s="9"/>
      <c r="F1118" s="9"/>
      <c r="G1118" s="9"/>
      <c r="H1118" s="9"/>
      <c r="I1118" s="9"/>
      <c r="J1118" s="9"/>
      <c r="K1118" s="16">
        <f>K1124</f>
        <v>4</v>
      </c>
      <c r="L1118" s="17">
        <f>L1124</f>
        <v>0</v>
      </c>
      <c r="M1118" s="17">
        <f>M1124</f>
        <v>0</v>
      </c>
    </row>
    <row r="1119" spans="1:13">
      <c r="A1119" s="9"/>
      <c r="B1119" s="9"/>
      <c r="C1119" s="9"/>
      <c r="D1119" s="18" t="s">
        <v>1011</v>
      </c>
      <c r="E1119" s="9"/>
      <c r="F1119" s="9"/>
      <c r="G1119" s="9"/>
      <c r="H1119" s="9"/>
      <c r="I1119" s="9"/>
      <c r="J1119" s="9"/>
      <c r="K1119" s="9"/>
      <c r="L1119" s="9"/>
      <c r="M1119" s="9"/>
    </row>
    <row r="1120" spans="1:13">
      <c r="A1120" s="9"/>
      <c r="B1120" s="9"/>
      <c r="C1120" s="10" t="s">
        <v>27</v>
      </c>
      <c r="D1120" s="30"/>
      <c r="E1120" s="10" t="s">
        <v>1012</v>
      </c>
      <c r="F1120" s="19">
        <v>1</v>
      </c>
      <c r="G1120" s="20">
        <v>0</v>
      </c>
      <c r="H1120" s="20">
        <v>0</v>
      </c>
      <c r="I1120" s="20">
        <v>0</v>
      </c>
      <c r="J1120" s="16">
        <f>OR(F1120&lt;&gt;0,G1120&lt;&gt;0,H1120&lt;&gt;0,I1120&lt;&gt;0)*(F1120 + (F1120 = 0))*(G1120 + (G1120 = 0))*(H1120 + (H1120 = 0))*(I1120 + (I1120 = 0))</f>
        <v>1</v>
      </c>
      <c r="K1120" s="9"/>
      <c r="L1120" s="9"/>
      <c r="M1120" s="9"/>
    </row>
    <row r="1121" spans="1:13">
      <c r="A1121" s="9"/>
      <c r="B1121" s="9"/>
      <c r="C1121" s="10" t="s">
        <v>27</v>
      </c>
      <c r="D1121" s="30"/>
      <c r="E1121" s="10" t="s">
        <v>1013</v>
      </c>
      <c r="F1121" s="19">
        <v>1</v>
      </c>
      <c r="G1121" s="20">
        <v>0</v>
      </c>
      <c r="H1121" s="20">
        <v>0</v>
      </c>
      <c r="I1121" s="20">
        <v>0</v>
      </c>
      <c r="J1121" s="16">
        <f>OR(F1121&lt;&gt;0,G1121&lt;&gt;0,H1121&lt;&gt;0,I1121&lt;&gt;0)*(F1121 + (F1121 = 0))*(G1121 + (G1121 = 0))*(H1121 + (H1121 = 0))*(I1121 + (I1121 = 0))</f>
        <v>1</v>
      </c>
      <c r="K1121" s="9"/>
      <c r="L1121" s="9"/>
      <c r="M1121" s="9"/>
    </row>
    <row r="1122" spans="1:13">
      <c r="A1122" s="9"/>
      <c r="B1122" s="9"/>
      <c r="C1122" s="10" t="s">
        <v>27</v>
      </c>
      <c r="D1122" s="30"/>
      <c r="E1122" s="10" t="s">
        <v>1014</v>
      </c>
      <c r="F1122" s="19">
        <v>1</v>
      </c>
      <c r="G1122" s="20">
        <v>0</v>
      </c>
      <c r="H1122" s="20">
        <v>0</v>
      </c>
      <c r="I1122" s="20">
        <v>0</v>
      </c>
      <c r="J1122" s="16">
        <f>OR(F1122&lt;&gt;0,G1122&lt;&gt;0,H1122&lt;&gt;0,I1122&lt;&gt;0)*(F1122 + (F1122 = 0))*(G1122 + (G1122 = 0))*(H1122 + (H1122 = 0))*(I1122 + (I1122 = 0))</f>
        <v>1</v>
      </c>
      <c r="K1122" s="9"/>
      <c r="L1122" s="9"/>
      <c r="M1122" s="9"/>
    </row>
    <row r="1123" spans="1:13">
      <c r="A1123" s="9"/>
      <c r="B1123" s="9"/>
      <c r="C1123" s="10" t="s">
        <v>27</v>
      </c>
      <c r="D1123" s="30"/>
      <c r="E1123" s="10" t="s">
        <v>1015</v>
      </c>
      <c r="F1123" s="19">
        <v>1</v>
      </c>
      <c r="G1123" s="20">
        <v>0</v>
      </c>
      <c r="H1123" s="20">
        <v>0</v>
      </c>
      <c r="I1123" s="20">
        <v>0</v>
      </c>
      <c r="J1123" s="16">
        <f>OR(F1123&lt;&gt;0,G1123&lt;&gt;0,H1123&lt;&gt;0,I1123&lt;&gt;0)*(F1123 + (F1123 = 0))*(G1123 + (G1123 = 0))*(H1123 + (H1123 = 0))*(I1123 + (I1123 = 0))</f>
        <v>1</v>
      </c>
      <c r="K1123" s="9"/>
      <c r="L1123" s="9"/>
      <c r="M1123" s="9"/>
    </row>
    <row r="1124" spans="1:13">
      <c r="A1124" s="9"/>
      <c r="B1124" s="9"/>
      <c r="C1124" s="9"/>
      <c r="D1124" s="30"/>
      <c r="E1124" s="9"/>
      <c r="F1124" s="9"/>
      <c r="G1124" s="9"/>
      <c r="H1124" s="9"/>
      <c r="I1124" s="9"/>
      <c r="J1124" s="21" t="s">
        <v>1016</v>
      </c>
      <c r="K1124" s="22">
        <f>SUM(J1120:J1123)</f>
        <v>4</v>
      </c>
      <c r="L1124" s="23">
        <v>0</v>
      </c>
      <c r="M1124" s="24">
        <f>ROUND(K1124*L1124,2)</f>
        <v>0</v>
      </c>
    </row>
    <row r="1125" spans="1:13" ht="0.95" customHeight="1">
      <c r="A1125" s="25"/>
      <c r="B1125" s="25"/>
      <c r="C1125" s="25"/>
      <c r="D1125" s="31"/>
      <c r="E1125" s="25"/>
      <c r="F1125" s="25"/>
      <c r="G1125" s="25"/>
      <c r="H1125" s="25"/>
      <c r="I1125" s="25"/>
      <c r="J1125" s="25"/>
      <c r="K1125" s="25"/>
      <c r="L1125" s="25"/>
      <c r="M1125" s="25"/>
    </row>
    <row r="1126" spans="1:13" ht="45">
      <c r="A1126" s="15" t="s">
        <v>1017</v>
      </c>
      <c r="B1126" s="10" t="s">
        <v>23</v>
      </c>
      <c r="C1126" s="10" t="s">
        <v>4</v>
      </c>
      <c r="D1126" s="18" t="s">
        <v>1018</v>
      </c>
      <c r="E1126" s="9"/>
      <c r="F1126" s="9"/>
      <c r="G1126" s="9"/>
      <c r="H1126" s="9"/>
      <c r="I1126" s="9"/>
      <c r="J1126" s="9"/>
      <c r="K1126" s="16">
        <f>K1129</f>
        <v>1</v>
      </c>
      <c r="L1126" s="17">
        <f>L1129</f>
        <v>0</v>
      </c>
      <c r="M1126" s="17">
        <f>M1129</f>
        <v>0</v>
      </c>
    </row>
    <row r="1127" spans="1:13">
      <c r="A1127" s="9"/>
      <c r="B1127" s="9"/>
      <c r="C1127" s="9"/>
      <c r="D1127" s="18" t="s">
        <v>1019</v>
      </c>
      <c r="E1127" s="9"/>
      <c r="F1127" s="9"/>
      <c r="G1127" s="9"/>
      <c r="H1127" s="9"/>
      <c r="I1127" s="9"/>
      <c r="J1127" s="9"/>
      <c r="K1127" s="9"/>
      <c r="L1127" s="9"/>
      <c r="M1127" s="9"/>
    </row>
    <row r="1128" spans="1:13">
      <c r="A1128" s="9"/>
      <c r="B1128" s="9"/>
      <c r="C1128" s="10" t="s">
        <v>27</v>
      </c>
      <c r="D1128" s="30"/>
      <c r="E1128" s="10" t="s">
        <v>1020</v>
      </c>
      <c r="F1128" s="19">
        <v>1</v>
      </c>
      <c r="G1128" s="20">
        <v>0</v>
      </c>
      <c r="H1128" s="20">
        <v>0</v>
      </c>
      <c r="I1128" s="20">
        <v>0</v>
      </c>
      <c r="J1128" s="16">
        <f>OR(F1128&lt;&gt;0,G1128&lt;&gt;0,H1128&lt;&gt;0,I1128&lt;&gt;0)*(F1128 + (F1128 = 0))*(G1128 + (G1128 = 0))*(H1128 + (H1128 = 0))*(I1128 + (I1128 = 0))</f>
        <v>1</v>
      </c>
      <c r="K1128" s="9"/>
      <c r="L1128" s="9"/>
      <c r="M1128" s="9"/>
    </row>
    <row r="1129" spans="1:13">
      <c r="A1129" s="9"/>
      <c r="B1129" s="9"/>
      <c r="C1129" s="9"/>
      <c r="D1129" s="30"/>
      <c r="E1129" s="9"/>
      <c r="F1129" s="9"/>
      <c r="G1129" s="9"/>
      <c r="H1129" s="9"/>
      <c r="I1129" s="9"/>
      <c r="J1129" s="21" t="s">
        <v>1021</v>
      </c>
      <c r="K1129" s="22">
        <f>J1128</f>
        <v>1</v>
      </c>
      <c r="L1129" s="23">
        <v>0</v>
      </c>
      <c r="M1129" s="24">
        <f>ROUND(K1129*L1129,2)</f>
        <v>0</v>
      </c>
    </row>
    <row r="1130" spans="1:13" ht="0.95" customHeight="1">
      <c r="A1130" s="25"/>
      <c r="B1130" s="25"/>
      <c r="C1130" s="25"/>
      <c r="D1130" s="31"/>
      <c r="E1130" s="25"/>
      <c r="F1130" s="25"/>
      <c r="G1130" s="25"/>
      <c r="H1130" s="25"/>
      <c r="I1130" s="25"/>
      <c r="J1130" s="25"/>
      <c r="K1130" s="25"/>
      <c r="L1130" s="25"/>
      <c r="M1130" s="25"/>
    </row>
    <row r="1131" spans="1:13" ht="33.75">
      <c r="A1131" s="15" t="s">
        <v>1022</v>
      </c>
      <c r="B1131" s="10" t="s">
        <v>23</v>
      </c>
      <c r="C1131" s="10" t="s">
        <v>4</v>
      </c>
      <c r="D1131" s="18" t="s">
        <v>1023</v>
      </c>
      <c r="E1131" s="9"/>
      <c r="F1131" s="9"/>
      <c r="G1131" s="9"/>
      <c r="H1131" s="9"/>
      <c r="I1131" s="9"/>
      <c r="J1131" s="9"/>
      <c r="K1131" s="16">
        <f>K1134</f>
        <v>1</v>
      </c>
      <c r="L1131" s="17">
        <f>L1134</f>
        <v>0</v>
      </c>
      <c r="M1131" s="17">
        <f>M1134</f>
        <v>0</v>
      </c>
    </row>
    <row r="1132" spans="1:13">
      <c r="A1132" s="9"/>
      <c r="B1132" s="9"/>
      <c r="C1132" s="9"/>
      <c r="D1132" s="18" t="s">
        <v>1024</v>
      </c>
      <c r="E1132" s="9"/>
      <c r="F1132" s="9"/>
      <c r="G1132" s="9"/>
      <c r="H1132" s="9"/>
      <c r="I1132" s="9"/>
      <c r="J1132" s="9"/>
      <c r="K1132" s="9"/>
      <c r="L1132" s="9"/>
      <c r="M1132" s="9"/>
    </row>
    <row r="1133" spans="1:13">
      <c r="A1133" s="9"/>
      <c r="B1133" s="9"/>
      <c r="C1133" s="10" t="s">
        <v>27</v>
      </c>
      <c r="D1133" s="30"/>
      <c r="E1133" s="10" t="s">
        <v>1025</v>
      </c>
      <c r="F1133" s="19">
        <v>1</v>
      </c>
      <c r="G1133" s="20">
        <v>0</v>
      </c>
      <c r="H1133" s="20">
        <v>0</v>
      </c>
      <c r="I1133" s="20">
        <v>0</v>
      </c>
      <c r="J1133" s="16">
        <f>OR(F1133&lt;&gt;0,G1133&lt;&gt;0,H1133&lt;&gt;0,I1133&lt;&gt;0)*(F1133 + (F1133 = 0))*(G1133 + (G1133 = 0))*(H1133 + (H1133 = 0))*(I1133 + (I1133 = 0))</f>
        <v>1</v>
      </c>
      <c r="K1133" s="9"/>
      <c r="L1133" s="9"/>
      <c r="M1133" s="9"/>
    </row>
    <row r="1134" spans="1:13">
      <c r="A1134" s="9"/>
      <c r="B1134" s="9"/>
      <c r="C1134" s="9"/>
      <c r="D1134" s="30"/>
      <c r="E1134" s="9"/>
      <c r="F1134" s="9"/>
      <c r="G1134" s="9"/>
      <c r="H1134" s="9"/>
      <c r="I1134" s="9"/>
      <c r="J1134" s="21" t="s">
        <v>1026</v>
      </c>
      <c r="K1134" s="22">
        <f>J1133</f>
        <v>1</v>
      </c>
      <c r="L1134" s="23">
        <v>0</v>
      </c>
      <c r="M1134" s="24">
        <f>ROUND(K1134*L1134,2)</f>
        <v>0</v>
      </c>
    </row>
    <row r="1135" spans="1:13" ht="0.95" customHeight="1">
      <c r="A1135" s="25"/>
      <c r="B1135" s="25"/>
      <c r="C1135" s="25"/>
      <c r="D1135" s="31"/>
      <c r="E1135" s="25"/>
      <c r="F1135" s="25"/>
      <c r="G1135" s="25"/>
      <c r="H1135" s="25"/>
      <c r="I1135" s="25"/>
      <c r="J1135" s="25"/>
      <c r="K1135" s="25"/>
      <c r="L1135" s="25"/>
      <c r="M1135" s="25"/>
    </row>
    <row r="1136" spans="1:13" ht="45">
      <c r="A1136" s="15" t="s">
        <v>1027</v>
      </c>
      <c r="B1136" s="10" t="s">
        <v>23</v>
      </c>
      <c r="C1136" s="10" t="s">
        <v>4</v>
      </c>
      <c r="D1136" s="18" t="s">
        <v>1028</v>
      </c>
      <c r="E1136" s="9"/>
      <c r="F1136" s="9"/>
      <c r="G1136" s="9"/>
      <c r="H1136" s="9"/>
      <c r="I1136" s="9"/>
      <c r="J1136" s="9"/>
      <c r="K1136" s="16">
        <f>K1139</f>
        <v>1</v>
      </c>
      <c r="L1136" s="17">
        <f>L1139</f>
        <v>0</v>
      </c>
      <c r="M1136" s="17">
        <f>M1139</f>
        <v>0</v>
      </c>
    </row>
    <row r="1137" spans="1:13">
      <c r="A1137" s="9"/>
      <c r="B1137" s="9"/>
      <c r="C1137" s="9"/>
      <c r="D1137" s="18" t="s">
        <v>1029</v>
      </c>
      <c r="E1137" s="9"/>
      <c r="F1137" s="9"/>
      <c r="G1137" s="9"/>
      <c r="H1137" s="9"/>
      <c r="I1137" s="9"/>
      <c r="J1137" s="9"/>
      <c r="K1137" s="9"/>
      <c r="L1137" s="9"/>
      <c r="M1137" s="9"/>
    </row>
    <row r="1138" spans="1:13">
      <c r="A1138" s="9"/>
      <c r="B1138" s="9"/>
      <c r="C1138" s="10" t="s">
        <v>27</v>
      </c>
      <c r="D1138" s="30"/>
      <c r="E1138" s="10" t="s">
        <v>1020</v>
      </c>
      <c r="F1138" s="19">
        <v>1</v>
      </c>
      <c r="G1138" s="20">
        <v>0</v>
      </c>
      <c r="H1138" s="20">
        <v>0</v>
      </c>
      <c r="I1138" s="20">
        <v>0</v>
      </c>
      <c r="J1138" s="16">
        <f>OR(F1138&lt;&gt;0,G1138&lt;&gt;0,H1138&lt;&gt;0,I1138&lt;&gt;0)*(F1138 + (F1138 = 0))*(G1138 + (G1138 = 0))*(H1138 + (H1138 = 0))*(I1138 + (I1138 = 0))</f>
        <v>1</v>
      </c>
      <c r="K1138" s="9"/>
      <c r="L1138" s="9"/>
      <c r="M1138" s="9"/>
    </row>
    <row r="1139" spans="1:13">
      <c r="A1139" s="9"/>
      <c r="B1139" s="9"/>
      <c r="C1139" s="9"/>
      <c r="D1139" s="30"/>
      <c r="E1139" s="9"/>
      <c r="F1139" s="9"/>
      <c r="G1139" s="9"/>
      <c r="H1139" s="9"/>
      <c r="I1139" s="9"/>
      <c r="J1139" s="21" t="s">
        <v>1030</v>
      </c>
      <c r="K1139" s="22">
        <f>J1138</f>
        <v>1</v>
      </c>
      <c r="L1139" s="23">
        <v>0</v>
      </c>
      <c r="M1139" s="24">
        <f>ROUND(K1139*L1139,2)</f>
        <v>0</v>
      </c>
    </row>
    <row r="1140" spans="1:13" ht="0.95" customHeight="1">
      <c r="A1140" s="25"/>
      <c r="B1140" s="25"/>
      <c r="C1140" s="25"/>
      <c r="D1140" s="31"/>
      <c r="E1140" s="25"/>
      <c r="F1140" s="25"/>
      <c r="G1140" s="25"/>
      <c r="H1140" s="25"/>
      <c r="I1140" s="25"/>
      <c r="J1140" s="25"/>
      <c r="K1140" s="25"/>
      <c r="L1140" s="25"/>
      <c r="M1140" s="25"/>
    </row>
    <row r="1141" spans="1:13" ht="45">
      <c r="A1141" s="15" t="s">
        <v>1031</v>
      </c>
      <c r="B1141" s="10" t="s">
        <v>23</v>
      </c>
      <c r="C1141" s="10" t="s">
        <v>4</v>
      </c>
      <c r="D1141" s="18" t="s">
        <v>1032</v>
      </c>
      <c r="E1141" s="9"/>
      <c r="F1141" s="9"/>
      <c r="G1141" s="9"/>
      <c r="H1141" s="9"/>
      <c r="I1141" s="9"/>
      <c r="J1141" s="9"/>
      <c r="K1141" s="16">
        <f>K1144</f>
        <v>1</v>
      </c>
      <c r="L1141" s="17">
        <f>L1144</f>
        <v>0</v>
      </c>
      <c r="M1141" s="17">
        <f>M1144</f>
        <v>0</v>
      </c>
    </row>
    <row r="1142" spans="1:13">
      <c r="A1142" s="9"/>
      <c r="B1142" s="9"/>
      <c r="C1142" s="9"/>
      <c r="D1142" s="18" t="s">
        <v>1033</v>
      </c>
      <c r="E1142" s="9"/>
      <c r="F1142" s="9"/>
      <c r="G1142" s="9"/>
      <c r="H1142" s="9"/>
      <c r="I1142" s="9"/>
      <c r="J1142" s="9"/>
      <c r="K1142" s="9"/>
      <c r="L1142" s="9"/>
      <c r="M1142" s="9"/>
    </row>
    <row r="1143" spans="1:13">
      <c r="A1143" s="9"/>
      <c r="B1143" s="9"/>
      <c r="C1143" s="10" t="s">
        <v>27</v>
      </c>
      <c r="D1143" s="30"/>
      <c r="E1143" s="10" t="s">
        <v>1034</v>
      </c>
      <c r="F1143" s="19">
        <v>1</v>
      </c>
      <c r="G1143" s="20">
        <v>0</v>
      </c>
      <c r="H1143" s="20">
        <v>0</v>
      </c>
      <c r="I1143" s="20">
        <v>0</v>
      </c>
      <c r="J1143" s="16">
        <f>OR(F1143&lt;&gt;0,G1143&lt;&gt;0,H1143&lt;&gt;0,I1143&lt;&gt;0)*(F1143 + (F1143 = 0))*(G1143 + (G1143 = 0))*(H1143 + (H1143 = 0))*(I1143 + (I1143 = 0))</f>
        <v>1</v>
      </c>
      <c r="K1143" s="9"/>
      <c r="L1143" s="9"/>
      <c r="M1143" s="9"/>
    </row>
    <row r="1144" spans="1:13">
      <c r="A1144" s="9"/>
      <c r="B1144" s="9"/>
      <c r="C1144" s="9"/>
      <c r="D1144" s="30"/>
      <c r="E1144" s="9"/>
      <c r="F1144" s="9"/>
      <c r="G1144" s="9"/>
      <c r="H1144" s="9"/>
      <c r="I1144" s="9"/>
      <c r="J1144" s="21" t="s">
        <v>1035</v>
      </c>
      <c r="K1144" s="22">
        <f>J1143</f>
        <v>1</v>
      </c>
      <c r="L1144" s="23">
        <v>0</v>
      </c>
      <c r="M1144" s="24">
        <f>ROUND(K1144*L1144,2)</f>
        <v>0</v>
      </c>
    </row>
    <row r="1145" spans="1:13" ht="0.95" customHeight="1">
      <c r="A1145" s="25"/>
      <c r="B1145" s="25"/>
      <c r="C1145" s="25"/>
      <c r="D1145" s="31"/>
      <c r="E1145" s="25"/>
      <c r="F1145" s="25"/>
      <c r="G1145" s="25"/>
      <c r="H1145" s="25"/>
      <c r="I1145" s="25"/>
      <c r="J1145" s="25"/>
      <c r="K1145" s="25"/>
      <c r="L1145" s="25"/>
      <c r="M1145" s="25"/>
    </row>
    <row r="1146" spans="1:13" ht="33.75">
      <c r="A1146" s="15" t="s">
        <v>1036</v>
      </c>
      <c r="B1146" s="10" t="s">
        <v>23</v>
      </c>
      <c r="C1146" s="10" t="s">
        <v>66</v>
      </c>
      <c r="D1146" s="18" t="s">
        <v>1037</v>
      </c>
      <c r="E1146" s="9"/>
      <c r="F1146" s="9"/>
      <c r="G1146" s="9"/>
      <c r="H1146" s="9"/>
      <c r="I1146" s="9"/>
      <c r="J1146" s="9"/>
      <c r="K1146" s="16">
        <f>K1149</f>
        <v>0.25</v>
      </c>
      <c r="L1146" s="17">
        <f>L1149</f>
        <v>0</v>
      </c>
      <c r="M1146" s="17">
        <f>M1149</f>
        <v>0</v>
      </c>
    </row>
    <row r="1147" spans="1:13">
      <c r="A1147" s="9"/>
      <c r="B1147" s="9"/>
      <c r="C1147" s="9"/>
      <c r="D1147" s="18" t="s">
        <v>1038</v>
      </c>
      <c r="E1147" s="9"/>
      <c r="F1147" s="9"/>
      <c r="G1147" s="9"/>
      <c r="H1147" s="9"/>
      <c r="I1147" s="9"/>
      <c r="J1147" s="9"/>
      <c r="K1147" s="9"/>
      <c r="L1147" s="9"/>
      <c r="M1147" s="9"/>
    </row>
    <row r="1148" spans="1:13">
      <c r="A1148" s="9"/>
      <c r="B1148" s="9"/>
      <c r="C1148" s="10" t="s">
        <v>27</v>
      </c>
      <c r="D1148" s="30"/>
      <c r="E1148" s="10" t="s">
        <v>1025</v>
      </c>
      <c r="F1148" s="19">
        <v>1</v>
      </c>
      <c r="G1148" s="20">
        <v>0.25</v>
      </c>
      <c r="H1148" s="20">
        <v>0</v>
      </c>
      <c r="I1148" s="20">
        <v>0</v>
      </c>
      <c r="J1148" s="16">
        <f>OR(F1148&lt;&gt;0,G1148&lt;&gt;0,H1148&lt;&gt;0,I1148&lt;&gt;0)*(F1148 + (F1148 = 0))*(G1148 + (G1148 = 0))*(H1148 + (H1148 = 0))*(I1148 + (I1148 = 0))</f>
        <v>0.25</v>
      </c>
      <c r="K1148" s="9"/>
      <c r="L1148" s="9"/>
      <c r="M1148" s="9"/>
    </row>
    <row r="1149" spans="1:13">
      <c r="A1149" s="9"/>
      <c r="B1149" s="9"/>
      <c r="C1149" s="9"/>
      <c r="D1149" s="30"/>
      <c r="E1149" s="9"/>
      <c r="F1149" s="9"/>
      <c r="G1149" s="9"/>
      <c r="H1149" s="9"/>
      <c r="I1149" s="9"/>
      <c r="J1149" s="21" t="s">
        <v>1039</v>
      </c>
      <c r="K1149" s="22">
        <f>J1148</f>
        <v>0.25</v>
      </c>
      <c r="L1149" s="23">
        <v>0</v>
      </c>
      <c r="M1149" s="24">
        <f>ROUND(K1149*L1149,2)</f>
        <v>0</v>
      </c>
    </row>
    <row r="1150" spans="1:13" ht="0.95" customHeight="1">
      <c r="A1150" s="25"/>
      <c r="B1150" s="25"/>
      <c r="C1150" s="25"/>
      <c r="D1150" s="31"/>
      <c r="E1150" s="25"/>
      <c r="F1150" s="25"/>
      <c r="G1150" s="25"/>
      <c r="H1150" s="25"/>
      <c r="I1150" s="25"/>
      <c r="J1150" s="25"/>
      <c r="K1150" s="25"/>
      <c r="L1150" s="25"/>
      <c r="M1150" s="25"/>
    </row>
    <row r="1151" spans="1:13" ht="33.75">
      <c r="A1151" s="15" t="s">
        <v>1040</v>
      </c>
      <c r="B1151" s="10" t="s">
        <v>23</v>
      </c>
      <c r="C1151" s="10" t="s">
        <v>66</v>
      </c>
      <c r="D1151" s="18" t="s">
        <v>1041</v>
      </c>
      <c r="E1151" s="9"/>
      <c r="F1151" s="9"/>
      <c r="G1151" s="9"/>
      <c r="H1151" s="9"/>
      <c r="I1151" s="9"/>
      <c r="J1151" s="9"/>
      <c r="K1151" s="16">
        <f>K1154</f>
        <v>3.52</v>
      </c>
      <c r="L1151" s="17">
        <f>L1154</f>
        <v>0</v>
      </c>
      <c r="M1151" s="17">
        <f>M1154</f>
        <v>0</v>
      </c>
    </row>
    <row r="1152" spans="1:13">
      <c r="A1152" s="9"/>
      <c r="B1152" s="9"/>
      <c r="C1152" s="9"/>
      <c r="D1152" s="18" t="s">
        <v>1042</v>
      </c>
      <c r="E1152" s="9"/>
      <c r="F1152" s="9"/>
      <c r="G1152" s="9"/>
      <c r="H1152" s="9"/>
      <c r="I1152" s="9"/>
      <c r="J1152" s="9"/>
      <c r="K1152" s="9"/>
      <c r="L1152" s="9"/>
      <c r="M1152" s="9"/>
    </row>
    <row r="1153" spans="1:13">
      <c r="A1153" s="9"/>
      <c r="B1153" s="9"/>
      <c r="C1153" s="10" t="s">
        <v>27</v>
      </c>
      <c r="D1153" s="30"/>
      <c r="E1153" s="10" t="s">
        <v>1025</v>
      </c>
      <c r="F1153" s="19">
        <v>1</v>
      </c>
      <c r="G1153" s="20">
        <v>3.52</v>
      </c>
      <c r="H1153" s="20">
        <v>0</v>
      </c>
      <c r="I1153" s="20">
        <v>0</v>
      </c>
      <c r="J1153" s="16">
        <f>OR(F1153&lt;&gt;0,G1153&lt;&gt;0,H1153&lt;&gt;0,I1153&lt;&gt;0)*(F1153 + (F1153 = 0))*(G1153 + (G1153 = 0))*(H1153 + (H1153 = 0))*(I1153 + (I1153 = 0))</f>
        <v>3.52</v>
      </c>
      <c r="K1153" s="9"/>
      <c r="L1153" s="9"/>
      <c r="M1153" s="9"/>
    </row>
    <row r="1154" spans="1:13">
      <c r="A1154" s="9"/>
      <c r="B1154" s="9"/>
      <c r="C1154" s="9"/>
      <c r="D1154" s="30"/>
      <c r="E1154" s="9"/>
      <c r="F1154" s="9"/>
      <c r="G1154" s="9"/>
      <c r="H1154" s="9"/>
      <c r="I1154" s="9"/>
      <c r="J1154" s="21" t="s">
        <v>1043</v>
      </c>
      <c r="K1154" s="22">
        <f>J1153</f>
        <v>3.52</v>
      </c>
      <c r="L1154" s="23">
        <v>0</v>
      </c>
      <c r="M1154" s="24">
        <f>ROUND(K1154*L1154,2)</f>
        <v>0</v>
      </c>
    </row>
    <row r="1155" spans="1:13" ht="0.95" customHeight="1">
      <c r="A1155" s="25"/>
      <c r="B1155" s="25"/>
      <c r="C1155" s="25"/>
      <c r="D1155" s="31"/>
      <c r="E1155" s="25"/>
      <c r="F1155" s="25"/>
      <c r="G1155" s="25"/>
      <c r="H1155" s="25"/>
      <c r="I1155" s="25"/>
      <c r="J1155" s="25"/>
      <c r="K1155" s="25"/>
      <c r="L1155" s="25"/>
      <c r="M1155" s="25"/>
    </row>
    <row r="1156" spans="1:13" ht="33.75">
      <c r="A1156" s="15" t="s">
        <v>1044</v>
      </c>
      <c r="B1156" s="10" t="s">
        <v>23</v>
      </c>
      <c r="C1156" s="10" t="s">
        <v>66</v>
      </c>
      <c r="D1156" s="18" t="s">
        <v>1045</v>
      </c>
      <c r="E1156" s="9"/>
      <c r="F1156" s="9"/>
      <c r="G1156" s="9"/>
      <c r="H1156" s="9"/>
      <c r="I1156" s="9"/>
      <c r="J1156" s="9"/>
      <c r="K1156" s="16">
        <f>K1159</f>
        <v>3.77</v>
      </c>
      <c r="L1156" s="17">
        <f>L1159</f>
        <v>0</v>
      </c>
      <c r="M1156" s="17">
        <f>M1159</f>
        <v>0</v>
      </c>
    </row>
    <row r="1157" spans="1:13">
      <c r="A1157" s="9"/>
      <c r="B1157" s="9"/>
      <c r="C1157" s="9"/>
      <c r="D1157" s="18" t="s">
        <v>1046</v>
      </c>
      <c r="E1157" s="9"/>
      <c r="F1157" s="9"/>
      <c r="G1157" s="9"/>
      <c r="H1157" s="9"/>
      <c r="I1157" s="9"/>
      <c r="J1157" s="9"/>
      <c r="K1157" s="9"/>
      <c r="L1157" s="9"/>
      <c r="M1157" s="9"/>
    </row>
    <row r="1158" spans="1:13">
      <c r="A1158" s="9"/>
      <c r="B1158" s="9"/>
      <c r="C1158" s="10" t="s">
        <v>27</v>
      </c>
      <c r="D1158" s="30"/>
      <c r="E1158" s="10" t="s">
        <v>1034</v>
      </c>
      <c r="F1158" s="19">
        <v>1</v>
      </c>
      <c r="G1158" s="20">
        <v>3.77</v>
      </c>
      <c r="H1158" s="20">
        <v>0</v>
      </c>
      <c r="I1158" s="20">
        <v>0</v>
      </c>
      <c r="J1158" s="16">
        <f>OR(F1158&lt;&gt;0,G1158&lt;&gt;0,H1158&lt;&gt;0,I1158&lt;&gt;0)*(F1158 + (F1158 = 0))*(G1158 + (G1158 = 0))*(H1158 + (H1158 = 0))*(I1158 + (I1158 = 0))</f>
        <v>3.77</v>
      </c>
      <c r="K1158" s="9"/>
      <c r="L1158" s="9"/>
      <c r="M1158" s="9"/>
    </row>
    <row r="1159" spans="1:13">
      <c r="A1159" s="9"/>
      <c r="B1159" s="9"/>
      <c r="C1159" s="9"/>
      <c r="D1159" s="30"/>
      <c r="E1159" s="9"/>
      <c r="F1159" s="9"/>
      <c r="G1159" s="9"/>
      <c r="H1159" s="9"/>
      <c r="I1159" s="9"/>
      <c r="J1159" s="21" t="s">
        <v>1047</v>
      </c>
      <c r="K1159" s="22">
        <f>J1158</f>
        <v>3.77</v>
      </c>
      <c r="L1159" s="23">
        <v>0</v>
      </c>
      <c r="M1159" s="24">
        <f>ROUND(K1159*L1159,2)</f>
        <v>0</v>
      </c>
    </row>
    <row r="1160" spans="1:13" ht="0.95" customHeight="1">
      <c r="A1160" s="25"/>
      <c r="B1160" s="25"/>
      <c r="C1160" s="25"/>
      <c r="D1160" s="31"/>
      <c r="E1160" s="25"/>
      <c r="F1160" s="25"/>
      <c r="G1160" s="25"/>
      <c r="H1160" s="25"/>
      <c r="I1160" s="25"/>
      <c r="J1160" s="25"/>
      <c r="K1160" s="25"/>
      <c r="L1160" s="25"/>
      <c r="M1160" s="25"/>
    </row>
    <row r="1161" spans="1:13" ht="33.75">
      <c r="A1161" s="15" t="s">
        <v>1048</v>
      </c>
      <c r="B1161" s="10" t="s">
        <v>23</v>
      </c>
      <c r="C1161" s="10" t="s">
        <v>66</v>
      </c>
      <c r="D1161" s="18" t="s">
        <v>1037</v>
      </c>
      <c r="E1161" s="9"/>
      <c r="F1161" s="9"/>
      <c r="G1161" s="9"/>
      <c r="H1161" s="9"/>
      <c r="I1161" s="9"/>
      <c r="J1161" s="9"/>
      <c r="K1161" s="16">
        <f>K1164</f>
        <v>3.99</v>
      </c>
      <c r="L1161" s="17">
        <f>L1164</f>
        <v>0</v>
      </c>
      <c r="M1161" s="17">
        <f>M1164</f>
        <v>0</v>
      </c>
    </row>
    <row r="1162" spans="1:13">
      <c r="A1162" s="9"/>
      <c r="B1162" s="9"/>
      <c r="C1162" s="9"/>
      <c r="D1162" s="18" t="s">
        <v>1049</v>
      </c>
      <c r="E1162" s="9"/>
      <c r="F1162" s="9"/>
      <c r="G1162" s="9"/>
      <c r="H1162" s="9"/>
      <c r="I1162" s="9"/>
      <c r="J1162" s="9"/>
      <c r="K1162" s="9"/>
      <c r="L1162" s="9"/>
      <c r="M1162" s="9"/>
    </row>
    <row r="1163" spans="1:13">
      <c r="A1163" s="9"/>
      <c r="B1163" s="9"/>
      <c r="C1163" s="10" t="s">
        <v>27</v>
      </c>
      <c r="D1163" s="30"/>
      <c r="E1163" s="10" t="s">
        <v>1025</v>
      </c>
      <c r="F1163" s="19">
        <v>1</v>
      </c>
      <c r="G1163" s="20">
        <v>3.99</v>
      </c>
      <c r="H1163" s="20">
        <v>0</v>
      </c>
      <c r="I1163" s="20">
        <v>0</v>
      </c>
      <c r="J1163" s="16">
        <f>OR(F1163&lt;&gt;0,G1163&lt;&gt;0,H1163&lt;&gt;0,I1163&lt;&gt;0)*(F1163 + (F1163 = 0))*(G1163 + (G1163 = 0))*(H1163 + (H1163 = 0))*(I1163 + (I1163 = 0))</f>
        <v>3.99</v>
      </c>
      <c r="K1163" s="9"/>
      <c r="L1163" s="9"/>
      <c r="M1163" s="9"/>
    </row>
    <row r="1164" spans="1:13">
      <c r="A1164" s="9"/>
      <c r="B1164" s="9"/>
      <c r="C1164" s="9"/>
      <c r="D1164" s="30"/>
      <c r="E1164" s="9"/>
      <c r="F1164" s="9"/>
      <c r="G1164" s="9"/>
      <c r="H1164" s="9"/>
      <c r="I1164" s="9"/>
      <c r="J1164" s="21" t="s">
        <v>1050</v>
      </c>
      <c r="K1164" s="22">
        <f>J1163</f>
        <v>3.99</v>
      </c>
      <c r="L1164" s="23">
        <v>0</v>
      </c>
      <c r="M1164" s="24">
        <f>ROUND(K1164*L1164,2)</f>
        <v>0</v>
      </c>
    </row>
    <row r="1165" spans="1:13" ht="0.95" customHeight="1">
      <c r="A1165" s="25"/>
      <c r="B1165" s="25"/>
      <c r="C1165" s="25"/>
      <c r="D1165" s="31"/>
      <c r="E1165" s="25"/>
      <c r="F1165" s="25"/>
      <c r="G1165" s="25"/>
      <c r="H1165" s="25"/>
      <c r="I1165" s="25"/>
      <c r="J1165" s="25"/>
      <c r="K1165" s="25"/>
      <c r="L1165" s="25"/>
      <c r="M1165" s="25"/>
    </row>
    <row r="1166" spans="1:13" ht="33.75">
      <c r="A1166" s="15" t="s">
        <v>1051</v>
      </c>
      <c r="B1166" s="10" t="s">
        <v>23</v>
      </c>
      <c r="C1166" s="10" t="s">
        <v>66</v>
      </c>
      <c r="D1166" s="18" t="s">
        <v>1052</v>
      </c>
      <c r="E1166" s="9"/>
      <c r="F1166" s="9"/>
      <c r="G1166" s="9"/>
      <c r="H1166" s="9"/>
      <c r="I1166" s="9"/>
      <c r="J1166" s="9"/>
      <c r="K1166" s="16">
        <f>K1169</f>
        <v>4</v>
      </c>
      <c r="L1166" s="17">
        <f>L1169</f>
        <v>0</v>
      </c>
      <c r="M1166" s="17">
        <f>M1169</f>
        <v>0</v>
      </c>
    </row>
    <row r="1167" spans="1:13">
      <c r="A1167" s="9"/>
      <c r="B1167" s="9"/>
      <c r="C1167" s="9"/>
      <c r="D1167" s="18" t="s">
        <v>1053</v>
      </c>
      <c r="E1167" s="9"/>
      <c r="F1167" s="9"/>
      <c r="G1167" s="9"/>
      <c r="H1167" s="9"/>
      <c r="I1167" s="9"/>
      <c r="J1167" s="9"/>
      <c r="K1167" s="9"/>
      <c r="L1167" s="9"/>
      <c r="M1167" s="9"/>
    </row>
    <row r="1168" spans="1:13">
      <c r="A1168" s="9"/>
      <c r="B1168" s="9"/>
      <c r="C1168" s="10" t="s">
        <v>27</v>
      </c>
      <c r="D1168" s="30"/>
      <c r="E1168" s="10" t="s">
        <v>17</v>
      </c>
      <c r="F1168" s="19">
        <v>4</v>
      </c>
      <c r="G1168" s="20">
        <v>1</v>
      </c>
      <c r="H1168" s="20">
        <v>0</v>
      </c>
      <c r="I1168" s="20">
        <v>0</v>
      </c>
      <c r="J1168" s="16">
        <f>OR(F1168&lt;&gt;0,G1168&lt;&gt;0,H1168&lt;&gt;0,I1168&lt;&gt;0)*(F1168 + (F1168 = 0))*(G1168 + (G1168 = 0))*(H1168 + (H1168 = 0))*(I1168 + (I1168 = 0))</f>
        <v>4</v>
      </c>
      <c r="K1168" s="9"/>
      <c r="L1168" s="9"/>
      <c r="M1168" s="9"/>
    </row>
    <row r="1169" spans="1:13">
      <c r="A1169" s="9"/>
      <c r="B1169" s="9"/>
      <c r="C1169" s="9"/>
      <c r="D1169" s="30"/>
      <c r="E1169" s="9"/>
      <c r="F1169" s="9"/>
      <c r="G1169" s="9"/>
      <c r="H1169" s="9"/>
      <c r="I1169" s="9"/>
      <c r="J1169" s="21" t="s">
        <v>1054</v>
      </c>
      <c r="K1169" s="22">
        <f>J1168</f>
        <v>4</v>
      </c>
      <c r="L1169" s="23">
        <v>0</v>
      </c>
      <c r="M1169" s="24">
        <f>ROUND(K1169*L1169,2)</f>
        <v>0</v>
      </c>
    </row>
    <row r="1170" spans="1:13" ht="0.95" customHeight="1">
      <c r="A1170" s="25"/>
      <c r="B1170" s="25"/>
      <c r="C1170" s="25"/>
      <c r="D1170" s="31"/>
      <c r="E1170" s="25"/>
      <c r="F1170" s="25"/>
      <c r="G1170" s="25"/>
      <c r="H1170" s="25"/>
      <c r="I1170" s="25"/>
      <c r="J1170" s="25"/>
      <c r="K1170" s="25"/>
      <c r="L1170" s="25"/>
      <c r="M1170" s="25"/>
    </row>
    <row r="1171" spans="1:13" ht="33.75">
      <c r="A1171" s="15" t="s">
        <v>1055</v>
      </c>
      <c r="B1171" s="10" t="s">
        <v>23</v>
      </c>
      <c r="C1171" s="10" t="s">
        <v>4</v>
      </c>
      <c r="D1171" s="18" t="s">
        <v>1056</v>
      </c>
      <c r="E1171" s="9"/>
      <c r="F1171" s="9"/>
      <c r="G1171" s="9"/>
      <c r="H1171" s="9"/>
      <c r="I1171" s="9"/>
      <c r="J1171" s="9"/>
      <c r="K1171" s="20">
        <v>4</v>
      </c>
      <c r="L1171" s="23">
        <v>0</v>
      </c>
      <c r="M1171" s="17">
        <f>ROUND(K1171*L1171,2)</f>
        <v>0</v>
      </c>
    </row>
    <row r="1172" spans="1:13" ht="67.5">
      <c r="A1172" s="9"/>
      <c r="B1172" s="9"/>
      <c r="C1172" s="9"/>
      <c r="D1172" s="18" t="s">
        <v>1057</v>
      </c>
      <c r="E1172" s="9"/>
      <c r="F1172" s="9"/>
      <c r="G1172" s="9"/>
      <c r="H1172" s="9"/>
      <c r="I1172" s="9"/>
      <c r="J1172" s="9"/>
      <c r="K1172" s="9"/>
      <c r="L1172" s="9"/>
      <c r="M1172" s="9"/>
    </row>
    <row r="1173" spans="1:13" ht="33.75">
      <c r="A1173" s="15" t="s">
        <v>1058</v>
      </c>
      <c r="B1173" s="10" t="s">
        <v>23</v>
      </c>
      <c r="C1173" s="10" t="s">
        <v>66</v>
      </c>
      <c r="D1173" s="18" t="s">
        <v>1059</v>
      </c>
      <c r="E1173" s="9"/>
      <c r="F1173" s="9"/>
      <c r="G1173" s="9"/>
      <c r="H1173" s="9"/>
      <c r="I1173" s="9"/>
      <c r="J1173" s="9"/>
      <c r="K1173" s="20">
        <v>4.8499999999999996</v>
      </c>
      <c r="L1173" s="23">
        <v>0</v>
      </c>
      <c r="M1173" s="17">
        <f>ROUND(K1173*L1173,2)</f>
        <v>0</v>
      </c>
    </row>
    <row r="1174" spans="1:13">
      <c r="A1174" s="9"/>
      <c r="B1174" s="9"/>
      <c r="C1174" s="9"/>
      <c r="D1174" s="18" t="s">
        <v>1060</v>
      </c>
      <c r="E1174" s="9"/>
      <c r="F1174" s="9"/>
      <c r="G1174" s="9"/>
      <c r="H1174" s="9"/>
      <c r="I1174" s="9"/>
      <c r="J1174" s="9"/>
      <c r="K1174" s="9"/>
      <c r="L1174" s="9"/>
      <c r="M1174" s="9"/>
    </row>
    <row r="1175" spans="1:13">
      <c r="A1175" s="9"/>
      <c r="B1175" s="9"/>
      <c r="C1175" s="9"/>
      <c r="D1175" s="30"/>
      <c r="E1175" s="9"/>
      <c r="F1175" s="9"/>
      <c r="G1175" s="9"/>
      <c r="H1175" s="9"/>
      <c r="I1175" s="9"/>
      <c r="J1175" s="21" t="s">
        <v>1061</v>
      </c>
      <c r="K1175" s="20">
        <v>1</v>
      </c>
      <c r="L1175" s="24">
        <f>M1110+M1118+M1126+M1131+M1136+M1141+M1146+M1151+M1156+M1161+M1166+M1171+M1173</f>
        <v>0</v>
      </c>
      <c r="M1175" s="24">
        <f>ROUND(K1175*L1175,2)</f>
        <v>0</v>
      </c>
    </row>
    <row r="1176" spans="1:13" ht="0.95" customHeight="1">
      <c r="A1176" s="25"/>
      <c r="B1176" s="25"/>
      <c r="C1176" s="25"/>
      <c r="D1176" s="31"/>
      <c r="E1176" s="25"/>
      <c r="F1176" s="25"/>
      <c r="G1176" s="25"/>
      <c r="H1176" s="25"/>
      <c r="I1176" s="25"/>
      <c r="J1176" s="25"/>
      <c r="K1176" s="25"/>
      <c r="L1176" s="25"/>
      <c r="M1176" s="25"/>
    </row>
    <row r="1177" spans="1:13">
      <c r="A1177" s="11" t="s">
        <v>1062</v>
      </c>
      <c r="B1177" s="11" t="s">
        <v>16</v>
      </c>
      <c r="C1177" s="11" t="s">
        <v>17</v>
      </c>
      <c r="D1177" s="29" t="s">
        <v>1063</v>
      </c>
      <c r="E1177" s="12"/>
      <c r="F1177" s="12"/>
      <c r="G1177" s="12"/>
      <c r="H1177" s="12"/>
      <c r="I1177" s="12"/>
      <c r="J1177" s="12"/>
      <c r="K1177" s="13">
        <f>K1195</f>
        <v>1</v>
      </c>
      <c r="L1177" s="14">
        <f>L1195</f>
        <v>0</v>
      </c>
      <c r="M1177" s="14">
        <f>M1195</f>
        <v>0</v>
      </c>
    </row>
    <row r="1178" spans="1:13" ht="22.5">
      <c r="A1178" s="15" t="s">
        <v>1064</v>
      </c>
      <c r="B1178" s="10" t="s">
        <v>23</v>
      </c>
      <c r="C1178" s="10" t="s">
        <v>17</v>
      </c>
      <c r="D1178" s="18" t="s">
        <v>1065</v>
      </c>
      <c r="E1178" s="9"/>
      <c r="F1178" s="9"/>
      <c r="G1178" s="9"/>
      <c r="H1178" s="9"/>
      <c r="I1178" s="9"/>
      <c r="J1178" s="9"/>
      <c r="K1178" s="16">
        <f>K1181</f>
        <v>15</v>
      </c>
      <c r="L1178" s="17">
        <f>L1181</f>
        <v>0</v>
      </c>
      <c r="M1178" s="17">
        <f>M1181</f>
        <v>0</v>
      </c>
    </row>
    <row r="1179" spans="1:13">
      <c r="A1179" s="9"/>
      <c r="B1179" s="9"/>
      <c r="C1179" s="9"/>
      <c r="D1179" s="18" t="s">
        <v>1066</v>
      </c>
      <c r="E1179" s="9"/>
      <c r="F1179" s="9"/>
      <c r="G1179" s="9"/>
      <c r="H1179" s="9"/>
      <c r="I1179" s="9"/>
      <c r="J1179" s="9"/>
      <c r="K1179" s="9"/>
      <c r="L1179" s="9"/>
      <c r="M1179" s="9"/>
    </row>
    <row r="1180" spans="1:13">
      <c r="A1180" s="9"/>
      <c r="B1180" s="9"/>
      <c r="C1180" s="10" t="s">
        <v>27</v>
      </c>
      <c r="D1180" s="30"/>
      <c r="E1180" s="10" t="s">
        <v>17</v>
      </c>
      <c r="F1180" s="19">
        <v>15</v>
      </c>
      <c r="G1180" s="23">
        <v>0</v>
      </c>
      <c r="H1180" s="23">
        <v>0</v>
      </c>
      <c r="I1180" s="23">
        <v>0</v>
      </c>
      <c r="J1180" s="17">
        <f>OR(F1180&lt;&gt;0,G1180&lt;&gt;0,H1180&lt;&gt;0,I1180&lt;&gt;0)*(F1180 + (F1180 = 0))*(G1180 + (G1180 = 0))*(H1180 + (H1180 = 0))*(I1180 + (I1180 = 0))</f>
        <v>15</v>
      </c>
      <c r="K1180" s="9"/>
      <c r="L1180" s="9"/>
      <c r="M1180" s="9"/>
    </row>
    <row r="1181" spans="1:13">
      <c r="A1181" s="9"/>
      <c r="B1181" s="9"/>
      <c r="C1181" s="9"/>
      <c r="D1181" s="30"/>
      <c r="E1181" s="9"/>
      <c r="F1181" s="9"/>
      <c r="G1181" s="9"/>
      <c r="H1181" s="9"/>
      <c r="I1181" s="9"/>
      <c r="J1181" s="21" t="s">
        <v>1067</v>
      </c>
      <c r="K1181" s="22">
        <f>J1180</f>
        <v>15</v>
      </c>
      <c r="L1181" s="23">
        <v>0</v>
      </c>
      <c r="M1181" s="24">
        <f>ROUND(K1181*L1181,2)</f>
        <v>0</v>
      </c>
    </row>
    <row r="1182" spans="1:13" ht="0.95" customHeight="1">
      <c r="A1182" s="25"/>
      <c r="B1182" s="25"/>
      <c r="C1182" s="25"/>
      <c r="D1182" s="31"/>
      <c r="E1182" s="25"/>
      <c r="F1182" s="25"/>
      <c r="G1182" s="25"/>
      <c r="H1182" s="25"/>
      <c r="I1182" s="25"/>
      <c r="J1182" s="25"/>
      <c r="K1182" s="25"/>
      <c r="L1182" s="25"/>
      <c r="M1182" s="25"/>
    </row>
    <row r="1183" spans="1:13" ht="22.5">
      <c r="A1183" s="15" t="s">
        <v>1068</v>
      </c>
      <c r="B1183" s="10" t="s">
        <v>23</v>
      </c>
      <c r="C1183" s="10" t="s">
        <v>17</v>
      </c>
      <c r="D1183" s="18" t="s">
        <v>1069</v>
      </c>
      <c r="E1183" s="9"/>
      <c r="F1183" s="9"/>
      <c r="G1183" s="9"/>
      <c r="H1183" s="9"/>
      <c r="I1183" s="9"/>
      <c r="J1183" s="9"/>
      <c r="K1183" s="16">
        <f>K1188</f>
        <v>39</v>
      </c>
      <c r="L1183" s="17">
        <f>L1188</f>
        <v>0</v>
      </c>
      <c r="M1183" s="17">
        <f>M1188</f>
        <v>0</v>
      </c>
    </row>
    <row r="1184" spans="1:13">
      <c r="A1184" s="9"/>
      <c r="B1184" s="9"/>
      <c r="C1184" s="9"/>
      <c r="D1184" s="18" t="s">
        <v>1070</v>
      </c>
      <c r="E1184" s="9"/>
      <c r="F1184" s="9"/>
      <c r="G1184" s="9"/>
      <c r="H1184" s="9"/>
      <c r="I1184" s="9"/>
      <c r="J1184" s="9"/>
      <c r="K1184" s="9"/>
      <c r="L1184" s="9"/>
      <c r="M1184" s="9"/>
    </row>
    <row r="1185" spans="1:13">
      <c r="A1185" s="9"/>
      <c r="B1185" s="9"/>
      <c r="C1185" s="10" t="s">
        <v>27</v>
      </c>
      <c r="D1185" s="30"/>
      <c r="E1185" s="10" t="s">
        <v>1071</v>
      </c>
      <c r="F1185" s="19">
        <v>3</v>
      </c>
      <c r="G1185" s="23">
        <v>0</v>
      </c>
      <c r="H1185" s="23">
        <v>0</v>
      </c>
      <c r="I1185" s="23">
        <v>0</v>
      </c>
      <c r="J1185" s="17">
        <f>OR(F1185&lt;&gt;0,G1185&lt;&gt;0,H1185&lt;&gt;0,I1185&lt;&gt;0)*(F1185 + (F1185 = 0))*(G1185 + (G1185 = 0))*(H1185 + (H1185 = 0))*(I1185 + (I1185 = 0))</f>
        <v>3</v>
      </c>
      <c r="K1185" s="9"/>
      <c r="L1185" s="9"/>
      <c r="M1185" s="9"/>
    </row>
    <row r="1186" spans="1:13">
      <c r="A1186" s="9"/>
      <c r="B1186" s="9"/>
      <c r="C1186" s="10" t="s">
        <v>27</v>
      </c>
      <c r="D1186" s="30"/>
      <c r="E1186" s="10" t="s">
        <v>111</v>
      </c>
      <c r="F1186" s="19">
        <v>18</v>
      </c>
      <c r="G1186" s="23">
        <v>0</v>
      </c>
      <c r="H1186" s="23">
        <v>0</v>
      </c>
      <c r="I1186" s="23">
        <v>0</v>
      </c>
      <c r="J1186" s="17">
        <f>OR(F1186&lt;&gt;0,G1186&lt;&gt;0,H1186&lt;&gt;0,I1186&lt;&gt;0)*(F1186 + (F1186 = 0))*(G1186 + (G1186 = 0))*(H1186 + (H1186 = 0))*(I1186 + (I1186 = 0))</f>
        <v>18</v>
      </c>
      <c r="K1186" s="9"/>
      <c r="L1186" s="9"/>
      <c r="M1186" s="9"/>
    </row>
    <row r="1187" spans="1:13">
      <c r="A1187" s="9"/>
      <c r="B1187" s="9"/>
      <c r="C1187" s="10" t="s">
        <v>27</v>
      </c>
      <c r="D1187" s="30"/>
      <c r="E1187" s="10" t="s">
        <v>1072</v>
      </c>
      <c r="F1187" s="19">
        <v>18</v>
      </c>
      <c r="G1187" s="23">
        <v>0</v>
      </c>
      <c r="H1187" s="23">
        <v>0</v>
      </c>
      <c r="I1187" s="23">
        <v>0</v>
      </c>
      <c r="J1187" s="17">
        <f>OR(F1187&lt;&gt;0,G1187&lt;&gt;0,H1187&lt;&gt;0,I1187&lt;&gt;0)*(F1187 + (F1187 = 0))*(G1187 + (G1187 = 0))*(H1187 + (H1187 = 0))*(I1187 + (I1187 = 0))</f>
        <v>18</v>
      </c>
      <c r="K1187" s="9"/>
      <c r="L1187" s="9"/>
      <c r="M1187" s="9"/>
    </row>
    <row r="1188" spans="1:13">
      <c r="A1188" s="9"/>
      <c r="B1188" s="9"/>
      <c r="C1188" s="9"/>
      <c r="D1188" s="30"/>
      <c r="E1188" s="9"/>
      <c r="F1188" s="9"/>
      <c r="G1188" s="9"/>
      <c r="H1188" s="9"/>
      <c r="I1188" s="9"/>
      <c r="J1188" s="21" t="s">
        <v>1073</v>
      </c>
      <c r="K1188" s="22">
        <f>SUM(J1185:J1187)</f>
        <v>39</v>
      </c>
      <c r="L1188" s="23">
        <v>0</v>
      </c>
      <c r="M1188" s="24">
        <f>ROUND(K1188*L1188,2)</f>
        <v>0</v>
      </c>
    </row>
    <row r="1189" spans="1:13" ht="0.95" customHeight="1">
      <c r="A1189" s="25"/>
      <c r="B1189" s="25"/>
      <c r="C1189" s="25"/>
      <c r="D1189" s="31"/>
      <c r="E1189" s="25"/>
      <c r="F1189" s="25"/>
      <c r="G1189" s="25"/>
      <c r="H1189" s="25"/>
      <c r="I1189" s="25"/>
      <c r="J1189" s="25"/>
      <c r="K1189" s="25"/>
      <c r="L1189" s="25"/>
      <c r="M1189" s="25"/>
    </row>
    <row r="1190" spans="1:13">
      <c r="A1190" s="15" t="s">
        <v>1074</v>
      </c>
      <c r="B1190" s="10" t="s">
        <v>23</v>
      </c>
      <c r="C1190" s="10" t="s">
        <v>17</v>
      </c>
      <c r="D1190" s="18" t="s">
        <v>1075</v>
      </c>
      <c r="E1190" s="9"/>
      <c r="F1190" s="9"/>
      <c r="G1190" s="9"/>
      <c r="H1190" s="9"/>
      <c r="I1190" s="9"/>
      <c r="J1190" s="9"/>
      <c r="K1190" s="16">
        <f>K1193</f>
        <v>4</v>
      </c>
      <c r="L1190" s="17">
        <f>L1193</f>
        <v>0</v>
      </c>
      <c r="M1190" s="17">
        <f>M1193</f>
        <v>0</v>
      </c>
    </row>
    <row r="1191" spans="1:13" ht="67.5">
      <c r="A1191" s="9"/>
      <c r="B1191" s="9"/>
      <c r="C1191" s="9"/>
      <c r="D1191" s="18" t="s">
        <v>1076</v>
      </c>
      <c r="E1191" s="9"/>
      <c r="F1191" s="9"/>
      <c r="G1191" s="9"/>
      <c r="H1191" s="9"/>
      <c r="I1191" s="9"/>
      <c r="J1191" s="9"/>
      <c r="K1191" s="9"/>
      <c r="L1191" s="9"/>
      <c r="M1191" s="9"/>
    </row>
    <row r="1192" spans="1:13">
      <c r="A1192" s="9"/>
      <c r="B1192" s="9"/>
      <c r="C1192" s="10" t="s">
        <v>27</v>
      </c>
      <c r="D1192" s="30"/>
      <c r="E1192" s="10" t="s">
        <v>1071</v>
      </c>
      <c r="F1192" s="19">
        <v>4</v>
      </c>
      <c r="G1192" s="23">
        <v>0</v>
      </c>
      <c r="H1192" s="23">
        <v>0</v>
      </c>
      <c r="I1192" s="23">
        <v>0</v>
      </c>
      <c r="J1192" s="17">
        <f>OR(F1192&lt;&gt;0,G1192&lt;&gt;0,H1192&lt;&gt;0,I1192&lt;&gt;0)*(F1192 + (F1192 = 0))*(G1192 + (G1192 = 0))*(H1192 + (H1192 = 0))*(I1192 + (I1192 = 0))</f>
        <v>4</v>
      </c>
      <c r="K1192" s="9"/>
      <c r="L1192" s="9"/>
      <c r="M1192" s="9"/>
    </row>
    <row r="1193" spans="1:13">
      <c r="A1193" s="9"/>
      <c r="B1193" s="9"/>
      <c r="C1193" s="9"/>
      <c r="D1193" s="30"/>
      <c r="E1193" s="9"/>
      <c r="F1193" s="9"/>
      <c r="G1193" s="9"/>
      <c r="H1193" s="9"/>
      <c r="I1193" s="9"/>
      <c r="J1193" s="21" t="s">
        <v>1077</v>
      </c>
      <c r="K1193" s="22">
        <f>J1192</f>
        <v>4</v>
      </c>
      <c r="L1193" s="23">
        <v>0</v>
      </c>
      <c r="M1193" s="24">
        <f>ROUND(K1193*L1193,2)</f>
        <v>0</v>
      </c>
    </row>
    <row r="1194" spans="1:13" ht="0.95" customHeight="1">
      <c r="A1194" s="25"/>
      <c r="B1194" s="25"/>
      <c r="C1194" s="25"/>
      <c r="D1194" s="31"/>
      <c r="E1194" s="25"/>
      <c r="F1194" s="25"/>
      <c r="G1194" s="25"/>
      <c r="H1194" s="25"/>
      <c r="I1194" s="25"/>
      <c r="J1194" s="25"/>
      <c r="K1194" s="25"/>
      <c r="L1194" s="25"/>
      <c r="M1194" s="25"/>
    </row>
    <row r="1195" spans="1:13">
      <c r="A1195" s="9"/>
      <c r="B1195" s="9"/>
      <c r="C1195" s="9"/>
      <c r="D1195" s="30"/>
      <c r="E1195" s="9"/>
      <c r="F1195" s="9"/>
      <c r="G1195" s="9"/>
      <c r="H1195" s="9"/>
      <c r="I1195" s="9"/>
      <c r="J1195" s="21" t="s">
        <v>1078</v>
      </c>
      <c r="K1195" s="20">
        <v>1</v>
      </c>
      <c r="L1195" s="24">
        <f>M1178+M1183+M1190</f>
        <v>0</v>
      </c>
      <c r="M1195" s="24">
        <f>ROUND(K1195*L1195,2)</f>
        <v>0</v>
      </c>
    </row>
    <row r="1196" spans="1:13" ht="0.95" customHeight="1">
      <c r="A1196" s="25"/>
      <c r="B1196" s="25"/>
      <c r="C1196" s="25"/>
      <c r="D1196" s="31"/>
      <c r="E1196" s="25"/>
      <c r="F1196" s="25"/>
      <c r="G1196" s="25"/>
      <c r="H1196" s="25"/>
      <c r="I1196" s="25"/>
      <c r="J1196" s="25"/>
      <c r="K1196" s="25"/>
      <c r="L1196" s="25"/>
      <c r="M1196" s="25"/>
    </row>
    <row r="1197" spans="1:13">
      <c r="A1197" s="9"/>
      <c r="B1197" s="9"/>
      <c r="C1197" s="9"/>
      <c r="D1197" s="30"/>
      <c r="E1197" s="9"/>
      <c r="F1197" s="9"/>
      <c r="G1197" s="9"/>
      <c r="H1197" s="9"/>
      <c r="I1197" s="9"/>
      <c r="J1197" s="21" t="s">
        <v>1079</v>
      </c>
      <c r="K1197" s="26">
        <v>1</v>
      </c>
      <c r="L1197" s="24">
        <f>M800+M811+M845+M943+M1028+M1074+M1084+M1103+M1109+M1177</f>
        <v>0</v>
      </c>
      <c r="M1197" s="24">
        <f>ROUND(K1197*L1197,2)</f>
        <v>0</v>
      </c>
    </row>
    <row r="1198" spans="1:13" ht="0.95" customHeight="1">
      <c r="A1198" s="25"/>
      <c r="B1198" s="25"/>
      <c r="C1198" s="25"/>
      <c r="D1198" s="31"/>
      <c r="E1198" s="25"/>
      <c r="F1198" s="25"/>
      <c r="G1198" s="25"/>
      <c r="H1198" s="25"/>
      <c r="I1198" s="25"/>
      <c r="J1198" s="25"/>
      <c r="K1198" s="25"/>
      <c r="L1198" s="25"/>
      <c r="M1198" s="25"/>
    </row>
    <row r="1199" spans="1:13">
      <c r="A1199" s="5" t="s">
        <v>1080</v>
      </c>
      <c r="B1199" s="5" t="s">
        <v>16</v>
      </c>
      <c r="C1199" s="5" t="s">
        <v>17</v>
      </c>
      <c r="D1199" s="28" t="s">
        <v>1081</v>
      </c>
      <c r="E1199" s="6"/>
      <c r="F1199" s="6"/>
      <c r="G1199" s="6"/>
      <c r="H1199" s="6"/>
      <c r="I1199" s="6"/>
      <c r="J1199" s="6"/>
      <c r="K1199" s="7">
        <f>K1408</f>
        <v>1</v>
      </c>
      <c r="L1199" s="8">
        <f>L1408</f>
        <v>0</v>
      </c>
      <c r="M1199" s="8">
        <f>M1408</f>
        <v>0</v>
      </c>
    </row>
    <row r="1200" spans="1:13">
      <c r="A1200" s="11" t="s">
        <v>1082</v>
      </c>
      <c r="B1200" s="11" t="s">
        <v>16</v>
      </c>
      <c r="C1200" s="11" t="s">
        <v>17</v>
      </c>
      <c r="D1200" s="29" t="s">
        <v>1083</v>
      </c>
      <c r="E1200" s="12"/>
      <c r="F1200" s="12"/>
      <c r="G1200" s="12"/>
      <c r="H1200" s="12"/>
      <c r="I1200" s="12"/>
      <c r="J1200" s="12"/>
      <c r="K1200" s="13">
        <f>K1308</f>
        <v>1</v>
      </c>
      <c r="L1200" s="14">
        <f>L1308</f>
        <v>0</v>
      </c>
      <c r="M1200" s="14">
        <f>M1308</f>
        <v>0</v>
      </c>
    </row>
    <row r="1201" spans="1:13" ht="33.75">
      <c r="A1201" s="15" t="s">
        <v>1084</v>
      </c>
      <c r="B1201" s="10" t="s">
        <v>23</v>
      </c>
      <c r="C1201" s="10" t="s">
        <v>94</v>
      </c>
      <c r="D1201" s="18" t="s">
        <v>1085</v>
      </c>
      <c r="E1201" s="9"/>
      <c r="F1201" s="9"/>
      <c r="G1201" s="9"/>
      <c r="H1201" s="9"/>
      <c r="I1201" s="9"/>
      <c r="J1201" s="9"/>
      <c r="K1201" s="16">
        <f>K1216</f>
        <v>103.63</v>
      </c>
      <c r="L1201" s="17">
        <f>L1216</f>
        <v>0</v>
      </c>
      <c r="M1201" s="17">
        <f>M1216</f>
        <v>0</v>
      </c>
    </row>
    <row r="1202" spans="1:13">
      <c r="A1202" s="9"/>
      <c r="B1202" s="9"/>
      <c r="C1202" s="9"/>
      <c r="D1202" s="18" t="s">
        <v>1086</v>
      </c>
      <c r="E1202" s="9"/>
      <c r="F1202" s="9"/>
      <c r="G1202" s="9"/>
      <c r="H1202" s="9"/>
      <c r="I1202" s="9"/>
      <c r="J1202" s="9"/>
      <c r="K1202" s="9"/>
      <c r="L1202" s="9"/>
      <c r="M1202" s="9"/>
    </row>
    <row r="1203" spans="1:13">
      <c r="A1203" s="9"/>
      <c r="B1203" s="9"/>
      <c r="C1203" s="10" t="s">
        <v>27</v>
      </c>
      <c r="D1203" s="30"/>
      <c r="E1203" s="10" t="s">
        <v>1087</v>
      </c>
      <c r="F1203" s="19">
        <v>1</v>
      </c>
      <c r="G1203" s="20">
        <v>7.62</v>
      </c>
      <c r="H1203" s="20">
        <v>0</v>
      </c>
      <c r="I1203" s="20">
        <v>0</v>
      </c>
      <c r="J1203" s="16">
        <f>OR(F1203&lt;&gt;0,G1203&lt;&gt;0,H1203&lt;&gt;0,I1203&lt;&gt;0)*(F1203 + (F1203 = 0))*(G1203 + (G1203 = 0))*(H1203 + (H1203 = 0))*(I1203 + (I1203 = 0))</f>
        <v>7.62</v>
      </c>
      <c r="K1203" s="9"/>
      <c r="L1203" s="9"/>
      <c r="M1203" s="9"/>
    </row>
    <row r="1204" spans="1:13">
      <c r="A1204" s="9"/>
      <c r="B1204" s="9"/>
      <c r="C1204" s="10" t="s">
        <v>27</v>
      </c>
      <c r="D1204" s="30"/>
      <c r="E1204" s="10" t="s">
        <v>1088</v>
      </c>
      <c r="F1204" s="19"/>
      <c r="G1204" s="20"/>
      <c r="H1204" s="20"/>
      <c r="I1204" s="20"/>
      <c r="J1204" s="16">
        <f>OR(F1204&lt;&gt;0,G1204&lt;&gt;0,H1204&lt;&gt;0,I1204&lt;&gt;0)*(F1204 + (F1204 = 0))*(G1204 + (G1204 = 0))*(H1204 + (H1204 = 0))*(I1204 + (I1204 = 0))</f>
        <v>0</v>
      </c>
      <c r="K1204" s="9"/>
      <c r="L1204" s="9"/>
      <c r="M1204" s="9"/>
    </row>
    <row r="1205" spans="1:13">
      <c r="A1205" s="9"/>
      <c r="B1205" s="9"/>
      <c r="C1205" s="10" t="s">
        <v>27</v>
      </c>
      <c r="D1205" s="30"/>
      <c r="E1205" s="10" t="s">
        <v>700</v>
      </c>
      <c r="F1205" s="19">
        <v>1</v>
      </c>
      <c r="G1205" s="20">
        <v>10.52</v>
      </c>
      <c r="H1205" s="20">
        <v>0</v>
      </c>
      <c r="I1205" s="20">
        <v>0</v>
      </c>
      <c r="J1205" s="16">
        <f>OR(F1205&lt;&gt;0,G1205&lt;&gt;0,H1205&lt;&gt;0,I1205&lt;&gt;0)*(F1205 + (F1205 = 0))*(G1205 + (G1205 = 0))*(H1205 + (H1205 = 0))*(I1205 + (I1205 = 0))</f>
        <v>10.52</v>
      </c>
      <c r="K1205" s="9"/>
      <c r="L1205" s="9"/>
      <c r="M1205" s="9"/>
    </row>
    <row r="1206" spans="1:13">
      <c r="A1206" s="9"/>
      <c r="B1206" s="9"/>
      <c r="C1206" s="10" t="s">
        <v>27</v>
      </c>
      <c r="D1206" s="30"/>
      <c r="E1206" s="10" t="s">
        <v>1089</v>
      </c>
      <c r="F1206" s="19">
        <v>1</v>
      </c>
      <c r="G1206" s="20">
        <v>45.15</v>
      </c>
      <c r="H1206" s="20">
        <v>0</v>
      </c>
      <c r="I1206" s="20">
        <v>0</v>
      </c>
      <c r="J1206" s="16">
        <f>OR(F1206&lt;&gt;0,G1206&lt;&gt;0,H1206&lt;&gt;0,I1206&lt;&gt;0)*(F1206 + (F1206 = 0))*(G1206 + (G1206 = 0))*(H1206 + (H1206 = 0))*(I1206 + (I1206 = 0))</f>
        <v>45.15</v>
      </c>
      <c r="K1206" s="9"/>
      <c r="L1206" s="9"/>
      <c r="M1206" s="9"/>
    </row>
    <row r="1207" spans="1:13">
      <c r="A1207" s="9"/>
      <c r="B1207" s="9"/>
      <c r="C1207" s="10" t="s">
        <v>27</v>
      </c>
      <c r="D1207" s="30"/>
      <c r="E1207" s="10" t="s">
        <v>1090</v>
      </c>
      <c r="F1207" s="19">
        <v>1</v>
      </c>
      <c r="G1207" s="20">
        <v>4.4000000000000004</v>
      </c>
      <c r="H1207" s="20">
        <v>0</v>
      </c>
      <c r="I1207" s="20">
        <v>0</v>
      </c>
      <c r="J1207" s="16">
        <f>OR(F1207&lt;&gt;0,G1207&lt;&gt;0,H1207&lt;&gt;0,I1207&lt;&gt;0)*(F1207 + (F1207 = 0))*(G1207 + (G1207 = 0))*(H1207 + (H1207 = 0))*(I1207 + (I1207 = 0))</f>
        <v>4.4000000000000004</v>
      </c>
      <c r="K1207" s="9"/>
      <c r="L1207" s="9"/>
      <c r="M1207" s="9"/>
    </row>
    <row r="1208" spans="1:13">
      <c r="A1208" s="9"/>
      <c r="B1208" s="9"/>
      <c r="C1208" s="10" t="s">
        <v>27</v>
      </c>
      <c r="D1208" s="30"/>
      <c r="E1208" s="10" t="s">
        <v>1091</v>
      </c>
      <c r="F1208" s="19">
        <v>1</v>
      </c>
      <c r="G1208" s="20">
        <v>5.8</v>
      </c>
      <c r="H1208" s="20">
        <v>0</v>
      </c>
      <c r="I1208" s="20">
        <v>0</v>
      </c>
      <c r="J1208" s="16">
        <f>OR(F1208&lt;&gt;0,G1208&lt;&gt;0,H1208&lt;&gt;0,I1208&lt;&gt;0)*(F1208 + (F1208 = 0))*(G1208 + (G1208 = 0))*(H1208 + (H1208 = 0))*(I1208 + (I1208 = 0))</f>
        <v>5.8</v>
      </c>
      <c r="K1208" s="9"/>
      <c r="L1208" s="9"/>
      <c r="M1208" s="9"/>
    </row>
    <row r="1209" spans="1:13">
      <c r="A1209" s="9"/>
      <c r="B1209" s="9"/>
      <c r="C1209" s="10" t="s">
        <v>27</v>
      </c>
      <c r="D1209" s="30"/>
      <c r="E1209" s="10" t="s">
        <v>1092</v>
      </c>
      <c r="F1209" s="19"/>
      <c r="G1209" s="20"/>
      <c r="H1209" s="20"/>
      <c r="I1209" s="20"/>
      <c r="J1209" s="16">
        <f>OR(F1209&lt;&gt;0,G1209&lt;&gt;0,H1209&lt;&gt;0,I1209&lt;&gt;0)*(F1209 + (F1209 = 0))*(G1209 + (G1209 = 0))*(H1209 + (H1209 = 0))*(I1209 + (I1209 = 0))</f>
        <v>0</v>
      </c>
      <c r="K1209" s="9"/>
      <c r="L1209" s="9"/>
      <c r="M1209" s="9"/>
    </row>
    <row r="1210" spans="1:13">
      <c r="A1210" s="9"/>
      <c r="B1210" s="9"/>
      <c r="C1210" s="10" t="s">
        <v>27</v>
      </c>
      <c r="D1210" s="30"/>
      <c r="E1210" s="10" t="s">
        <v>616</v>
      </c>
      <c r="F1210" s="19">
        <v>1</v>
      </c>
      <c r="G1210" s="20">
        <v>2.77</v>
      </c>
      <c r="H1210" s="20">
        <v>0</v>
      </c>
      <c r="I1210" s="20">
        <v>0</v>
      </c>
      <c r="J1210" s="16">
        <f>OR(F1210&lt;&gt;0,G1210&lt;&gt;0,H1210&lt;&gt;0,I1210&lt;&gt;0)*(F1210 + (F1210 = 0))*(G1210 + (G1210 = 0))*(H1210 + (H1210 = 0))*(I1210 + (I1210 = 0))</f>
        <v>2.77</v>
      </c>
      <c r="K1210" s="9"/>
      <c r="L1210" s="9"/>
      <c r="M1210" s="9"/>
    </row>
    <row r="1211" spans="1:13">
      <c r="A1211" s="9"/>
      <c r="B1211" s="9"/>
      <c r="C1211" s="10" t="s">
        <v>27</v>
      </c>
      <c r="D1211" s="30"/>
      <c r="E1211" s="10" t="s">
        <v>617</v>
      </c>
      <c r="F1211" s="19">
        <v>1</v>
      </c>
      <c r="G1211" s="20">
        <v>3.27</v>
      </c>
      <c r="H1211" s="20">
        <v>0</v>
      </c>
      <c r="I1211" s="20">
        <v>0</v>
      </c>
      <c r="J1211" s="16">
        <f>OR(F1211&lt;&gt;0,G1211&lt;&gt;0,H1211&lt;&gt;0,I1211&lt;&gt;0)*(F1211 + (F1211 = 0))*(G1211 + (G1211 = 0))*(H1211 + (H1211 = 0))*(I1211 + (I1211 = 0))</f>
        <v>3.27</v>
      </c>
      <c r="K1211" s="9"/>
      <c r="L1211" s="9"/>
      <c r="M1211" s="9"/>
    </row>
    <row r="1212" spans="1:13">
      <c r="A1212" s="9"/>
      <c r="B1212" s="9"/>
      <c r="C1212" s="10" t="s">
        <v>27</v>
      </c>
      <c r="D1212" s="30"/>
      <c r="E1212" s="10" t="s">
        <v>613</v>
      </c>
      <c r="F1212" s="19">
        <v>1</v>
      </c>
      <c r="G1212" s="20">
        <v>13.5</v>
      </c>
      <c r="H1212" s="20">
        <v>0</v>
      </c>
      <c r="I1212" s="20">
        <v>0</v>
      </c>
      <c r="J1212" s="16">
        <f>OR(F1212&lt;&gt;0,G1212&lt;&gt;0,H1212&lt;&gt;0,I1212&lt;&gt;0)*(F1212 + (F1212 = 0))*(G1212 + (G1212 = 0))*(H1212 + (H1212 = 0))*(I1212 + (I1212 = 0))</f>
        <v>13.5</v>
      </c>
      <c r="K1212" s="9"/>
      <c r="L1212" s="9"/>
      <c r="M1212" s="9"/>
    </row>
    <row r="1213" spans="1:13">
      <c r="A1213" s="9"/>
      <c r="B1213" s="9"/>
      <c r="C1213" s="10" t="s">
        <v>27</v>
      </c>
      <c r="D1213" s="30"/>
      <c r="E1213" s="10" t="s">
        <v>1093</v>
      </c>
      <c r="F1213" s="19"/>
      <c r="G1213" s="20"/>
      <c r="H1213" s="20"/>
      <c r="I1213" s="20"/>
      <c r="J1213" s="16">
        <f>OR(F1213&lt;&gt;0,G1213&lt;&gt;0,H1213&lt;&gt;0,I1213&lt;&gt;0)*(F1213 + (F1213 = 0))*(G1213 + (G1213 = 0))*(H1213 + (H1213 = 0))*(I1213 + (I1213 = 0))</f>
        <v>0</v>
      </c>
      <c r="K1213" s="9"/>
      <c r="L1213" s="9"/>
      <c r="M1213" s="9"/>
    </row>
    <row r="1214" spans="1:13">
      <c r="A1214" s="9"/>
      <c r="B1214" s="9"/>
      <c r="C1214" s="10" t="s">
        <v>27</v>
      </c>
      <c r="D1214" s="30"/>
      <c r="E1214" s="10" t="s">
        <v>1094</v>
      </c>
      <c r="F1214" s="19">
        <v>1</v>
      </c>
      <c r="G1214" s="20">
        <v>8.02</v>
      </c>
      <c r="H1214" s="20">
        <v>0</v>
      </c>
      <c r="I1214" s="20">
        <v>0</v>
      </c>
      <c r="J1214" s="16">
        <f>OR(F1214&lt;&gt;0,G1214&lt;&gt;0,H1214&lt;&gt;0,I1214&lt;&gt;0)*(F1214 + (F1214 = 0))*(G1214 + (G1214 = 0))*(H1214 + (H1214 = 0))*(I1214 + (I1214 = 0))</f>
        <v>8.02</v>
      </c>
      <c r="K1214" s="9"/>
      <c r="L1214" s="9"/>
      <c r="M1214" s="9"/>
    </row>
    <row r="1215" spans="1:13">
      <c r="A1215" s="9"/>
      <c r="B1215" s="9"/>
      <c r="C1215" s="10" t="s">
        <v>27</v>
      </c>
      <c r="D1215" s="30"/>
      <c r="E1215" s="10" t="s">
        <v>1095</v>
      </c>
      <c r="F1215" s="19">
        <v>1</v>
      </c>
      <c r="G1215" s="20">
        <v>2.58</v>
      </c>
      <c r="H1215" s="20">
        <v>0</v>
      </c>
      <c r="I1215" s="20">
        <v>0</v>
      </c>
      <c r="J1215" s="16">
        <f>OR(F1215&lt;&gt;0,G1215&lt;&gt;0,H1215&lt;&gt;0,I1215&lt;&gt;0)*(F1215 + (F1215 = 0))*(G1215 + (G1215 = 0))*(H1215 + (H1215 = 0))*(I1215 + (I1215 = 0))</f>
        <v>2.58</v>
      </c>
      <c r="K1215" s="9"/>
      <c r="L1215" s="9"/>
      <c r="M1215" s="9"/>
    </row>
    <row r="1216" spans="1:13">
      <c r="A1216" s="9"/>
      <c r="B1216" s="9"/>
      <c r="C1216" s="9"/>
      <c r="D1216" s="30"/>
      <c r="E1216" s="9"/>
      <c r="F1216" s="9"/>
      <c r="G1216" s="9"/>
      <c r="H1216" s="9"/>
      <c r="I1216" s="9"/>
      <c r="J1216" s="21" t="s">
        <v>1096</v>
      </c>
      <c r="K1216" s="22">
        <f>SUM(J1203:J1215)</f>
        <v>103.63</v>
      </c>
      <c r="L1216" s="23">
        <v>0</v>
      </c>
      <c r="M1216" s="24">
        <f>ROUND(K1216*L1216,2)</f>
        <v>0</v>
      </c>
    </row>
    <row r="1217" spans="1:13" ht="0.95" customHeight="1">
      <c r="A1217" s="25"/>
      <c r="B1217" s="25"/>
      <c r="C1217" s="25"/>
      <c r="D1217" s="31"/>
      <c r="E1217" s="25"/>
      <c r="F1217" s="25"/>
      <c r="G1217" s="25"/>
      <c r="H1217" s="25"/>
      <c r="I1217" s="25"/>
      <c r="J1217" s="25"/>
      <c r="K1217" s="25"/>
      <c r="L1217" s="25"/>
      <c r="M1217" s="25"/>
    </row>
    <row r="1218" spans="1:13" ht="33.75">
      <c r="A1218" s="15" t="s">
        <v>1097</v>
      </c>
      <c r="B1218" s="10" t="s">
        <v>23</v>
      </c>
      <c r="C1218" s="10" t="s">
        <v>94</v>
      </c>
      <c r="D1218" s="18" t="s">
        <v>1098</v>
      </c>
      <c r="E1218" s="9"/>
      <c r="F1218" s="9"/>
      <c r="G1218" s="9"/>
      <c r="H1218" s="9"/>
      <c r="I1218" s="9"/>
      <c r="J1218" s="9"/>
      <c r="K1218" s="16">
        <f>K1226</f>
        <v>81.278999999999996</v>
      </c>
      <c r="L1218" s="17">
        <f>L1226</f>
        <v>0</v>
      </c>
      <c r="M1218" s="17">
        <f>M1226</f>
        <v>0</v>
      </c>
    </row>
    <row r="1219" spans="1:13">
      <c r="A1219" s="9"/>
      <c r="B1219" s="9"/>
      <c r="C1219" s="9"/>
      <c r="D1219" s="18" t="s">
        <v>1099</v>
      </c>
      <c r="E1219" s="9"/>
      <c r="F1219" s="9"/>
      <c r="G1219" s="9"/>
      <c r="H1219" s="9"/>
      <c r="I1219" s="9"/>
      <c r="J1219" s="9"/>
      <c r="K1219" s="9"/>
      <c r="L1219" s="9"/>
      <c r="M1219" s="9"/>
    </row>
    <row r="1220" spans="1:13">
      <c r="A1220" s="9"/>
      <c r="B1220" s="9"/>
      <c r="C1220" s="10" t="s">
        <v>27</v>
      </c>
      <c r="D1220" s="30"/>
      <c r="E1220" s="10" t="s">
        <v>1100</v>
      </c>
      <c r="F1220" s="19"/>
      <c r="G1220" s="20"/>
      <c r="H1220" s="20"/>
      <c r="I1220" s="20"/>
      <c r="J1220" s="16">
        <f>OR(F1220&lt;&gt;0,G1220&lt;&gt;0,H1220&lt;&gt;0,I1220&lt;&gt;0)*(F1220 + (F1220 = 0))*(G1220 + (G1220 = 0))*(H1220 + (H1220 = 0))*(I1220 + (I1220 = 0))</f>
        <v>0</v>
      </c>
      <c r="K1220" s="9"/>
      <c r="L1220" s="9"/>
      <c r="M1220" s="9"/>
    </row>
    <row r="1221" spans="1:13">
      <c r="A1221" s="9"/>
      <c r="B1221" s="9"/>
      <c r="C1221" s="10" t="s">
        <v>27</v>
      </c>
      <c r="D1221" s="30"/>
      <c r="E1221" s="10" t="s">
        <v>1101</v>
      </c>
      <c r="F1221" s="19">
        <v>1</v>
      </c>
      <c r="G1221" s="20">
        <v>6.5</v>
      </c>
      <c r="H1221" s="20">
        <v>4.3</v>
      </c>
      <c r="I1221" s="20">
        <v>0</v>
      </c>
      <c r="J1221" s="16">
        <f>OR(F1221&lt;&gt;0,G1221&lt;&gt;0,H1221&lt;&gt;0,I1221&lt;&gt;0)*(F1221 + (F1221 = 0))*(G1221 + (G1221 = 0))*(H1221 + (H1221 = 0))*(I1221 + (I1221 = 0))</f>
        <v>27.95</v>
      </c>
      <c r="K1221" s="9"/>
      <c r="L1221" s="9"/>
      <c r="M1221" s="9"/>
    </row>
    <row r="1222" spans="1:13">
      <c r="A1222" s="9"/>
      <c r="B1222" s="9"/>
      <c r="C1222" s="10" t="s">
        <v>27</v>
      </c>
      <c r="D1222" s="30"/>
      <c r="E1222" s="10" t="s">
        <v>17</v>
      </c>
      <c r="F1222" s="19">
        <v>1</v>
      </c>
      <c r="G1222" s="20">
        <v>6.5</v>
      </c>
      <c r="H1222" s="20">
        <v>6.25</v>
      </c>
      <c r="I1222" s="20">
        <v>0</v>
      </c>
      <c r="J1222" s="16">
        <f>OR(F1222&lt;&gt;0,G1222&lt;&gt;0,H1222&lt;&gt;0,I1222&lt;&gt;0)*(F1222 + (F1222 = 0))*(G1222 + (G1222 = 0))*(H1222 + (H1222 = 0))*(I1222 + (I1222 = 0))</f>
        <v>40.625</v>
      </c>
      <c r="K1222" s="9"/>
      <c r="L1222" s="9"/>
      <c r="M1222" s="9"/>
    </row>
    <row r="1223" spans="1:13">
      <c r="A1223" s="9"/>
      <c r="B1223" s="9"/>
      <c r="C1223" s="10" t="s">
        <v>27</v>
      </c>
      <c r="D1223" s="30"/>
      <c r="E1223" s="10" t="s">
        <v>17</v>
      </c>
      <c r="F1223" s="19">
        <v>1</v>
      </c>
      <c r="G1223" s="20">
        <v>5.6</v>
      </c>
      <c r="H1223" s="20">
        <v>4.1500000000000004</v>
      </c>
      <c r="I1223" s="20">
        <v>0</v>
      </c>
      <c r="J1223" s="16">
        <f>OR(F1223&lt;&gt;0,G1223&lt;&gt;0,H1223&lt;&gt;0,I1223&lt;&gt;0)*(F1223 + (F1223 = 0))*(G1223 + (G1223 = 0))*(H1223 + (H1223 = 0))*(I1223 + (I1223 = 0))</f>
        <v>23.24</v>
      </c>
      <c r="K1223" s="9"/>
      <c r="L1223" s="9"/>
      <c r="M1223" s="9"/>
    </row>
    <row r="1224" spans="1:13">
      <c r="A1224" s="9"/>
      <c r="B1224" s="9"/>
      <c r="C1224" s="10" t="s">
        <v>27</v>
      </c>
      <c r="D1224" s="30"/>
      <c r="E1224" s="10" t="s">
        <v>17</v>
      </c>
      <c r="F1224" s="19">
        <v>-1</v>
      </c>
      <c r="G1224" s="20">
        <v>1.75</v>
      </c>
      <c r="H1224" s="20">
        <v>2.4500000000000002</v>
      </c>
      <c r="I1224" s="20">
        <v>0</v>
      </c>
      <c r="J1224" s="16">
        <f>OR(F1224&lt;&gt;0,G1224&lt;&gt;0,H1224&lt;&gt;0,I1224&lt;&gt;0)*(F1224 + (F1224 = 0))*(G1224 + (G1224 = 0))*(H1224 + (H1224 = 0))*(I1224 + (I1224 = 0))</f>
        <v>-4.2880000000000003</v>
      </c>
      <c r="K1224" s="9"/>
      <c r="L1224" s="9"/>
      <c r="M1224" s="9"/>
    </row>
    <row r="1225" spans="1:13">
      <c r="A1225" s="9"/>
      <c r="B1225" s="9"/>
      <c r="C1225" s="10" t="s">
        <v>27</v>
      </c>
      <c r="D1225" s="30"/>
      <c r="E1225" s="10" t="s">
        <v>17</v>
      </c>
      <c r="F1225" s="19">
        <v>-1</v>
      </c>
      <c r="G1225" s="20">
        <v>2.5499999999999998</v>
      </c>
      <c r="H1225" s="20">
        <v>2.4500000000000002</v>
      </c>
      <c r="I1225" s="20">
        <v>0</v>
      </c>
      <c r="J1225" s="16">
        <f>OR(F1225&lt;&gt;0,G1225&lt;&gt;0,H1225&lt;&gt;0,I1225&lt;&gt;0)*(F1225 + (F1225 = 0))*(G1225 + (G1225 = 0))*(H1225 + (H1225 = 0))*(I1225 + (I1225 = 0))</f>
        <v>-6.2480000000000002</v>
      </c>
      <c r="K1225" s="9"/>
      <c r="L1225" s="9"/>
      <c r="M1225" s="9"/>
    </row>
    <row r="1226" spans="1:13">
      <c r="A1226" s="9"/>
      <c r="B1226" s="9"/>
      <c r="C1226" s="9"/>
      <c r="D1226" s="30"/>
      <c r="E1226" s="9"/>
      <c r="F1226" s="9"/>
      <c r="G1226" s="9"/>
      <c r="H1226" s="9"/>
      <c r="I1226" s="9"/>
      <c r="J1226" s="21" t="s">
        <v>1102</v>
      </c>
      <c r="K1226" s="22">
        <f>SUM(J1220:J1225)</f>
        <v>81.278999999999996</v>
      </c>
      <c r="L1226" s="23">
        <v>0</v>
      </c>
      <c r="M1226" s="24">
        <f>ROUND(K1226*L1226,2)</f>
        <v>0</v>
      </c>
    </row>
    <row r="1227" spans="1:13" ht="0.95" customHeight="1">
      <c r="A1227" s="25"/>
      <c r="B1227" s="25"/>
      <c r="C1227" s="25"/>
      <c r="D1227" s="31"/>
      <c r="E1227" s="25"/>
      <c r="F1227" s="25"/>
      <c r="G1227" s="25"/>
      <c r="H1227" s="25"/>
      <c r="I1227" s="25"/>
      <c r="J1227" s="25"/>
      <c r="K1227" s="25"/>
      <c r="L1227" s="25"/>
      <c r="M1227" s="25"/>
    </row>
    <row r="1228" spans="1:13" ht="45">
      <c r="A1228" s="15" t="s">
        <v>1103</v>
      </c>
      <c r="B1228" s="10" t="s">
        <v>23</v>
      </c>
      <c r="C1228" s="10" t="s">
        <v>94</v>
      </c>
      <c r="D1228" s="18" t="s">
        <v>1104</v>
      </c>
      <c r="E1228" s="9"/>
      <c r="F1228" s="9"/>
      <c r="G1228" s="9"/>
      <c r="H1228" s="9"/>
      <c r="I1228" s="9"/>
      <c r="J1228" s="9"/>
      <c r="K1228" s="16">
        <f>K1249</f>
        <v>198.74299999999999</v>
      </c>
      <c r="L1228" s="17">
        <f>L1249</f>
        <v>0</v>
      </c>
      <c r="M1228" s="17">
        <f>M1249</f>
        <v>0</v>
      </c>
    </row>
    <row r="1229" spans="1:13">
      <c r="A1229" s="9"/>
      <c r="B1229" s="9"/>
      <c r="C1229" s="9"/>
      <c r="D1229" s="18" t="s">
        <v>1105</v>
      </c>
      <c r="E1229" s="9"/>
      <c r="F1229" s="9"/>
      <c r="G1229" s="9"/>
      <c r="H1229" s="9"/>
      <c r="I1229" s="9"/>
      <c r="J1229" s="9"/>
      <c r="K1229" s="9"/>
      <c r="L1229" s="9"/>
      <c r="M1229" s="9"/>
    </row>
    <row r="1230" spans="1:13">
      <c r="A1230" s="9"/>
      <c r="B1230" s="9"/>
      <c r="C1230" s="10" t="s">
        <v>27</v>
      </c>
      <c r="D1230" s="30"/>
      <c r="E1230" s="10" t="s">
        <v>227</v>
      </c>
      <c r="F1230" s="19">
        <v>1</v>
      </c>
      <c r="G1230" s="20">
        <v>45.85</v>
      </c>
      <c r="H1230" s="20">
        <v>0</v>
      </c>
      <c r="I1230" s="20">
        <v>2.6</v>
      </c>
      <c r="J1230" s="16">
        <f>OR(F1230&lt;&gt;0,G1230&lt;&gt;0,H1230&lt;&gt;0,I1230&lt;&gt;0)*(F1230 + (F1230 = 0))*(G1230 + (G1230 = 0))*(H1230 + (H1230 = 0))*(I1230 + (I1230 = 0))</f>
        <v>119.21</v>
      </c>
      <c r="K1230" s="9"/>
      <c r="L1230" s="9"/>
      <c r="M1230" s="9"/>
    </row>
    <row r="1231" spans="1:13">
      <c r="A1231" s="9"/>
      <c r="B1231" s="9"/>
      <c r="C1231" s="10" t="s">
        <v>27</v>
      </c>
      <c r="D1231" s="30"/>
      <c r="E1231" s="10" t="s">
        <v>17</v>
      </c>
      <c r="F1231" s="19">
        <v>-1</v>
      </c>
      <c r="G1231" s="20">
        <v>2.5</v>
      </c>
      <c r="H1231" s="20">
        <v>0</v>
      </c>
      <c r="I1231" s="20">
        <v>0</v>
      </c>
      <c r="J1231" s="16">
        <f>OR(F1231&lt;&gt;0,G1231&lt;&gt;0,H1231&lt;&gt;0,I1231&lt;&gt;0)*(F1231 + (F1231 = 0))*(G1231 + (G1231 = 0))*(H1231 + (H1231 = 0))*(I1231 + (I1231 = 0))</f>
        <v>-2.5</v>
      </c>
      <c r="K1231" s="9"/>
      <c r="L1231" s="9"/>
      <c r="M1231" s="9"/>
    </row>
    <row r="1232" spans="1:13">
      <c r="A1232" s="9"/>
      <c r="B1232" s="9"/>
      <c r="C1232" s="10" t="s">
        <v>27</v>
      </c>
      <c r="D1232" s="30"/>
      <c r="E1232" s="10" t="s">
        <v>17</v>
      </c>
      <c r="F1232" s="19">
        <v>-1</v>
      </c>
      <c r="G1232" s="20">
        <v>3.38</v>
      </c>
      <c r="H1232" s="20">
        <v>0</v>
      </c>
      <c r="I1232" s="20">
        <v>0</v>
      </c>
      <c r="J1232" s="16">
        <f>OR(F1232&lt;&gt;0,G1232&lt;&gt;0,H1232&lt;&gt;0,I1232&lt;&gt;0)*(F1232 + (F1232 = 0))*(G1232 + (G1232 = 0))*(H1232 + (H1232 = 0))*(I1232 + (I1232 = 0))</f>
        <v>-3.38</v>
      </c>
      <c r="K1232" s="9"/>
      <c r="L1232" s="9"/>
      <c r="M1232" s="9"/>
    </row>
    <row r="1233" spans="1:13">
      <c r="A1233" s="9"/>
      <c r="B1233" s="9"/>
      <c r="C1233" s="10" t="s">
        <v>27</v>
      </c>
      <c r="D1233" s="30"/>
      <c r="E1233" s="10" t="s">
        <v>17</v>
      </c>
      <c r="F1233" s="19">
        <v>-1</v>
      </c>
      <c r="G1233" s="20">
        <v>3.32</v>
      </c>
      <c r="H1233" s="20">
        <v>0</v>
      </c>
      <c r="I1233" s="20">
        <v>0</v>
      </c>
      <c r="J1233" s="16">
        <f>OR(F1233&lt;&gt;0,G1233&lt;&gt;0,H1233&lt;&gt;0,I1233&lt;&gt;0)*(F1233 + (F1233 = 0))*(G1233 + (G1233 = 0))*(H1233 + (H1233 = 0))*(I1233 + (I1233 = 0))</f>
        <v>-3.32</v>
      </c>
      <c r="K1233" s="9"/>
      <c r="L1233" s="9"/>
      <c r="M1233" s="9"/>
    </row>
    <row r="1234" spans="1:13">
      <c r="A1234" s="9"/>
      <c r="B1234" s="9"/>
      <c r="C1234" s="10" t="s">
        <v>27</v>
      </c>
      <c r="D1234" s="30"/>
      <c r="E1234" s="10" t="s">
        <v>17</v>
      </c>
      <c r="F1234" s="19">
        <v>-1</v>
      </c>
      <c r="G1234" s="20">
        <v>6</v>
      </c>
      <c r="H1234" s="20">
        <v>0</v>
      </c>
      <c r="I1234" s="20">
        <v>0</v>
      </c>
      <c r="J1234" s="16">
        <f>OR(F1234&lt;&gt;0,G1234&lt;&gt;0,H1234&lt;&gt;0,I1234&lt;&gt;0)*(F1234 + (F1234 = 0))*(G1234 + (G1234 = 0))*(H1234 + (H1234 = 0))*(I1234 + (I1234 = 0))</f>
        <v>-6</v>
      </c>
      <c r="K1234" s="9"/>
      <c r="L1234" s="9"/>
      <c r="M1234" s="9"/>
    </row>
    <row r="1235" spans="1:13">
      <c r="A1235" s="9"/>
      <c r="B1235" s="9"/>
      <c r="C1235" s="10" t="s">
        <v>27</v>
      </c>
      <c r="D1235" s="30"/>
      <c r="E1235" s="10" t="s">
        <v>17</v>
      </c>
      <c r="F1235" s="19">
        <v>-1</v>
      </c>
      <c r="G1235" s="20">
        <v>3.92</v>
      </c>
      <c r="H1235" s="20">
        <v>0</v>
      </c>
      <c r="I1235" s="20">
        <v>0</v>
      </c>
      <c r="J1235" s="16">
        <f>OR(F1235&lt;&gt;0,G1235&lt;&gt;0,H1235&lt;&gt;0,I1235&lt;&gt;0)*(F1235 + (F1235 = 0))*(G1235 + (G1235 = 0))*(H1235 + (H1235 = 0))*(I1235 + (I1235 = 0))</f>
        <v>-3.92</v>
      </c>
      <c r="K1235" s="9"/>
      <c r="L1235" s="9"/>
      <c r="M1235" s="9"/>
    </row>
    <row r="1236" spans="1:13">
      <c r="A1236" s="9"/>
      <c r="B1236" s="9"/>
      <c r="C1236" s="10" t="s">
        <v>27</v>
      </c>
      <c r="D1236" s="30"/>
      <c r="E1236" s="10" t="s">
        <v>17</v>
      </c>
      <c r="F1236" s="19">
        <v>-1</v>
      </c>
      <c r="G1236" s="20">
        <v>3.25</v>
      </c>
      <c r="H1236" s="20">
        <v>0</v>
      </c>
      <c r="I1236" s="20">
        <v>0</v>
      </c>
      <c r="J1236" s="16">
        <f>OR(F1236&lt;&gt;0,G1236&lt;&gt;0,H1236&lt;&gt;0,I1236&lt;&gt;0)*(F1236 + (F1236 = 0))*(G1236 + (G1236 = 0))*(H1236 + (H1236 = 0))*(I1236 + (I1236 = 0))</f>
        <v>-3.25</v>
      </c>
      <c r="K1236" s="9"/>
      <c r="L1236" s="9"/>
      <c r="M1236" s="9"/>
    </row>
    <row r="1237" spans="1:13">
      <c r="A1237" s="9"/>
      <c r="B1237" s="9"/>
      <c r="C1237" s="10" t="s">
        <v>27</v>
      </c>
      <c r="D1237" s="30"/>
      <c r="E1237" s="10" t="s">
        <v>17</v>
      </c>
      <c r="F1237" s="19">
        <v>-1</v>
      </c>
      <c r="G1237" s="20">
        <v>10.34</v>
      </c>
      <c r="H1237" s="20">
        <v>0</v>
      </c>
      <c r="I1237" s="20">
        <v>0</v>
      </c>
      <c r="J1237" s="16">
        <f>OR(F1237&lt;&gt;0,G1237&lt;&gt;0,H1237&lt;&gt;0,I1237&lt;&gt;0)*(F1237 + (F1237 = 0))*(G1237 + (G1237 = 0))*(H1237 + (H1237 = 0))*(I1237 + (I1237 = 0))</f>
        <v>-10.34</v>
      </c>
      <c r="K1237" s="9"/>
      <c r="L1237" s="9"/>
      <c r="M1237" s="9"/>
    </row>
    <row r="1238" spans="1:13">
      <c r="A1238" s="9"/>
      <c r="B1238" s="9"/>
      <c r="C1238" s="10" t="s">
        <v>27</v>
      </c>
      <c r="D1238" s="30"/>
      <c r="E1238" s="10" t="s">
        <v>228</v>
      </c>
      <c r="F1238" s="19">
        <v>2</v>
      </c>
      <c r="G1238" s="20">
        <v>22.92</v>
      </c>
      <c r="H1238" s="20">
        <v>0</v>
      </c>
      <c r="I1238" s="20">
        <v>0</v>
      </c>
      <c r="J1238" s="16">
        <f>OR(F1238&lt;&gt;0,G1238&lt;&gt;0,H1238&lt;&gt;0,I1238&lt;&gt;0)*(F1238 + (F1238 = 0))*(G1238 + (G1238 = 0))*(H1238 + (H1238 = 0))*(I1238 + (I1238 = 0))</f>
        <v>45.84</v>
      </c>
      <c r="K1238" s="9"/>
      <c r="L1238" s="9"/>
      <c r="M1238" s="9"/>
    </row>
    <row r="1239" spans="1:13">
      <c r="A1239" s="9"/>
      <c r="B1239" s="9"/>
      <c r="C1239" s="10" t="s">
        <v>27</v>
      </c>
      <c r="D1239" s="30"/>
      <c r="E1239" s="10" t="s">
        <v>17</v>
      </c>
      <c r="F1239" s="19">
        <v>1</v>
      </c>
      <c r="G1239" s="20">
        <v>12.18</v>
      </c>
      <c r="H1239" s="20">
        <v>0</v>
      </c>
      <c r="I1239" s="20">
        <v>0</v>
      </c>
      <c r="J1239" s="16">
        <f>OR(F1239&lt;&gt;0,G1239&lt;&gt;0,H1239&lt;&gt;0,I1239&lt;&gt;0)*(F1239 + (F1239 = 0))*(G1239 + (G1239 = 0))*(H1239 + (H1239 = 0))*(I1239 + (I1239 = 0))</f>
        <v>12.18</v>
      </c>
      <c r="K1239" s="9"/>
      <c r="L1239" s="9"/>
      <c r="M1239" s="9"/>
    </row>
    <row r="1240" spans="1:13">
      <c r="A1240" s="9"/>
      <c r="B1240" s="9"/>
      <c r="C1240" s="10" t="s">
        <v>27</v>
      </c>
      <c r="D1240" s="30"/>
      <c r="E1240" s="10" t="s">
        <v>17</v>
      </c>
      <c r="F1240" s="19">
        <v>1</v>
      </c>
      <c r="G1240" s="20">
        <v>19.600000000000001</v>
      </c>
      <c r="H1240" s="20">
        <v>0</v>
      </c>
      <c r="I1240" s="20">
        <v>0</v>
      </c>
      <c r="J1240" s="16">
        <f>OR(F1240&lt;&gt;0,G1240&lt;&gt;0,H1240&lt;&gt;0,I1240&lt;&gt;0)*(F1240 + (F1240 = 0))*(G1240 + (G1240 = 0))*(H1240 + (H1240 = 0))*(I1240 + (I1240 = 0))</f>
        <v>19.600000000000001</v>
      </c>
      <c r="K1240" s="9"/>
      <c r="L1240" s="9"/>
      <c r="M1240" s="9"/>
    </row>
    <row r="1241" spans="1:13">
      <c r="A1241" s="9"/>
      <c r="B1241" s="9"/>
      <c r="C1241" s="10" t="s">
        <v>27</v>
      </c>
      <c r="D1241" s="30"/>
      <c r="E1241" s="10" t="s">
        <v>17</v>
      </c>
      <c r="F1241" s="19">
        <v>-2</v>
      </c>
      <c r="G1241" s="20">
        <v>5.64</v>
      </c>
      <c r="H1241" s="20">
        <v>0</v>
      </c>
      <c r="I1241" s="20">
        <v>0</v>
      </c>
      <c r="J1241" s="16">
        <f>OR(F1241&lt;&gt;0,G1241&lt;&gt;0,H1241&lt;&gt;0,I1241&lt;&gt;0)*(F1241 + (F1241 = 0))*(G1241 + (G1241 = 0))*(H1241 + (H1241 = 0))*(I1241 + (I1241 = 0))</f>
        <v>-11.28</v>
      </c>
      <c r="K1241" s="9"/>
      <c r="L1241" s="9"/>
      <c r="M1241" s="9"/>
    </row>
    <row r="1242" spans="1:13">
      <c r="A1242" s="9"/>
      <c r="B1242" s="9"/>
      <c r="C1242" s="10" t="s">
        <v>27</v>
      </c>
      <c r="D1242" s="30"/>
      <c r="E1242" s="10" t="s">
        <v>17</v>
      </c>
      <c r="F1242" s="19">
        <v>1</v>
      </c>
      <c r="G1242" s="20">
        <v>5.75</v>
      </c>
      <c r="H1242" s="20">
        <v>0</v>
      </c>
      <c r="I1242" s="20">
        <v>1.95</v>
      </c>
      <c r="J1242" s="16">
        <f>OR(F1242&lt;&gt;0,G1242&lt;&gt;0,H1242&lt;&gt;0,I1242&lt;&gt;0)*(F1242 + (F1242 = 0))*(G1242 + (G1242 = 0))*(H1242 + (H1242 = 0))*(I1242 + (I1242 = 0))</f>
        <v>11.212999999999999</v>
      </c>
      <c r="K1242" s="9"/>
      <c r="L1242" s="9"/>
      <c r="M1242" s="9"/>
    </row>
    <row r="1243" spans="1:13">
      <c r="A1243" s="9"/>
      <c r="B1243" s="9"/>
      <c r="C1243" s="10" t="s">
        <v>27</v>
      </c>
      <c r="D1243" s="30"/>
      <c r="E1243" s="10" t="s">
        <v>17</v>
      </c>
      <c r="F1243" s="19">
        <v>1</v>
      </c>
      <c r="G1243" s="20">
        <v>6.5</v>
      </c>
      <c r="H1243" s="20">
        <v>0</v>
      </c>
      <c r="I1243" s="20">
        <v>2.7</v>
      </c>
      <c r="J1243" s="16">
        <f>OR(F1243&lt;&gt;0,G1243&lt;&gt;0,H1243&lt;&gt;0,I1243&lt;&gt;0)*(F1243 + (F1243 = 0))*(G1243 + (G1243 = 0))*(H1243 + (H1243 = 0))*(I1243 + (I1243 = 0))</f>
        <v>17.55</v>
      </c>
      <c r="K1243" s="9"/>
      <c r="L1243" s="9"/>
      <c r="M1243" s="9"/>
    </row>
    <row r="1244" spans="1:13">
      <c r="A1244" s="9"/>
      <c r="B1244" s="9"/>
      <c r="C1244" s="10" t="s">
        <v>27</v>
      </c>
      <c r="D1244" s="30"/>
      <c r="E1244" s="10" t="s">
        <v>17</v>
      </c>
      <c r="F1244" s="19">
        <v>-1</v>
      </c>
      <c r="G1244" s="20">
        <v>2.0299999999999998</v>
      </c>
      <c r="H1244" s="20">
        <v>0</v>
      </c>
      <c r="I1244" s="20">
        <v>0</v>
      </c>
      <c r="J1244" s="16">
        <f>OR(F1244&lt;&gt;0,G1244&lt;&gt;0,H1244&lt;&gt;0,I1244&lt;&gt;0)*(F1244 + (F1244 = 0))*(G1244 + (G1244 = 0))*(H1244 + (H1244 = 0))*(I1244 + (I1244 = 0))</f>
        <v>-2.0299999999999998</v>
      </c>
      <c r="K1244" s="9"/>
      <c r="L1244" s="9"/>
      <c r="M1244" s="9"/>
    </row>
    <row r="1245" spans="1:13">
      <c r="A1245" s="9"/>
      <c r="B1245" s="9"/>
      <c r="C1245" s="10" t="s">
        <v>27</v>
      </c>
      <c r="D1245" s="30"/>
      <c r="E1245" s="10" t="s">
        <v>17</v>
      </c>
      <c r="F1245" s="19">
        <v>-1</v>
      </c>
      <c r="G1245" s="20">
        <v>5.99</v>
      </c>
      <c r="H1245" s="20">
        <v>0</v>
      </c>
      <c r="I1245" s="20">
        <v>0</v>
      </c>
      <c r="J1245" s="16">
        <f>OR(F1245&lt;&gt;0,G1245&lt;&gt;0,H1245&lt;&gt;0,I1245&lt;&gt;0)*(F1245 + (F1245 = 0))*(G1245 + (G1245 = 0))*(H1245 + (H1245 = 0))*(I1245 + (I1245 = 0))</f>
        <v>-5.99</v>
      </c>
      <c r="K1245" s="9"/>
      <c r="L1245" s="9"/>
      <c r="M1245" s="9"/>
    </row>
    <row r="1246" spans="1:13">
      <c r="A1246" s="9"/>
      <c r="B1246" s="9"/>
      <c r="C1246" s="10" t="s">
        <v>27</v>
      </c>
      <c r="D1246" s="30"/>
      <c r="E1246" s="10" t="s">
        <v>17</v>
      </c>
      <c r="F1246" s="19">
        <v>2</v>
      </c>
      <c r="G1246" s="20">
        <v>1.7</v>
      </c>
      <c r="H1246" s="20">
        <v>0</v>
      </c>
      <c r="I1246" s="20">
        <v>2.35</v>
      </c>
      <c r="J1246" s="16">
        <f>OR(F1246&lt;&gt;0,G1246&lt;&gt;0,H1246&lt;&gt;0,I1246&lt;&gt;0)*(F1246 + (F1246 = 0))*(G1246 + (G1246 = 0))*(H1246 + (H1246 = 0))*(I1246 + (I1246 = 0))</f>
        <v>7.99</v>
      </c>
      <c r="K1246" s="9"/>
      <c r="L1246" s="9"/>
      <c r="M1246" s="9"/>
    </row>
    <row r="1247" spans="1:13">
      <c r="A1247" s="9"/>
      <c r="B1247" s="9"/>
      <c r="C1247" s="10" t="s">
        <v>27</v>
      </c>
      <c r="D1247" s="30"/>
      <c r="E1247" s="10" t="s">
        <v>17</v>
      </c>
      <c r="F1247" s="19">
        <v>1</v>
      </c>
      <c r="G1247" s="20">
        <v>10.199999999999999</v>
      </c>
      <c r="H1247" s="20">
        <v>0</v>
      </c>
      <c r="I1247" s="20">
        <v>0</v>
      </c>
      <c r="J1247" s="16">
        <f>OR(F1247&lt;&gt;0,G1247&lt;&gt;0,H1247&lt;&gt;0,I1247&lt;&gt;0)*(F1247 + (F1247 = 0))*(G1247 + (G1247 = 0))*(H1247 + (H1247 = 0))*(I1247 + (I1247 = 0))</f>
        <v>10.199999999999999</v>
      </c>
      <c r="K1247" s="9"/>
      <c r="L1247" s="9"/>
      <c r="M1247" s="9"/>
    </row>
    <row r="1248" spans="1:13">
      <c r="A1248" s="9"/>
      <c r="B1248" s="9"/>
      <c r="C1248" s="10" t="s">
        <v>27</v>
      </c>
      <c r="D1248" s="30"/>
      <c r="E1248" s="10" t="s">
        <v>1106</v>
      </c>
      <c r="F1248" s="19">
        <v>1</v>
      </c>
      <c r="G1248" s="20">
        <v>6.97</v>
      </c>
      <c r="H1248" s="20">
        <v>0</v>
      </c>
      <c r="I1248" s="20">
        <v>0</v>
      </c>
      <c r="J1248" s="16">
        <f>OR(F1248&lt;&gt;0,G1248&lt;&gt;0,H1248&lt;&gt;0,I1248&lt;&gt;0)*(F1248 + (F1248 = 0))*(G1248 + (G1248 = 0))*(H1248 + (H1248 = 0))*(I1248 + (I1248 = 0))</f>
        <v>6.97</v>
      </c>
      <c r="K1248" s="9"/>
      <c r="L1248" s="9"/>
      <c r="M1248" s="9"/>
    </row>
    <row r="1249" spans="1:13">
      <c r="A1249" s="9"/>
      <c r="B1249" s="9"/>
      <c r="C1249" s="9"/>
      <c r="D1249" s="30"/>
      <c r="E1249" s="9"/>
      <c r="F1249" s="9"/>
      <c r="G1249" s="9"/>
      <c r="H1249" s="9"/>
      <c r="I1249" s="9"/>
      <c r="J1249" s="21" t="s">
        <v>1107</v>
      </c>
      <c r="K1249" s="22">
        <f>SUM(J1230:J1248)</f>
        <v>198.74299999999999</v>
      </c>
      <c r="L1249" s="23">
        <v>0</v>
      </c>
      <c r="M1249" s="24">
        <f>ROUND(K1249*L1249,2)</f>
        <v>0</v>
      </c>
    </row>
    <row r="1250" spans="1:13" ht="0.95" customHeight="1">
      <c r="A1250" s="25"/>
      <c r="B1250" s="25"/>
      <c r="C1250" s="25"/>
      <c r="D1250" s="31"/>
      <c r="E1250" s="25"/>
      <c r="F1250" s="25"/>
      <c r="G1250" s="25"/>
      <c r="H1250" s="25"/>
      <c r="I1250" s="25"/>
      <c r="J1250" s="25"/>
      <c r="K1250" s="25"/>
      <c r="L1250" s="25"/>
      <c r="M1250" s="25"/>
    </row>
    <row r="1251" spans="1:13" ht="33.75">
      <c r="A1251" s="15" t="s">
        <v>1108</v>
      </c>
      <c r="B1251" s="10" t="s">
        <v>23</v>
      </c>
      <c r="C1251" s="10" t="s">
        <v>94</v>
      </c>
      <c r="D1251" s="18" t="s">
        <v>1109</v>
      </c>
      <c r="E1251" s="9"/>
      <c r="F1251" s="9"/>
      <c r="G1251" s="9"/>
      <c r="H1251" s="9"/>
      <c r="I1251" s="9"/>
      <c r="J1251" s="9"/>
      <c r="K1251" s="16">
        <f>K1275</f>
        <v>32.942999999999998</v>
      </c>
      <c r="L1251" s="17">
        <f>L1275</f>
        <v>0</v>
      </c>
      <c r="M1251" s="17">
        <f>M1275</f>
        <v>0</v>
      </c>
    </row>
    <row r="1252" spans="1:13">
      <c r="A1252" s="9"/>
      <c r="B1252" s="9"/>
      <c r="C1252" s="9"/>
      <c r="D1252" s="18" t="s">
        <v>1110</v>
      </c>
      <c r="E1252" s="9"/>
      <c r="F1252" s="9"/>
      <c r="G1252" s="9"/>
      <c r="H1252" s="9"/>
      <c r="I1252" s="9"/>
      <c r="J1252" s="9"/>
      <c r="K1252" s="9"/>
      <c r="L1252" s="9"/>
      <c r="M1252" s="9"/>
    </row>
    <row r="1253" spans="1:13">
      <c r="A1253" s="9"/>
      <c r="B1253" s="9"/>
      <c r="C1253" s="10" t="s">
        <v>27</v>
      </c>
      <c r="D1253" s="30"/>
      <c r="E1253" s="10" t="s">
        <v>227</v>
      </c>
      <c r="F1253" s="19"/>
      <c r="G1253" s="20"/>
      <c r="H1253" s="20"/>
      <c r="I1253" s="20"/>
      <c r="J1253" s="16">
        <f>OR(F1253&lt;&gt;0,G1253&lt;&gt;0,H1253&lt;&gt;0,I1253&lt;&gt;0)*(F1253 + (F1253 = 0))*(G1253 + (G1253 = 0))*(H1253 + (H1253 = 0))*(I1253 + (I1253 = 0))</f>
        <v>0</v>
      </c>
      <c r="K1253" s="9"/>
      <c r="L1253" s="9"/>
      <c r="M1253" s="9"/>
    </row>
    <row r="1254" spans="1:13">
      <c r="A1254" s="9"/>
      <c r="B1254" s="9"/>
      <c r="C1254" s="10" t="s">
        <v>27</v>
      </c>
      <c r="D1254" s="30"/>
      <c r="E1254" s="10" t="s">
        <v>613</v>
      </c>
      <c r="F1254" s="19">
        <v>1</v>
      </c>
      <c r="G1254" s="20">
        <v>6.4</v>
      </c>
      <c r="H1254" s="20">
        <v>0.65</v>
      </c>
      <c r="I1254" s="20">
        <v>0</v>
      </c>
      <c r="J1254" s="16">
        <f>OR(F1254&lt;&gt;0,G1254&lt;&gt;0,H1254&lt;&gt;0,I1254&lt;&gt;0)*(F1254 + (F1254 = 0))*(G1254 + (G1254 = 0))*(H1254 + (H1254 = 0))*(I1254 + (I1254 = 0))</f>
        <v>4.16</v>
      </c>
      <c r="K1254" s="9"/>
      <c r="L1254" s="9"/>
      <c r="M1254" s="9"/>
    </row>
    <row r="1255" spans="1:13">
      <c r="A1255" s="9"/>
      <c r="B1255" s="9"/>
      <c r="C1255" s="10" t="s">
        <v>27</v>
      </c>
      <c r="D1255" s="30"/>
      <c r="E1255" s="10" t="s">
        <v>17</v>
      </c>
      <c r="F1255" s="19">
        <v>1</v>
      </c>
      <c r="G1255" s="20">
        <v>0</v>
      </c>
      <c r="H1255" s="20">
        <v>0.45</v>
      </c>
      <c r="I1255" s="20">
        <v>2.5</v>
      </c>
      <c r="J1255" s="16">
        <f>OR(F1255&lt;&gt;0,G1255&lt;&gt;0,H1255&lt;&gt;0,I1255&lt;&gt;0)*(F1255 + (F1255 = 0))*(G1255 + (G1255 = 0))*(H1255 + (H1255 = 0))*(I1255 + (I1255 = 0))</f>
        <v>1.125</v>
      </c>
      <c r="K1255" s="9"/>
      <c r="L1255" s="9"/>
      <c r="M1255" s="9"/>
    </row>
    <row r="1256" spans="1:13">
      <c r="A1256" s="9"/>
      <c r="B1256" s="9"/>
      <c r="C1256" s="10" t="s">
        <v>27</v>
      </c>
      <c r="D1256" s="30"/>
      <c r="E1256" s="10" t="s">
        <v>614</v>
      </c>
      <c r="F1256" s="19">
        <v>1</v>
      </c>
      <c r="G1256" s="20">
        <v>6.35</v>
      </c>
      <c r="H1256" s="20">
        <v>0.25</v>
      </c>
      <c r="I1256" s="20">
        <v>0</v>
      </c>
      <c r="J1256" s="16">
        <f>OR(F1256&lt;&gt;0,G1256&lt;&gt;0,H1256&lt;&gt;0,I1256&lt;&gt;0)*(F1256 + (F1256 = 0))*(G1256 + (G1256 = 0))*(H1256 + (H1256 = 0))*(I1256 + (I1256 = 0))</f>
        <v>1.5880000000000001</v>
      </c>
      <c r="K1256" s="9"/>
      <c r="L1256" s="9"/>
      <c r="M1256" s="9"/>
    </row>
    <row r="1257" spans="1:13">
      <c r="A1257" s="9"/>
      <c r="B1257" s="9"/>
      <c r="C1257" s="10" t="s">
        <v>27</v>
      </c>
      <c r="D1257" s="30"/>
      <c r="E1257" s="10" t="s">
        <v>615</v>
      </c>
      <c r="F1257" s="19">
        <v>1</v>
      </c>
      <c r="G1257" s="20">
        <v>6.6</v>
      </c>
      <c r="H1257" s="20">
        <v>0.3</v>
      </c>
      <c r="I1257" s="20">
        <v>0</v>
      </c>
      <c r="J1257" s="16">
        <f>OR(F1257&lt;&gt;0,G1257&lt;&gt;0,H1257&lt;&gt;0,I1257&lt;&gt;0)*(F1257 + (F1257 = 0))*(G1257 + (G1257 = 0))*(H1257 + (H1257 = 0))*(I1257 + (I1257 = 0))</f>
        <v>1.98</v>
      </c>
      <c r="K1257" s="9"/>
      <c r="L1257" s="9"/>
      <c r="M1257" s="9"/>
    </row>
    <row r="1258" spans="1:13">
      <c r="A1258" s="9"/>
      <c r="B1258" s="9"/>
      <c r="C1258" s="10" t="s">
        <v>27</v>
      </c>
      <c r="D1258" s="30"/>
      <c r="E1258" s="10" t="s">
        <v>616</v>
      </c>
      <c r="F1258" s="19">
        <v>1</v>
      </c>
      <c r="G1258" s="20">
        <v>4.2300000000000004</v>
      </c>
      <c r="H1258" s="20">
        <v>0.3</v>
      </c>
      <c r="I1258" s="20">
        <v>0</v>
      </c>
      <c r="J1258" s="16">
        <f>OR(F1258&lt;&gt;0,G1258&lt;&gt;0,H1258&lt;&gt;0,I1258&lt;&gt;0)*(F1258 + (F1258 = 0))*(G1258 + (G1258 = 0))*(H1258 + (H1258 = 0))*(I1258 + (I1258 = 0))</f>
        <v>1.2689999999999999</v>
      </c>
      <c r="K1258" s="9"/>
      <c r="L1258" s="9"/>
      <c r="M1258" s="9"/>
    </row>
    <row r="1259" spans="1:13">
      <c r="A1259" s="9"/>
      <c r="B1259" s="9"/>
      <c r="C1259" s="10" t="s">
        <v>27</v>
      </c>
      <c r="D1259" s="30"/>
      <c r="E1259" s="10" t="s">
        <v>17</v>
      </c>
      <c r="F1259" s="19">
        <v>1</v>
      </c>
      <c r="G1259" s="20">
        <v>9.3000000000000007</v>
      </c>
      <c r="H1259" s="20">
        <v>0.3</v>
      </c>
      <c r="I1259" s="20">
        <v>0</v>
      </c>
      <c r="J1259" s="16">
        <f>OR(F1259&lt;&gt;0,G1259&lt;&gt;0,H1259&lt;&gt;0,I1259&lt;&gt;0)*(F1259 + (F1259 = 0))*(G1259 + (G1259 = 0))*(H1259 + (H1259 = 0))*(I1259 + (I1259 = 0))</f>
        <v>2.79</v>
      </c>
      <c r="K1259" s="9"/>
      <c r="L1259" s="9"/>
      <c r="M1259" s="9"/>
    </row>
    <row r="1260" spans="1:13">
      <c r="A1260" s="9"/>
      <c r="B1260" s="9"/>
      <c r="C1260" s="10" t="s">
        <v>27</v>
      </c>
      <c r="D1260" s="30"/>
      <c r="E1260" s="10" t="s">
        <v>17</v>
      </c>
      <c r="F1260" s="19">
        <v>1</v>
      </c>
      <c r="G1260" s="20">
        <v>8</v>
      </c>
      <c r="H1260" s="20">
        <v>0.2</v>
      </c>
      <c r="I1260" s="20">
        <v>0</v>
      </c>
      <c r="J1260" s="16">
        <f>OR(F1260&lt;&gt;0,G1260&lt;&gt;0,H1260&lt;&gt;0,I1260&lt;&gt;0)*(F1260 + (F1260 = 0))*(G1260 + (G1260 = 0))*(H1260 + (H1260 = 0))*(I1260 + (I1260 = 0))</f>
        <v>1.6</v>
      </c>
      <c r="K1260" s="9"/>
      <c r="L1260" s="9"/>
      <c r="M1260" s="9"/>
    </row>
    <row r="1261" spans="1:13">
      <c r="A1261" s="9"/>
      <c r="B1261" s="9"/>
      <c r="C1261" s="10" t="s">
        <v>27</v>
      </c>
      <c r="D1261" s="30"/>
      <c r="E1261" s="10" t="s">
        <v>617</v>
      </c>
      <c r="F1261" s="19">
        <v>1</v>
      </c>
      <c r="G1261" s="20">
        <v>6.6</v>
      </c>
      <c r="H1261" s="20">
        <v>0.3</v>
      </c>
      <c r="I1261" s="20">
        <v>0</v>
      </c>
      <c r="J1261" s="16">
        <f>OR(F1261&lt;&gt;0,G1261&lt;&gt;0,H1261&lt;&gt;0,I1261&lt;&gt;0)*(F1261 + (F1261 = 0))*(G1261 + (G1261 = 0))*(H1261 + (H1261 = 0))*(I1261 + (I1261 = 0))</f>
        <v>1.98</v>
      </c>
      <c r="K1261" s="9"/>
      <c r="L1261" s="9"/>
      <c r="M1261" s="9"/>
    </row>
    <row r="1262" spans="1:13">
      <c r="A1262" s="9"/>
      <c r="B1262" s="9"/>
      <c r="C1262" s="10" t="s">
        <v>27</v>
      </c>
      <c r="D1262" s="30"/>
      <c r="E1262" s="10" t="s">
        <v>618</v>
      </c>
      <c r="F1262" s="19">
        <v>1</v>
      </c>
      <c r="G1262" s="20">
        <v>0</v>
      </c>
      <c r="H1262" s="20">
        <v>0.35</v>
      </c>
      <c r="I1262" s="20">
        <v>2.65</v>
      </c>
      <c r="J1262" s="16">
        <f>OR(F1262&lt;&gt;0,G1262&lt;&gt;0,H1262&lt;&gt;0,I1262&lt;&gt;0)*(F1262 + (F1262 = 0))*(G1262 + (G1262 = 0))*(H1262 + (H1262 = 0))*(I1262 + (I1262 = 0))</f>
        <v>0.92800000000000005</v>
      </c>
      <c r="K1262" s="9"/>
      <c r="L1262" s="9"/>
      <c r="M1262" s="9"/>
    </row>
    <row r="1263" spans="1:13">
      <c r="A1263" s="9"/>
      <c r="B1263" s="9"/>
      <c r="C1263" s="10" t="s">
        <v>27</v>
      </c>
      <c r="D1263" s="30"/>
      <c r="E1263" s="10" t="s">
        <v>228</v>
      </c>
      <c r="F1263" s="19"/>
      <c r="G1263" s="20"/>
      <c r="H1263" s="20"/>
      <c r="I1263" s="20"/>
      <c r="J1263" s="16">
        <f>OR(F1263&lt;&gt;0,G1263&lt;&gt;0,H1263&lt;&gt;0,I1263&lt;&gt;0)*(F1263 + (F1263 = 0))*(G1263 + (G1263 = 0))*(H1263 + (H1263 = 0))*(I1263 + (I1263 = 0))</f>
        <v>0</v>
      </c>
      <c r="K1263" s="9"/>
      <c r="L1263" s="9"/>
      <c r="M1263" s="9"/>
    </row>
    <row r="1264" spans="1:13">
      <c r="A1264" s="9"/>
      <c r="B1264" s="9"/>
      <c r="C1264" s="10" t="s">
        <v>27</v>
      </c>
      <c r="D1264" s="30"/>
      <c r="E1264" s="10" t="s">
        <v>617</v>
      </c>
      <c r="F1264" s="19">
        <v>1</v>
      </c>
      <c r="G1264" s="20">
        <v>8.35</v>
      </c>
      <c r="H1264" s="20">
        <v>0.15</v>
      </c>
      <c r="I1264" s="20">
        <v>0</v>
      </c>
      <c r="J1264" s="16">
        <f>OR(F1264&lt;&gt;0,G1264&lt;&gt;0,H1264&lt;&gt;0,I1264&lt;&gt;0)*(F1264 + (F1264 = 0))*(G1264 + (G1264 = 0))*(H1264 + (H1264 = 0))*(I1264 + (I1264 = 0))</f>
        <v>1.2529999999999999</v>
      </c>
      <c r="K1264" s="9"/>
      <c r="L1264" s="9"/>
      <c r="M1264" s="9"/>
    </row>
    <row r="1265" spans="1:13">
      <c r="A1265" s="9"/>
      <c r="B1265" s="9"/>
      <c r="C1265" s="10" t="s">
        <v>27</v>
      </c>
      <c r="D1265" s="30"/>
      <c r="E1265" s="10" t="s">
        <v>17</v>
      </c>
      <c r="F1265" s="19">
        <v>1</v>
      </c>
      <c r="G1265" s="20">
        <v>10</v>
      </c>
      <c r="H1265" s="20">
        <v>0.15</v>
      </c>
      <c r="I1265" s="20">
        <v>0</v>
      </c>
      <c r="J1265" s="16">
        <f>OR(F1265&lt;&gt;0,G1265&lt;&gt;0,H1265&lt;&gt;0,I1265&lt;&gt;0)*(F1265 + (F1265 = 0))*(G1265 + (G1265 = 0))*(H1265 + (H1265 = 0))*(I1265 + (I1265 = 0))</f>
        <v>1.5</v>
      </c>
      <c r="K1265" s="9"/>
      <c r="L1265" s="9"/>
      <c r="M1265" s="9"/>
    </row>
    <row r="1266" spans="1:13">
      <c r="A1266" s="9"/>
      <c r="B1266" s="9"/>
      <c r="C1266" s="10" t="s">
        <v>27</v>
      </c>
      <c r="D1266" s="30"/>
      <c r="E1266" s="10" t="s">
        <v>17</v>
      </c>
      <c r="F1266" s="19">
        <v>2</v>
      </c>
      <c r="G1266" s="20">
        <v>0</v>
      </c>
      <c r="H1266" s="20">
        <v>0.15</v>
      </c>
      <c r="I1266" s="20">
        <v>2.4500000000000002</v>
      </c>
      <c r="J1266" s="16">
        <f>OR(F1266&lt;&gt;0,G1266&lt;&gt;0,H1266&lt;&gt;0,I1266&lt;&gt;0)*(F1266 + (F1266 = 0))*(G1266 + (G1266 = 0))*(H1266 + (H1266 = 0))*(I1266 + (I1266 = 0))</f>
        <v>0.73499999999999999</v>
      </c>
      <c r="K1266" s="9"/>
      <c r="L1266" s="9"/>
      <c r="M1266" s="9"/>
    </row>
    <row r="1267" spans="1:13">
      <c r="A1267" s="9"/>
      <c r="B1267" s="9"/>
      <c r="C1267" s="10" t="s">
        <v>27</v>
      </c>
      <c r="D1267" s="30"/>
      <c r="E1267" s="10" t="s">
        <v>17</v>
      </c>
      <c r="F1267" s="19">
        <v>2</v>
      </c>
      <c r="G1267" s="20">
        <v>0</v>
      </c>
      <c r="H1267" s="20">
        <v>0.3</v>
      </c>
      <c r="I1267" s="20">
        <v>2</v>
      </c>
      <c r="J1267" s="16">
        <f>OR(F1267&lt;&gt;0,G1267&lt;&gt;0,H1267&lt;&gt;0,I1267&lt;&gt;0)*(F1267 + (F1267 = 0))*(G1267 + (G1267 = 0))*(H1267 + (H1267 = 0))*(I1267 + (I1267 = 0))</f>
        <v>1.2</v>
      </c>
      <c r="K1267" s="9"/>
      <c r="L1267" s="9"/>
      <c r="M1267" s="9"/>
    </row>
    <row r="1268" spans="1:13">
      <c r="A1268" s="9"/>
      <c r="B1268" s="9"/>
      <c r="C1268" s="10" t="s">
        <v>27</v>
      </c>
      <c r="D1268" s="30"/>
      <c r="E1268" s="10" t="s">
        <v>17</v>
      </c>
      <c r="F1268" s="19">
        <v>4</v>
      </c>
      <c r="G1268" s="20">
        <v>2.5499999999999998</v>
      </c>
      <c r="H1268" s="20">
        <v>0.25</v>
      </c>
      <c r="I1268" s="20">
        <v>0</v>
      </c>
      <c r="J1268" s="16">
        <f>OR(F1268&lt;&gt;0,G1268&lt;&gt;0,H1268&lt;&gt;0,I1268&lt;&gt;0)*(F1268 + (F1268 = 0))*(G1268 + (G1268 = 0))*(H1268 + (H1268 = 0))*(I1268 + (I1268 = 0))</f>
        <v>2.5499999999999998</v>
      </c>
      <c r="K1268" s="9"/>
      <c r="L1268" s="9"/>
      <c r="M1268" s="9"/>
    </row>
    <row r="1269" spans="1:13">
      <c r="A1269" s="9"/>
      <c r="B1269" s="9"/>
      <c r="C1269" s="10" t="s">
        <v>27</v>
      </c>
      <c r="D1269" s="30"/>
      <c r="E1269" s="10" t="s">
        <v>619</v>
      </c>
      <c r="F1269" s="19">
        <v>1</v>
      </c>
      <c r="G1269" s="20">
        <v>5.75</v>
      </c>
      <c r="H1269" s="20">
        <v>0.3</v>
      </c>
      <c r="I1269" s="20">
        <v>0</v>
      </c>
      <c r="J1269" s="16">
        <f>OR(F1269&lt;&gt;0,G1269&lt;&gt;0,H1269&lt;&gt;0,I1269&lt;&gt;0)*(F1269 + (F1269 = 0))*(G1269 + (G1269 = 0))*(H1269 + (H1269 = 0))*(I1269 + (I1269 = 0))</f>
        <v>1.7250000000000001</v>
      </c>
      <c r="K1269" s="9"/>
      <c r="L1269" s="9"/>
      <c r="M1269" s="9"/>
    </row>
    <row r="1270" spans="1:13">
      <c r="A1270" s="9"/>
      <c r="B1270" s="9"/>
      <c r="C1270" s="10" t="s">
        <v>27</v>
      </c>
      <c r="D1270" s="30"/>
      <c r="E1270" s="10" t="s">
        <v>620</v>
      </c>
      <c r="F1270" s="19">
        <v>1</v>
      </c>
      <c r="G1270" s="20">
        <v>7.27</v>
      </c>
      <c r="H1270" s="20">
        <v>0.2</v>
      </c>
      <c r="I1270" s="20">
        <v>0</v>
      </c>
      <c r="J1270" s="16">
        <f>OR(F1270&lt;&gt;0,G1270&lt;&gt;0,H1270&lt;&gt;0,I1270&lt;&gt;0)*(F1270 + (F1270 = 0))*(G1270 + (G1270 = 0))*(H1270 + (H1270 = 0))*(I1270 + (I1270 = 0))</f>
        <v>1.454</v>
      </c>
      <c r="K1270" s="9"/>
      <c r="L1270" s="9"/>
      <c r="M1270" s="9"/>
    </row>
    <row r="1271" spans="1:13">
      <c r="A1271" s="9"/>
      <c r="B1271" s="9"/>
      <c r="C1271" s="10" t="s">
        <v>27</v>
      </c>
      <c r="D1271" s="30"/>
      <c r="E1271" s="10" t="s">
        <v>621</v>
      </c>
      <c r="F1271" s="19">
        <v>1</v>
      </c>
      <c r="G1271" s="20">
        <v>4.75</v>
      </c>
      <c r="H1271" s="20">
        <v>0.25</v>
      </c>
      <c r="I1271" s="20">
        <v>0</v>
      </c>
      <c r="J1271" s="16">
        <f>OR(F1271&lt;&gt;0,G1271&lt;&gt;0,H1271&lt;&gt;0,I1271&lt;&gt;0)*(F1271 + (F1271 = 0))*(G1271 + (G1271 = 0))*(H1271 + (H1271 = 0))*(I1271 + (I1271 = 0))</f>
        <v>1.1879999999999999</v>
      </c>
      <c r="K1271" s="9"/>
      <c r="L1271" s="9"/>
      <c r="M1271" s="9"/>
    </row>
    <row r="1272" spans="1:13">
      <c r="A1272" s="9"/>
      <c r="B1272" s="9"/>
      <c r="C1272" s="10" t="s">
        <v>27</v>
      </c>
      <c r="D1272" s="30"/>
      <c r="E1272" s="10" t="s">
        <v>17</v>
      </c>
      <c r="F1272" s="19">
        <v>1</v>
      </c>
      <c r="G1272" s="20">
        <v>4.55</v>
      </c>
      <c r="H1272" s="20">
        <v>0.3</v>
      </c>
      <c r="I1272" s="20">
        <v>0</v>
      </c>
      <c r="J1272" s="16">
        <f>OR(F1272&lt;&gt;0,G1272&lt;&gt;0,H1272&lt;&gt;0,I1272&lt;&gt;0)*(F1272 + (F1272 = 0))*(G1272 + (G1272 = 0))*(H1272 + (H1272 = 0))*(I1272 + (I1272 = 0))</f>
        <v>1.365</v>
      </c>
      <c r="K1272" s="9"/>
      <c r="L1272" s="9"/>
      <c r="M1272" s="9"/>
    </row>
    <row r="1273" spans="1:13">
      <c r="A1273" s="9"/>
      <c r="B1273" s="9"/>
      <c r="C1273" s="10" t="s">
        <v>27</v>
      </c>
      <c r="D1273" s="30"/>
      <c r="E1273" s="10" t="s">
        <v>622</v>
      </c>
      <c r="F1273" s="19">
        <v>1</v>
      </c>
      <c r="G1273" s="20">
        <v>4.75</v>
      </c>
      <c r="H1273" s="20">
        <v>0.25</v>
      </c>
      <c r="I1273" s="20">
        <v>0</v>
      </c>
      <c r="J1273" s="16">
        <f>OR(F1273&lt;&gt;0,G1273&lt;&gt;0,H1273&lt;&gt;0,I1273&lt;&gt;0)*(F1273 + (F1273 = 0))*(G1273 + (G1273 = 0))*(H1273 + (H1273 = 0))*(I1273 + (I1273 = 0))</f>
        <v>1.1879999999999999</v>
      </c>
      <c r="K1273" s="9"/>
      <c r="L1273" s="9"/>
      <c r="M1273" s="9"/>
    </row>
    <row r="1274" spans="1:13">
      <c r="A1274" s="9"/>
      <c r="B1274" s="9"/>
      <c r="C1274" s="10" t="s">
        <v>27</v>
      </c>
      <c r="D1274" s="30"/>
      <c r="E1274" s="10" t="s">
        <v>17</v>
      </c>
      <c r="F1274" s="19">
        <v>1</v>
      </c>
      <c r="G1274" s="20">
        <v>4.55</v>
      </c>
      <c r="H1274" s="20">
        <v>0.3</v>
      </c>
      <c r="I1274" s="20">
        <v>0</v>
      </c>
      <c r="J1274" s="16">
        <f>OR(F1274&lt;&gt;0,G1274&lt;&gt;0,H1274&lt;&gt;0,I1274&lt;&gt;0)*(F1274 + (F1274 = 0))*(G1274 + (G1274 = 0))*(H1274 + (H1274 = 0))*(I1274 + (I1274 = 0))</f>
        <v>1.365</v>
      </c>
      <c r="K1274" s="9"/>
      <c r="L1274" s="9"/>
      <c r="M1274" s="9"/>
    </row>
    <row r="1275" spans="1:13">
      <c r="A1275" s="9"/>
      <c r="B1275" s="9"/>
      <c r="C1275" s="9"/>
      <c r="D1275" s="30"/>
      <c r="E1275" s="9"/>
      <c r="F1275" s="9"/>
      <c r="G1275" s="9"/>
      <c r="H1275" s="9"/>
      <c r="I1275" s="9"/>
      <c r="J1275" s="21" t="s">
        <v>1111</v>
      </c>
      <c r="K1275" s="22">
        <f>SUM(J1253:J1274)</f>
        <v>32.942999999999998</v>
      </c>
      <c r="L1275" s="23">
        <v>0</v>
      </c>
      <c r="M1275" s="24">
        <f>ROUND(K1275*L1275,2)</f>
        <v>0</v>
      </c>
    </row>
    <row r="1276" spans="1:13" ht="0.95" customHeight="1">
      <c r="A1276" s="25"/>
      <c r="B1276" s="25"/>
      <c r="C1276" s="25"/>
      <c r="D1276" s="31"/>
      <c r="E1276" s="25"/>
      <c r="F1276" s="25"/>
      <c r="G1276" s="25"/>
      <c r="H1276" s="25"/>
      <c r="I1276" s="25"/>
      <c r="J1276" s="25"/>
      <c r="K1276" s="25"/>
      <c r="L1276" s="25"/>
      <c r="M1276" s="25"/>
    </row>
    <row r="1277" spans="1:13" ht="33.75">
      <c r="A1277" s="15" t="s">
        <v>1112</v>
      </c>
      <c r="B1277" s="10" t="s">
        <v>23</v>
      </c>
      <c r="C1277" s="10" t="s">
        <v>66</v>
      </c>
      <c r="D1277" s="18" t="s">
        <v>1113</v>
      </c>
      <c r="E1277" s="9"/>
      <c r="F1277" s="9"/>
      <c r="G1277" s="9"/>
      <c r="H1277" s="9"/>
      <c r="I1277" s="9"/>
      <c r="J1277" s="9"/>
      <c r="K1277" s="16">
        <f>K1280</f>
        <v>17.920000000000002</v>
      </c>
      <c r="L1277" s="17">
        <f>L1280</f>
        <v>0</v>
      </c>
      <c r="M1277" s="17">
        <f>M1280</f>
        <v>0</v>
      </c>
    </row>
    <row r="1278" spans="1:13">
      <c r="A1278" s="9"/>
      <c r="B1278" s="9"/>
      <c r="C1278" s="9"/>
      <c r="D1278" s="18" t="s">
        <v>1114</v>
      </c>
      <c r="E1278" s="9"/>
      <c r="F1278" s="9"/>
      <c r="G1278" s="9"/>
      <c r="H1278" s="9"/>
      <c r="I1278" s="9"/>
      <c r="J1278" s="9"/>
      <c r="K1278" s="9"/>
      <c r="L1278" s="9"/>
      <c r="M1278" s="9"/>
    </row>
    <row r="1279" spans="1:13">
      <c r="A1279" s="9"/>
      <c r="B1279" s="9"/>
      <c r="C1279" s="10" t="s">
        <v>27</v>
      </c>
      <c r="D1279" s="30"/>
      <c r="E1279" s="10" t="s">
        <v>933</v>
      </c>
      <c r="F1279" s="19">
        <v>1</v>
      </c>
      <c r="G1279" s="20">
        <v>17.920000000000002</v>
      </c>
      <c r="H1279" s="20">
        <v>0</v>
      </c>
      <c r="I1279" s="20">
        <v>0</v>
      </c>
      <c r="J1279" s="16">
        <f>OR(F1279&lt;&gt;0,G1279&lt;&gt;0,H1279&lt;&gt;0,I1279&lt;&gt;0)*(F1279 + (F1279 = 0))*(G1279 + (G1279 = 0))*(H1279 + (H1279 = 0))*(I1279 + (I1279 = 0))</f>
        <v>17.920000000000002</v>
      </c>
      <c r="K1279" s="9"/>
      <c r="L1279" s="9"/>
      <c r="M1279" s="9"/>
    </row>
    <row r="1280" spans="1:13">
      <c r="A1280" s="9"/>
      <c r="B1280" s="9"/>
      <c r="C1280" s="9"/>
      <c r="D1280" s="30"/>
      <c r="E1280" s="9"/>
      <c r="F1280" s="9"/>
      <c r="G1280" s="9"/>
      <c r="H1280" s="9"/>
      <c r="I1280" s="9"/>
      <c r="J1280" s="21" t="s">
        <v>1115</v>
      </c>
      <c r="K1280" s="22">
        <f>J1279</f>
        <v>17.920000000000002</v>
      </c>
      <c r="L1280" s="23">
        <v>0</v>
      </c>
      <c r="M1280" s="24">
        <f>ROUND(K1280*L1280,2)</f>
        <v>0</v>
      </c>
    </row>
    <row r="1281" spans="1:13" ht="0.95" customHeight="1">
      <c r="A1281" s="25"/>
      <c r="B1281" s="25"/>
      <c r="C1281" s="25"/>
      <c r="D1281" s="31"/>
      <c r="E1281" s="25"/>
      <c r="F1281" s="25"/>
      <c r="G1281" s="25"/>
      <c r="H1281" s="25"/>
      <c r="I1281" s="25"/>
      <c r="J1281" s="25"/>
      <c r="K1281" s="25"/>
      <c r="L1281" s="25"/>
      <c r="M1281" s="25"/>
    </row>
    <row r="1282" spans="1:13" ht="33.75">
      <c r="A1282" s="15" t="s">
        <v>1116</v>
      </c>
      <c r="B1282" s="10" t="s">
        <v>23</v>
      </c>
      <c r="C1282" s="10" t="s">
        <v>66</v>
      </c>
      <c r="D1282" s="18" t="s">
        <v>1113</v>
      </c>
      <c r="E1282" s="9"/>
      <c r="F1282" s="9"/>
      <c r="G1282" s="9"/>
      <c r="H1282" s="9"/>
      <c r="I1282" s="9"/>
      <c r="J1282" s="9"/>
      <c r="K1282" s="16">
        <f>K1285</f>
        <v>1.32</v>
      </c>
      <c r="L1282" s="17">
        <f>L1285</f>
        <v>0</v>
      </c>
      <c r="M1282" s="17">
        <f>M1285</f>
        <v>0</v>
      </c>
    </row>
    <row r="1283" spans="1:13">
      <c r="A1283" s="9"/>
      <c r="B1283" s="9"/>
      <c r="C1283" s="9"/>
      <c r="D1283" s="18" t="s">
        <v>1117</v>
      </c>
      <c r="E1283" s="9"/>
      <c r="F1283" s="9"/>
      <c r="G1283" s="9"/>
      <c r="H1283" s="9"/>
      <c r="I1283" s="9"/>
      <c r="J1283" s="9"/>
      <c r="K1283" s="9"/>
      <c r="L1283" s="9"/>
      <c r="M1283" s="9"/>
    </row>
    <row r="1284" spans="1:13">
      <c r="A1284" s="9"/>
      <c r="B1284" s="9"/>
      <c r="C1284" s="10" t="s">
        <v>27</v>
      </c>
      <c r="D1284" s="30"/>
      <c r="E1284" s="10" t="s">
        <v>933</v>
      </c>
      <c r="F1284" s="19">
        <v>1</v>
      </c>
      <c r="G1284" s="20">
        <v>1.32</v>
      </c>
      <c r="H1284" s="20">
        <v>0</v>
      </c>
      <c r="I1284" s="20">
        <v>0</v>
      </c>
      <c r="J1284" s="16">
        <f>OR(F1284&lt;&gt;0,G1284&lt;&gt;0,H1284&lt;&gt;0,I1284&lt;&gt;0)*(F1284 + (F1284 = 0))*(G1284 + (G1284 = 0))*(H1284 + (H1284 = 0))*(I1284 + (I1284 = 0))</f>
        <v>1.32</v>
      </c>
      <c r="K1284" s="9"/>
      <c r="L1284" s="9"/>
      <c r="M1284" s="9"/>
    </row>
    <row r="1285" spans="1:13">
      <c r="A1285" s="9"/>
      <c r="B1285" s="9"/>
      <c r="C1285" s="9"/>
      <c r="D1285" s="30"/>
      <c r="E1285" s="9"/>
      <c r="F1285" s="9"/>
      <c r="G1285" s="9"/>
      <c r="H1285" s="9"/>
      <c r="I1285" s="9"/>
      <c r="J1285" s="21" t="s">
        <v>1118</v>
      </c>
      <c r="K1285" s="22">
        <f>J1284</f>
        <v>1.32</v>
      </c>
      <c r="L1285" s="23">
        <v>0</v>
      </c>
      <c r="M1285" s="24">
        <f>ROUND(K1285*L1285,2)</f>
        <v>0</v>
      </c>
    </row>
    <row r="1286" spans="1:13" ht="0.95" customHeight="1">
      <c r="A1286" s="25"/>
      <c r="B1286" s="25"/>
      <c r="C1286" s="25"/>
      <c r="D1286" s="31"/>
      <c r="E1286" s="25"/>
      <c r="F1286" s="25"/>
      <c r="G1286" s="25"/>
      <c r="H1286" s="25"/>
      <c r="I1286" s="25"/>
      <c r="J1286" s="25"/>
      <c r="K1286" s="25"/>
      <c r="L1286" s="25"/>
      <c r="M1286" s="25"/>
    </row>
    <row r="1287" spans="1:13" ht="33.75">
      <c r="A1287" s="15" t="s">
        <v>1119</v>
      </c>
      <c r="B1287" s="10" t="s">
        <v>23</v>
      </c>
      <c r="C1287" s="10" t="s">
        <v>66</v>
      </c>
      <c r="D1287" s="18" t="s">
        <v>1120</v>
      </c>
      <c r="E1287" s="9"/>
      <c r="F1287" s="9"/>
      <c r="G1287" s="9"/>
      <c r="H1287" s="9"/>
      <c r="I1287" s="9"/>
      <c r="J1287" s="9"/>
      <c r="K1287" s="16">
        <f>K1290</f>
        <v>9.7899999999999991</v>
      </c>
      <c r="L1287" s="17">
        <f>L1290</f>
        <v>0</v>
      </c>
      <c r="M1287" s="17">
        <f>M1290</f>
        <v>0</v>
      </c>
    </row>
    <row r="1288" spans="1:13">
      <c r="A1288" s="9"/>
      <c r="B1288" s="9"/>
      <c r="C1288" s="9"/>
      <c r="D1288" s="18" t="s">
        <v>1121</v>
      </c>
      <c r="E1288" s="9"/>
      <c r="F1288" s="9"/>
      <c r="G1288" s="9"/>
      <c r="H1288" s="9"/>
      <c r="I1288" s="9"/>
      <c r="J1288" s="9"/>
      <c r="K1288" s="9"/>
      <c r="L1288" s="9"/>
      <c r="M1288" s="9"/>
    </row>
    <row r="1289" spans="1:13">
      <c r="A1289" s="9"/>
      <c r="B1289" s="9"/>
      <c r="C1289" s="10" t="s">
        <v>27</v>
      </c>
      <c r="D1289" s="30"/>
      <c r="E1289" s="10" t="s">
        <v>933</v>
      </c>
      <c r="F1289" s="19">
        <v>1</v>
      </c>
      <c r="G1289" s="20">
        <v>9.7899999999999991</v>
      </c>
      <c r="H1289" s="20">
        <v>0</v>
      </c>
      <c r="I1289" s="20">
        <v>0</v>
      </c>
      <c r="J1289" s="16">
        <f>OR(F1289&lt;&gt;0,G1289&lt;&gt;0,H1289&lt;&gt;0,I1289&lt;&gt;0)*(F1289 + (F1289 = 0))*(G1289 + (G1289 = 0))*(H1289 + (H1289 = 0))*(I1289 + (I1289 = 0))</f>
        <v>9.7899999999999991</v>
      </c>
      <c r="K1289" s="9"/>
      <c r="L1289" s="9"/>
      <c r="M1289" s="9"/>
    </row>
    <row r="1290" spans="1:13">
      <c r="A1290" s="9"/>
      <c r="B1290" s="9"/>
      <c r="C1290" s="9"/>
      <c r="D1290" s="30"/>
      <c r="E1290" s="9"/>
      <c r="F1290" s="9"/>
      <c r="G1290" s="9"/>
      <c r="H1290" s="9"/>
      <c r="I1290" s="9"/>
      <c r="J1290" s="21" t="s">
        <v>1122</v>
      </c>
      <c r="K1290" s="22">
        <f>J1289</f>
        <v>9.7899999999999991</v>
      </c>
      <c r="L1290" s="23">
        <v>0</v>
      </c>
      <c r="M1290" s="24">
        <f>ROUND(K1290*L1290,2)</f>
        <v>0</v>
      </c>
    </row>
    <row r="1291" spans="1:13" ht="0.95" customHeight="1">
      <c r="A1291" s="25"/>
      <c r="B1291" s="25"/>
      <c r="C1291" s="25"/>
      <c r="D1291" s="31"/>
      <c r="E1291" s="25"/>
      <c r="F1291" s="25"/>
      <c r="G1291" s="25"/>
      <c r="H1291" s="25"/>
      <c r="I1291" s="25"/>
      <c r="J1291" s="25"/>
      <c r="K1291" s="25"/>
      <c r="L1291" s="25"/>
      <c r="M1291" s="25"/>
    </row>
    <row r="1292" spans="1:13" ht="33.75">
      <c r="A1292" s="15" t="s">
        <v>1123</v>
      </c>
      <c r="B1292" s="10" t="s">
        <v>23</v>
      </c>
      <c r="C1292" s="10" t="s">
        <v>66</v>
      </c>
      <c r="D1292" s="18" t="s">
        <v>1120</v>
      </c>
      <c r="E1292" s="9"/>
      <c r="F1292" s="9"/>
      <c r="G1292" s="9"/>
      <c r="H1292" s="9"/>
      <c r="I1292" s="9"/>
      <c r="J1292" s="9"/>
      <c r="K1292" s="16">
        <f>K1296</f>
        <v>38.94</v>
      </c>
      <c r="L1292" s="17">
        <f>L1296</f>
        <v>0</v>
      </c>
      <c r="M1292" s="17">
        <f>M1296</f>
        <v>0</v>
      </c>
    </row>
    <row r="1293" spans="1:13">
      <c r="A1293" s="9"/>
      <c r="B1293" s="9"/>
      <c r="C1293" s="9"/>
      <c r="D1293" s="18" t="s">
        <v>1124</v>
      </c>
      <c r="E1293" s="9"/>
      <c r="F1293" s="9"/>
      <c r="G1293" s="9"/>
      <c r="H1293" s="9"/>
      <c r="I1293" s="9"/>
      <c r="J1293" s="9"/>
      <c r="K1293" s="9"/>
      <c r="L1293" s="9"/>
      <c r="M1293" s="9"/>
    </row>
    <row r="1294" spans="1:13">
      <c r="A1294" s="9"/>
      <c r="B1294" s="9"/>
      <c r="C1294" s="10" t="s">
        <v>27</v>
      </c>
      <c r="D1294" s="30"/>
      <c r="E1294" s="10" t="s">
        <v>933</v>
      </c>
      <c r="F1294" s="19">
        <v>1</v>
      </c>
      <c r="G1294" s="20">
        <v>21.67</v>
      </c>
      <c r="H1294" s="20">
        <v>0</v>
      </c>
      <c r="I1294" s="20">
        <v>0</v>
      </c>
      <c r="J1294" s="16">
        <f>OR(F1294&lt;&gt;0,G1294&lt;&gt;0,H1294&lt;&gt;0,I1294&lt;&gt;0)*(F1294 + (F1294 = 0))*(G1294 + (G1294 = 0))*(H1294 + (H1294 = 0))*(I1294 + (I1294 = 0))</f>
        <v>21.67</v>
      </c>
      <c r="K1294" s="9"/>
      <c r="L1294" s="9"/>
      <c r="M1294" s="9"/>
    </row>
    <row r="1295" spans="1:13">
      <c r="A1295" s="9"/>
      <c r="B1295" s="9"/>
      <c r="C1295" s="10" t="s">
        <v>27</v>
      </c>
      <c r="D1295" s="30"/>
      <c r="E1295" s="10" t="s">
        <v>937</v>
      </c>
      <c r="F1295" s="19">
        <v>1</v>
      </c>
      <c r="G1295" s="20">
        <v>17.27</v>
      </c>
      <c r="H1295" s="20">
        <v>0</v>
      </c>
      <c r="I1295" s="20">
        <v>0</v>
      </c>
      <c r="J1295" s="16">
        <f>OR(F1295&lt;&gt;0,G1295&lt;&gt;0,H1295&lt;&gt;0,I1295&lt;&gt;0)*(F1295 + (F1295 = 0))*(G1295 + (G1295 = 0))*(H1295 + (H1295 = 0))*(I1295 + (I1295 = 0))</f>
        <v>17.27</v>
      </c>
      <c r="K1295" s="9"/>
      <c r="L1295" s="9"/>
      <c r="M1295" s="9"/>
    </row>
    <row r="1296" spans="1:13">
      <c r="A1296" s="9"/>
      <c r="B1296" s="9"/>
      <c r="C1296" s="9"/>
      <c r="D1296" s="30"/>
      <c r="E1296" s="9"/>
      <c r="F1296" s="9"/>
      <c r="G1296" s="9"/>
      <c r="H1296" s="9"/>
      <c r="I1296" s="9"/>
      <c r="J1296" s="21" t="s">
        <v>1125</v>
      </c>
      <c r="K1296" s="22">
        <f>SUM(J1294:J1295)</f>
        <v>38.94</v>
      </c>
      <c r="L1296" s="23">
        <v>0</v>
      </c>
      <c r="M1296" s="24">
        <f>ROUND(K1296*L1296,2)</f>
        <v>0</v>
      </c>
    </row>
    <row r="1297" spans="1:13" ht="0.95" customHeight="1">
      <c r="A1297" s="25"/>
      <c r="B1297" s="25"/>
      <c r="C1297" s="25"/>
      <c r="D1297" s="31"/>
      <c r="E1297" s="25"/>
      <c r="F1297" s="25"/>
      <c r="G1297" s="25"/>
      <c r="H1297" s="25"/>
      <c r="I1297" s="25"/>
      <c r="J1297" s="25"/>
      <c r="K1297" s="25"/>
      <c r="L1297" s="25"/>
      <c r="M1297" s="25"/>
    </row>
    <row r="1298" spans="1:13" ht="33.75">
      <c r="A1298" s="15" t="s">
        <v>1126</v>
      </c>
      <c r="B1298" s="10" t="s">
        <v>23</v>
      </c>
      <c r="C1298" s="10" t="s">
        <v>66</v>
      </c>
      <c r="D1298" s="18" t="s">
        <v>1120</v>
      </c>
      <c r="E1298" s="9"/>
      <c r="F1298" s="9"/>
      <c r="G1298" s="9"/>
      <c r="H1298" s="9"/>
      <c r="I1298" s="9"/>
      <c r="J1298" s="9"/>
      <c r="K1298" s="16">
        <f>K1301</f>
        <v>0.38</v>
      </c>
      <c r="L1298" s="17">
        <f>L1301</f>
        <v>0</v>
      </c>
      <c r="M1298" s="17">
        <f>M1301</f>
        <v>0</v>
      </c>
    </row>
    <row r="1299" spans="1:13">
      <c r="A1299" s="9"/>
      <c r="B1299" s="9"/>
      <c r="C1299" s="9"/>
      <c r="D1299" s="18" t="s">
        <v>1127</v>
      </c>
      <c r="E1299" s="9"/>
      <c r="F1299" s="9"/>
      <c r="G1299" s="9"/>
      <c r="H1299" s="9"/>
      <c r="I1299" s="9"/>
      <c r="J1299" s="9"/>
      <c r="K1299" s="9"/>
      <c r="L1299" s="9"/>
      <c r="M1299" s="9"/>
    </row>
    <row r="1300" spans="1:13">
      <c r="A1300" s="9"/>
      <c r="B1300" s="9"/>
      <c r="C1300" s="10" t="s">
        <v>27</v>
      </c>
      <c r="D1300" s="30"/>
      <c r="E1300" s="10" t="s">
        <v>937</v>
      </c>
      <c r="F1300" s="19">
        <v>1</v>
      </c>
      <c r="G1300" s="20">
        <v>0.38</v>
      </c>
      <c r="H1300" s="20">
        <v>0</v>
      </c>
      <c r="I1300" s="20">
        <v>0</v>
      </c>
      <c r="J1300" s="16">
        <f>OR(F1300&lt;&gt;0,G1300&lt;&gt;0,H1300&lt;&gt;0,I1300&lt;&gt;0)*(F1300 + (F1300 = 0))*(G1300 + (G1300 = 0))*(H1300 + (H1300 = 0))*(I1300 + (I1300 = 0))</f>
        <v>0.38</v>
      </c>
      <c r="K1300" s="9"/>
      <c r="L1300" s="9"/>
      <c r="M1300" s="9"/>
    </row>
    <row r="1301" spans="1:13">
      <c r="A1301" s="9"/>
      <c r="B1301" s="9"/>
      <c r="C1301" s="9"/>
      <c r="D1301" s="30"/>
      <c r="E1301" s="9"/>
      <c r="F1301" s="9"/>
      <c r="G1301" s="9"/>
      <c r="H1301" s="9"/>
      <c r="I1301" s="9"/>
      <c r="J1301" s="21" t="s">
        <v>1128</v>
      </c>
      <c r="K1301" s="22">
        <f>J1300</f>
        <v>0.38</v>
      </c>
      <c r="L1301" s="23">
        <v>0</v>
      </c>
      <c r="M1301" s="24">
        <f>ROUND(K1301*L1301,2)</f>
        <v>0</v>
      </c>
    </row>
    <row r="1302" spans="1:13" ht="0.95" customHeight="1">
      <c r="A1302" s="25"/>
      <c r="B1302" s="25"/>
      <c r="C1302" s="25"/>
      <c r="D1302" s="31"/>
      <c r="E1302" s="25"/>
      <c r="F1302" s="25"/>
      <c r="G1302" s="25"/>
      <c r="H1302" s="25"/>
      <c r="I1302" s="25"/>
      <c r="J1302" s="25"/>
      <c r="K1302" s="25"/>
      <c r="L1302" s="25"/>
      <c r="M1302" s="25"/>
    </row>
    <row r="1303" spans="1:13" ht="33.75">
      <c r="A1303" s="15" t="s">
        <v>1129</v>
      </c>
      <c r="B1303" s="10" t="s">
        <v>23</v>
      </c>
      <c r="C1303" s="10" t="s">
        <v>66</v>
      </c>
      <c r="D1303" s="18" t="s">
        <v>1120</v>
      </c>
      <c r="E1303" s="9"/>
      <c r="F1303" s="9"/>
      <c r="G1303" s="9"/>
      <c r="H1303" s="9"/>
      <c r="I1303" s="9"/>
      <c r="J1303" s="9"/>
      <c r="K1303" s="16">
        <f>K1306</f>
        <v>7.82</v>
      </c>
      <c r="L1303" s="17">
        <f>L1306</f>
        <v>0</v>
      </c>
      <c r="M1303" s="17">
        <f>M1306</f>
        <v>0</v>
      </c>
    </row>
    <row r="1304" spans="1:13">
      <c r="A1304" s="9"/>
      <c r="B1304" s="9"/>
      <c r="C1304" s="9"/>
      <c r="D1304" s="18" t="s">
        <v>1130</v>
      </c>
      <c r="E1304" s="9"/>
      <c r="F1304" s="9"/>
      <c r="G1304" s="9"/>
      <c r="H1304" s="9"/>
      <c r="I1304" s="9"/>
      <c r="J1304" s="9"/>
      <c r="K1304" s="9"/>
      <c r="L1304" s="9"/>
      <c r="M1304" s="9"/>
    </row>
    <row r="1305" spans="1:13">
      <c r="A1305" s="9"/>
      <c r="B1305" s="9"/>
      <c r="C1305" s="10" t="s">
        <v>27</v>
      </c>
      <c r="D1305" s="30"/>
      <c r="E1305" s="10" t="s">
        <v>937</v>
      </c>
      <c r="F1305" s="19">
        <v>1</v>
      </c>
      <c r="G1305" s="20">
        <v>7.82</v>
      </c>
      <c r="H1305" s="20">
        <v>0</v>
      </c>
      <c r="I1305" s="20">
        <v>0</v>
      </c>
      <c r="J1305" s="16">
        <f>OR(F1305&lt;&gt;0,G1305&lt;&gt;0,H1305&lt;&gt;0,I1305&lt;&gt;0)*(F1305 + (F1305 = 0))*(G1305 + (G1305 = 0))*(H1305 + (H1305 = 0))*(I1305 + (I1305 = 0))</f>
        <v>7.82</v>
      </c>
      <c r="K1305" s="9"/>
      <c r="L1305" s="9"/>
      <c r="M1305" s="9"/>
    </row>
    <row r="1306" spans="1:13">
      <c r="A1306" s="9"/>
      <c r="B1306" s="9"/>
      <c r="C1306" s="9"/>
      <c r="D1306" s="30"/>
      <c r="E1306" s="9"/>
      <c r="F1306" s="9"/>
      <c r="G1306" s="9"/>
      <c r="H1306" s="9"/>
      <c r="I1306" s="9"/>
      <c r="J1306" s="21" t="s">
        <v>1131</v>
      </c>
      <c r="K1306" s="22">
        <f>J1305</f>
        <v>7.82</v>
      </c>
      <c r="L1306" s="23">
        <v>0</v>
      </c>
      <c r="M1306" s="24">
        <f>ROUND(K1306*L1306,2)</f>
        <v>0</v>
      </c>
    </row>
    <row r="1307" spans="1:13" ht="0.95" customHeight="1">
      <c r="A1307" s="25"/>
      <c r="B1307" s="25"/>
      <c r="C1307" s="25"/>
      <c r="D1307" s="31"/>
      <c r="E1307" s="25"/>
      <c r="F1307" s="25"/>
      <c r="G1307" s="25"/>
      <c r="H1307" s="25"/>
      <c r="I1307" s="25"/>
      <c r="J1307" s="25"/>
      <c r="K1307" s="25"/>
      <c r="L1307" s="25"/>
      <c r="M1307" s="25"/>
    </row>
    <row r="1308" spans="1:13">
      <c r="A1308" s="9"/>
      <c r="B1308" s="9"/>
      <c r="C1308" s="9"/>
      <c r="D1308" s="30"/>
      <c r="E1308" s="9"/>
      <c r="F1308" s="9"/>
      <c r="G1308" s="9"/>
      <c r="H1308" s="9"/>
      <c r="I1308" s="9"/>
      <c r="J1308" s="21" t="s">
        <v>1132</v>
      </c>
      <c r="K1308" s="20">
        <v>1</v>
      </c>
      <c r="L1308" s="24">
        <f>M1201+M1218+M1228+M1251+M1277+M1282+M1287+M1292+M1298+M1303</f>
        <v>0</v>
      </c>
      <c r="M1308" s="24">
        <f>ROUND(K1308*L1308,2)</f>
        <v>0</v>
      </c>
    </row>
    <row r="1309" spans="1:13" ht="0.95" customHeight="1">
      <c r="A1309" s="25"/>
      <c r="B1309" s="25"/>
      <c r="C1309" s="25"/>
      <c r="D1309" s="31"/>
      <c r="E1309" s="25"/>
      <c r="F1309" s="25"/>
      <c r="G1309" s="25"/>
      <c r="H1309" s="25"/>
      <c r="I1309" s="25"/>
      <c r="J1309" s="25"/>
      <c r="K1309" s="25"/>
      <c r="L1309" s="25"/>
      <c r="M1309" s="25"/>
    </row>
    <row r="1310" spans="1:13">
      <c r="A1310" s="11" t="s">
        <v>1133</v>
      </c>
      <c r="B1310" s="11" t="s">
        <v>16</v>
      </c>
      <c r="C1310" s="11" t="s">
        <v>17</v>
      </c>
      <c r="D1310" s="29" t="s">
        <v>1134</v>
      </c>
      <c r="E1310" s="12"/>
      <c r="F1310" s="12"/>
      <c r="G1310" s="12"/>
      <c r="H1310" s="12"/>
      <c r="I1310" s="12"/>
      <c r="J1310" s="12"/>
      <c r="K1310" s="13">
        <f>K1348</f>
        <v>1</v>
      </c>
      <c r="L1310" s="14">
        <f>L1348</f>
        <v>0</v>
      </c>
      <c r="M1310" s="14">
        <f>M1348</f>
        <v>0</v>
      </c>
    </row>
    <row r="1311" spans="1:13" ht="33.75">
      <c r="A1311" s="15" t="s">
        <v>1135</v>
      </c>
      <c r="B1311" s="10" t="s">
        <v>23</v>
      </c>
      <c r="C1311" s="10" t="s">
        <v>94</v>
      </c>
      <c r="D1311" s="18" t="s">
        <v>1136</v>
      </c>
      <c r="E1311" s="9"/>
      <c r="F1311" s="9"/>
      <c r="G1311" s="9"/>
      <c r="H1311" s="9"/>
      <c r="I1311" s="9"/>
      <c r="J1311" s="9"/>
      <c r="K1311" s="16">
        <f>K1316</f>
        <v>23.5</v>
      </c>
      <c r="L1311" s="17">
        <f>L1316</f>
        <v>0</v>
      </c>
      <c r="M1311" s="17">
        <f>M1316</f>
        <v>0</v>
      </c>
    </row>
    <row r="1312" spans="1:13">
      <c r="A1312" s="9"/>
      <c r="B1312" s="9"/>
      <c r="C1312" s="9"/>
      <c r="D1312" s="18" t="s">
        <v>1137</v>
      </c>
      <c r="E1312" s="9"/>
      <c r="F1312" s="9"/>
      <c r="G1312" s="9"/>
      <c r="H1312" s="9"/>
      <c r="I1312" s="9"/>
      <c r="J1312" s="9"/>
      <c r="K1312" s="9"/>
      <c r="L1312" s="9"/>
      <c r="M1312" s="9"/>
    </row>
    <row r="1313" spans="1:13">
      <c r="A1313" s="9"/>
      <c r="B1313" s="9"/>
      <c r="C1313" s="10" t="s">
        <v>27</v>
      </c>
      <c r="D1313" s="30"/>
      <c r="E1313" s="10" t="s">
        <v>1138</v>
      </c>
      <c r="F1313" s="19">
        <v>1</v>
      </c>
      <c r="G1313" s="20">
        <v>5.85</v>
      </c>
      <c r="H1313" s="20">
        <v>0</v>
      </c>
      <c r="I1313" s="20">
        <v>0</v>
      </c>
      <c r="J1313" s="16">
        <f>OR(F1313&lt;&gt;0,G1313&lt;&gt;0,H1313&lt;&gt;0,I1313&lt;&gt;0)*(F1313 + (F1313 = 0))*(G1313 + (G1313 = 0))*(H1313 + (H1313 = 0))*(I1313 + (I1313 = 0))</f>
        <v>5.85</v>
      </c>
      <c r="K1313" s="9"/>
      <c r="L1313" s="9"/>
      <c r="M1313" s="9"/>
    </row>
    <row r="1314" spans="1:13">
      <c r="A1314" s="9"/>
      <c r="B1314" s="9"/>
      <c r="C1314" s="10" t="s">
        <v>27</v>
      </c>
      <c r="D1314" s="30"/>
      <c r="E1314" s="10" t="s">
        <v>1139</v>
      </c>
      <c r="F1314" s="19">
        <v>1</v>
      </c>
      <c r="G1314" s="20">
        <v>5.35</v>
      </c>
      <c r="H1314" s="20">
        <v>0</v>
      </c>
      <c r="I1314" s="20">
        <v>0</v>
      </c>
      <c r="J1314" s="16">
        <f>OR(F1314&lt;&gt;0,G1314&lt;&gt;0,H1314&lt;&gt;0,I1314&lt;&gt;0)*(F1314 + (F1314 = 0))*(G1314 + (G1314 = 0))*(H1314 + (H1314 = 0))*(I1314 + (I1314 = 0))</f>
        <v>5.35</v>
      </c>
      <c r="K1314" s="9"/>
      <c r="L1314" s="9"/>
      <c r="M1314" s="9"/>
    </row>
    <row r="1315" spans="1:13">
      <c r="A1315" s="9"/>
      <c r="B1315" s="9"/>
      <c r="C1315" s="10" t="s">
        <v>27</v>
      </c>
      <c r="D1315" s="30"/>
      <c r="E1315" s="10" t="s">
        <v>1140</v>
      </c>
      <c r="F1315" s="19">
        <v>1</v>
      </c>
      <c r="G1315" s="20">
        <v>12.3</v>
      </c>
      <c r="H1315" s="20">
        <v>0</v>
      </c>
      <c r="I1315" s="20">
        <v>0</v>
      </c>
      <c r="J1315" s="16">
        <f>OR(F1315&lt;&gt;0,G1315&lt;&gt;0,H1315&lt;&gt;0,I1315&lt;&gt;0)*(F1315 + (F1315 = 0))*(G1315 + (G1315 = 0))*(H1315 + (H1315 = 0))*(I1315 + (I1315 = 0))</f>
        <v>12.3</v>
      </c>
      <c r="K1315" s="9"/>
      <c r="L1315" s="9"/>
      <c r="M1315" s="9"/>
    </row>
    <row r="1316" spans="1:13">
      <c r="A1316" s="9"/>
      <c r="B1316" s="9"/>
      <c r="C1316" s="9"/>
      <c r="D1316" s="30"/>
      <c r="E1316" s="9"/>
      <c r="F1316" s="9"/>
      <c r="G1316" s="9"/>
      <c r="H1316" s="9"/>
      <c r="I1316" s="9"/>
      <c r="J1316" s="21" t="s">
        <v>1141</v>
      </c>
      <c r="K1316" s="22">
        <f>SUM(J1313:J1315)</f>
        <v>23.5</v>
      </c>
      <c r="L1316" s="23">
        <v>0</v>
      </c>
      <c r="M1316" s="24">
        <f>ROUND(K1316*L1316,2)</f>
        <v>0</v>
      </c>
    </row>
    <row r="1317" spans="1:13" ht="0.95" customHeight="1">
      <c r="A1317" s="25"/>
      <c r="B1317" s="25"/>
      <c r="C1317" s="25"/>
      <c r="D1317" s="31"/>
      <c r="E1317" s="25"/>
      <c r="F1317" s="25"/>
      <c r="G1317" s="25"/>
      <c r="H1317" s="25"/>
      <c r="I1317" s="25"/>
      <c r="J1317" s="25"/>
      <c r="K1317" s="25"/>
      <c r="L1317" s="25"/>
      <c r="M1317" s="25"/>
    </row>
    <row r="1318" spans="1:13" ht="33.75">
      <c r="A1318" s="15" t="s">
        <v>1142</v>
      </c>
      <c r="B1318" s="10" t="s">
        <v>23</v>
      </c>
      <c r="C1318" s="10" t="s">
        <v>94</v>
      </c>
      <c r="D1318" s="18" t="s">
        <v>1143</v>
      </c>
      <c r="E1318" s="9"/>
      <c r="F1318" s="9"/>
      <c r="G1318" s="9"/>
      <c r="H1318" s="9"/>
      <c r="I1318" s="9"/>
      <c r="J1318" s="9"/>
      <c r="K1318" s="16">
        <f>K1327</f>
        <v>36.616</v>
      </c>
      <c r="L1318" s="17">
        <f>L1327</f>
        <v>0</v>
      </c>
      <c r="M1318" s="17">
        <f>M1327</f>
        <v>0</v>
      </c>
    </row>
    <row r="1319" spans="1:13">
      <c r="A1319" s="9"/>
      <c r="B1319" s="9"/>
      <c r="C1319" s="9"/>
      <c r="D1319" s="18" t="s">
        <v>1144</v>
      </c>
      <c r="E1319" s="9"/>
      <c r="F1319" s="9"/>
      <c r="G1319" s="9"/>
      <c r="H1319" s="9"/>
      <c r="I1319" s="9"/>
      <c r="J1319" s="9"/>
      <c r="K1319" s="9"/>
      <c r="L1319" s="9"/>
      <c r="M1319" s="9"/>
    </row>
    <row r="1320" spans="1:13">
      <c r="A1320" s="9"/>
      <c r="B1320" s="9"/>
      <c r="C1320" s="10" t="s">
        <v>27</v>
      </c>
      <c r="D1320" s="30"/>
      <c r="E1320" s="10" t="s">
        <v>227</v>
      </c>
      <c r="F1320" s="19">
        <v>1</v>
      </c>
      <c r="G1320" s="20">
        <v>2.2000000000000002</v>
      </c>
      <c r="H1320" s="20">
        <v>0</v>
      </c>
      <c r="I1320" s="20">
        <v>1.05</v>
      </c>
      <c r="J1320" s="16">
        <f>OR(F1320&lt;&gt;0,G1320&lt;&gt;0,H1320&lt;&gt;0,I1320&lt;&gt;0)*(F1320 + (F1320 = 0))*(G1320 + (G1320 = 0))*(H1320 + (H1320 = 0))*(I1320 + (I1320 = 0))</f>
        <v>2.31</v>
      </c>
      <c r="K1320" s="9"/>
      <c r="L1320" s="9"/>
      <c r="M1320" s="9"/>
    </row>
    <row r="1321" spans="1:13">
      <c r="A1321" s="9"/>
      <c r="B1321" s="9"/>
      <c r="C1321" s="10" t="s">
        <v>27</v>
      </c>
      <c r="D1321" s="30"/>
      <c r="E1321" s="10" t="s">
        <v>17</v>
      </c>
      <c r="F1321" s="19">
        <v>1</v>
      </c>
      <c r="G1321" s="20">
        <v>2.5499999999999998</v>
      </c>
      <c r="H1321" s="20">
        <v>0</v>
      </c>
      <c r="I1321" s="20">
        <v>2.75</v>
      </c>
      <c r="J1321" s="16">
        <f>OR(F1321&lt;&gt;0,G1321&lt;&gt;0,H1321&lt;&gt;0,I1321&lt;&gt;0)*(F1321 + (F1321 = 0))*(G1321 + (G1321 = 0))*(H1321 + (H1321 = 0))*(I1321 + (I1321 = 0))</f>
        <v>7.0129999999999999</v>
      </c>
      <c r="K1321" s="9"/>
      <c r="L1321" s="9"/>
      <c r="M1321" s="9"/>
    </row>
    <row r="1322" spans="1:13">
      <c r="A1322" s="9"/>
      <c r="B1322" s="9"/>
      <c r="C1322" s="10" t="s">
        <v>27</v>
      </c>
      <c r="D1322" s="30"/>
      <c r="E1322" s="10" t="s">
        <v>17</v>
      </c>
      <c r="F1322" s="19">
        <v>1</v>
      </c>
      <c r="G1322" s="20">
        <v>5.35</v>
      </c>
      <c r="H1322" s="20">
        <v>0</v>
      </c>
      <c r="I1322" s="20">
        <v>2.75</v>
      </c>
      <c r="J1322" s="16">
        <f>OR(F1322&lt;&gt;0,G1322&lt;&gt;0,H1322&lt;&gt;0,I1322&lt;&gt;0)*(F1322 + (F1322 = 0))*(G1322 + (G1322 = 0))*(H1322 + (H1322 = 0))*(I1322 + (I1322 = 0))</f>
        <v>14.712999999999999</v>
      </c>
      <c r="K1322" s="9"/>
      <c r="L1322" s="9"/>
      <c r="M1322" s="9"/>
    </row>
    <row r="1323" spans="1:13">
      <c r="A1323" s="9"/>
      <c r="B1323" s="9"/>
      <c r="C1323" s="10" t="s">
        <v>27</v>
      </c>
      <c r="D1323" s="30"/>
      <c r="E1323" s="10" t="s">
        <v>17</v>
      </c>
      <c r="F1323" s="19">
        <v>-1</v>
      </c>
      <c r="G1323" s="20">
        <v>3.92</v>
      </c>
      <c r="H1323" s="20">
        <v>0</v>
      </c>
      <c r="I1323" s="20">
        <v>0</v>
      </c>
      <c r="J1323" s="16">
        <f>OR(F1323&lt;&gt;0,G1323&lt;&gt;0,H1323&lt;&gt;0,I1323&lt;&gt;0)*(F1323 + (F1323 = 0))*(G1323 + (G1323 = 0))*(H1323 + (H1323 = 0))*(I1323 + (I1323 = 0))</f>
        <v>-3.92</v>
      </c>
      <c r="K1323" s="9"/>
      <c r="L1323" s="9"/>
      <c r="M1323" s="9"/>
    </row>
    <row r="1324" spans="1:13">
      <c r="A1324" s="9"/>
      <c r="B1324" s="9"/>
      <c r="C1324" s="10" t="s">
        <v>27</v>
      </c>
      <c r="D1324" s="30"/>
      <c r="E1324" s="10" t="s">
        <v>17</v>
      </c>
      <c r="F1324" s="19">
        <v>-1</v>
      </c>
      <c r="G1324" s="20">
        <v>3.25</v>
      </c>
      <c r="H1324" s="20">
        <v>0</v>
      </c>
      <c r="I1324" s="20">
        <v>0</v>
      </c>
      <c r="J1324" s="16">
        <f>OR(F1324&lt;&gt;0,G1324&lt;&gt;0,H1324&lt;&gt;0,I1324&lt;&gt;0)*(F1324 + (F1324 = 0))*(G1324 + (G1324 = 0))*(H1324 + (H1324 = 0))*(I1324 + (I1324 = 0))</f>
        <v>-3.25</v>
      </c>
      <c r="K1324" s="9"/>
      <c r="L1324" s="9"/>
      <c r="M1324" s="9"/>
    </row>
    <row r="1325" spans="1:13">
      <c r="A1325" s="9"/>
      <c r="B1325" s="9"/>
      <c r="C1325" s="10" t="s">
        <v>27</v>
      </c>
      <c r="D1325" s="30"/>
      <c r="E1325" s="10" t="s">
        <v>228</v>
      </c>
      <c r="F1325" s="19">
        <v>2</v>
      </c>
      <c r="G1325" s="20">
        <v>1.7</v>
      </c>
      <c r="H1325" s="20">
        <v>0</v>
      </c>
      <c r="I1325" s="20">
        <v>2.5</v>
      </c>
      <c r="J1325" s="16">
        <f>OR(F1325&lt;&gt;0,G1325&lt;&gt;0,H1325&lt;&gt;0,I1325&lt;&gt;0)*(F1325 + (F1325 = 0))*(G1325 + (G1325 = 0))*(H1325 + (H1325 = 0))*(I1325 + (I1325 = 0))</f>
        <v>8.5</v>
      </c>
      <c r="K1325" s="9"/>
      <c r="L1325" s="9"/>
      <c r="M1325" s="9"/>
    </row>
    <row r="1326" spans="1:13">
      <c r="A1326" s="9"/>
      <c r="B1326" s="9"/>
      <c r="C1326" s="10" t="s">
        <v>27</v>
      </c>
      <c r="D1326" s="30"/>
      <c r="E1326" s="10" t="s">
        <v>228</v>
      </c>
      <c r="F1326" s="19">
        <v>1</v>
      </c>
      <c r="G1326" s="20">
        <v>11.25</v>
      </c>
      <c r="H1326" s="20">
        <v>0</v>
      </c>
      <c r="I1326" s="20">
        <v>0</v>
      </c>
      <c r="J1326" s="16">
        <f>OR(F1326&lt;&gt;0,G1326&lt;&gt;0,H1326&lt;&gt;0,I1326&lt;&gt;0)*(F1326 + (F1326 = 0))*(G1326 + (G1326 = 0))*(H1326 + (H1326 = 0))*(I1326 + (I1326 = 0))</f>
        <v>11.25</v>
      </c>
      <c r="K1326" s="9"/>
      <c r="L1326" s="9"/>
      <c r="M1326" s="9"/>
    </row>
    <row r="1327" spans="1:13">
      <c r="A1327" s="9"/>
      <c r="B1327" s="9"/>
      <c r="C1327" s="9"/>
      <c r="D1327" s="30"/>
      <c r="E1327" s="9"/>
      <c r="F1327" s="9"/>
      <c r="G1327" s="9"/>
      <c r="H1327" s="9"/>
      <c r="I1327" s="9"/>
      <c r="J1327" s="21" t="s">
        <v>1145</v>
      </c>
      <c r="K1327" s="22">
        <f>SUM(J1320:J1326)</f>
        <v>36.616</v>
      </c>
      <c r="L1327" s="23">
        <v>0</v>
      </c>
      <c r="M1327" s="24">
        <f>ROUND(K1327*L1327,2)</f>
        <v>0</v>
      </c>
    </row>
    <row r="1328" spans="1:13" ht="0.95" customHeight="1">
      <c r="A1328" s="25"/>
      <c r="B1328" s="25"/>
      <c r="C1328" s="25"/>
      <c r="D1328" s="31"/>
      <c r="E1328" s="25"/>
      <c r="F1328" s="25"/>
      <c r="G1328" s="25"/>
      <c r="H1328" s="25"/>
      <c r="I1328" s="25"/>
      <c r="J1328" s="25"/>
      <c r="K1328" s="25"/>
      <c r="L1328" s="25"/>
      <c r="M1328" s="25"/>
    </row>
    <row r="1329" spans="1:13" ht="33.75">
      <c r="A1329" s="15" t="s">
        <v>1146</v>
      </c>
      <c r="B1329" s="10" t="s">
        <v>23</v>
      </c>
      <c r="C1329" s="10" t="s">
        <v>94</v>
      </c>
      <c r="D1329" s="18" t="s">
        <v>1147</v>
      </c>
      <c r="E1329" s="9"/>
      <c r="F1329" s="9"/>
      <c r="G1329" s="9"/>
      <c r="H1329" s="9"/>
      <c r="I1329" s="9"/>
      <c r="J1329" s="9"/>
      <c r="K1329" s="16">
        <f>K1335</f>
        <v>164.96</v>
      </c>
      <c r="L1329" s="17">
        <f>L1335</f>
        <v>0</v>
      </c>
      <c r="M1329" s="17">
        <f>M1335</f>
        <v>0</v>
      </c>
    </row>
    <row r="1330" spans="1:13">
      <c r="A1330" s="9"/>
      <c r="B1330" s="9"/>
      <c r="C1330" s="9"/>
      <c r="D1330" s="18" t="s">
        <v>1148</v>
      </c>
      <c r="E1330" s="9"/>
      <c r="F1330" s="9"/>
      <c r="G1330" s="9"/>
      <c r="H1330" s="9"/>
      <c r="I1330" s="9"/>
      <c r="J1330" s="9"/>
      <c r="K1330" s="9"/>
      <c r="L1330" s="9"/>
      <c r="M1330" s="9"/>
    </row>
    <row r="1331" spans="1:13">
      <c r="A1331" s="9"/>
      <c r="B1331" s="9"/>
      <c r="C1331" s="10" t="s">
        <v>27</v>
      </c>
      <c r="D1331" s="30"/>
      <c r="E1331" s="10" t="s">
        <v>97</v>
      </c>
      <c r="F1331" s="19">
        <v>1</v>
      </c>
      <c r="G1331" s="20">
        <v>30.2</v>
      </c>
      <c r="H1331" s="20">
        <v>0</v>
      </c>
      <c r="I1331" s="20">
        <v>3.25</v>
      </c>
      <c r="J1331" s="16">
        <f>OR(F1331&lt;&gt;0,G1331&lt;&gt;0,H1331&lt;&gt;0,I1331&lt;&gt;0)*(F1331 + (F1331 = 0))*(G1331 + (G1331 = 0))*(H1331 + (H1331 = 0))*(I1331 + (I1331 = 0))</f>
        <v>98.15</v>
      </c>
      <c r="K1331" s="9"/>
      <c r="L1331" s="9"/>
      <c r="M1331" s="9"/>
    </row>
    <row r="1332" spans="1:13">
      <c r="A1332" s="9"/>
      <c r="B1332" s="9"/>
      <c r="C1332" s="10" t="s">
        <v>27</v>
      </c>
      <c r="D1332" s="30"/>
      <c r="E1332" s="10" t="s">
        <v>227</v>
      </c>
      <c r="F1332" s="19">
        <v>1</v>
      </c>
      <c r="G1332" s="20">
        <v>11.8</v>
      </c>
      <c r="H1332" s="20">
        <v>0</v>
      </c>
      <c r="I1332" s="20">
        <v>0.7</v>
      </c>
      <c r="J1332" s="16">
        <f>OR(F1332&lt;&gt;0,G1332&lt;&gt;0,H1332&lt;&gt;0,I1332&lt;&gt;0)*(F1332 + (F1332 = 0))*(G1332 + (G1332 = 0))*(H1332 + (H1332 = 0))*(I1332 + (I1332 = 0))</f>
        <v>8.26</v>
      </c>
      <c r="K1332" s="9"/>
      <c r="L1332" s="9"/>
      <c r="M1332" s="9"/>
    </row>
    <row r="1333" spans="1:13">
      <c r="A1333" s="9"/>
      <c r="B1333" s="9"/>
      <c r="C1333" s="10" t="s">
        <v>27</v>
      </c>
      <c r="D1333" s="30"/>
      <c r="E1333" s="10" t="s">
        <v>17</v>
      </c>
      <c r="F1333" s="19">
        <v>1</v>
      </c>
      <c r="G1333" s="20">
        <v>14.8</v>
      </c>
      <c r="H1333" s="20">
        <v>0</v>
      </c>
      <c r="I1333" s="20">
        <v>3.8</v>
      </c>
      <c r="J1333" s="16">
        <f>OR(F1333&lt;&gt;0,G1333&lt;&gt;0,H1333&lt;&gt;0,I1333&lt;&gt;0)*(F1333 + (F1333 = 0))*(G1333 + (G1333 = 0))*(H1333 + (H1333 = 0))*(I1333 + (I1333 = 0))</f>
        <v>56.24</v>
      </c>
      <c r="K1333" s="9"/>
      <c r="L1333" s="9"/>
      <c r="M1333" s="9"/>
    </row>
    <row r="1334" spans="1:13">
      <c r="A1334" s="9"/>
      <c r="B1334" s="9"/>
      <c r="C1334" s="10" t="s">
        <v>27</v>
      </c>
      <c r="D1334" s="30"/>
      <c r="E1334" s="10" t="s">
        <v>17</v>
      </c>
      <c r="F1334" s="19">
        <v>1</v>
      </c>
      <c r="G1334" s="20">
        <v>3.3</v>
      </c>
      <c r="H1334" s="20">
        <v>0</v>
      </c>
      <c r="I1334" s="20">
        <v>0.7</v>
      </c>
      <c r="J1334" s="16">
        <f>OR(F1334&lt;&gt;0,G1334&lt;&gt;0,H1334&lt;&gt;0,I1334&lt;&gt;0)*(F1334 + (F1334 = 0))*(G1334 + (G1334 = 0))*(H1334 + (H1334 = 0))*(I1334 + (I1334 = 0))</f>
        <v>2.31</v>
      </c>
      <c r="K1334" s="9"/>
      <c r="L1334" s="9"/>
      <c r="M1334" s="9"/>
    </row>
    <row r="1335" spans="1:13">
      <c r="A1335" s="9"/>
      <c r="B1335" s="9"/>
      <c r="C1335" s="9"/>
      <c r="D1335" s="30"/>
      <c r="E1335" s="9"/>
      <c r="F1335" s="9"/>
      <c r="G1335" s="9"/>
      <c r="H1335" s="9"/>
      <c r="I1335" s="9"/>
      <c r="J1335" s="21" t="s">
        <v>1149</v>
      </c>
      <c r="K1335" s="22">
        <f>SUM(J1331:J1334)</f>
        <v>164.96</v>
      </c>
      <c r="L1335" s="23">
        <v>0</v>
      </c>
      <c r="M1335" s="24">
        <f>ROUND(K1335*L1335,2)</f>
        <v>0</v>
      </c>
    </row>
    <row r="1336" spans="1:13" ht="0.95" customHeight="1">
      <c r="A1336" s="25"/>
      <c r="B1336" s="25"/>
      <c r="C1336" s="25"/>
      <c r="D1336" s="31"/>
      <c r="E1336" s="25"/>
      <c r="F1336" s="25"/>
      <c r="G1336" s="25"/>
      <c r="H1336" s="25"/>
      <c r="I1336" s="25"/>
      <c r="J1336" s="25"/>
      <c r="K1336" s="25"/>
      <c r="L1336" s="25"/>
      <c r="M1336" s="25"/>
    </row>
    <row r="1337" spans="1:13" ht="33.75">
      <c r="A1337" s="15" t="s">
        <v>1150</v>
      </c>
      <c r="B1337" s="10" t="s">
        <v>23</v>
      </c>
      <c r="C1337" s="10" t="s">
        <v>94</v>
      </c>
      <c r="D1337" s="18" t="s">
        <v>1151</v>
      </c>
      <c r="E1337" s="9"/>
      <c r="F1337" s="9"/>
      <c r="G1337" s="9"/>
      <c r="H1337" s="9"/>
      <c r="I1337" s="9"/>
      <c r="J1337" s="9"/>
      <c r="K1337" s="16">
        <f>K1341</f>
        <v>1.56</v>
      </c>
      <c r="L1337" s="17">
        <f>L1341</f>
        <v>0</v>
      </c>
      <c r="M1337" s="17">
        <f>M1341</f>
        <v>0</v>
      </c>
    </row>
    <row r="1338" spans="1:13">
      <c r="A1338" s="9"/>
      <c r="B1338" s="9"/>
      <c r="C1338" s="9"/>
      <c r="D1338" s="18" t="s">
        <v>1152</v>
      </c>
      <c r="E1338" s="9"/>
      <c r="F1338" s="9"/>
      <c r="G1338" s="9"/>
      <c r="H1338" s="9"/>
      <c r="I1338" s="9"/>
      <c r="J1338" s="9"/>
      <c r="K1338" s="9"/>
      <c r="L1338" s="9"/>
      <c r="M1338" s="9"/>
    </row>
    <row r="1339" spans="1:13">
      <c r="A1339" s="9"/>
      <c r="B1339" s="9"/>
      <c r="C1339" s="10" t="s">
        <v>27</v>
      </c>
      <c r="D1339" s="30"/>
      <c r="E1339" s="10" t="s">
        <v>1153</v>
      </c>
      <c r="F1339" s="19">
        <v>1</v>
      </c>
      <c r="G1339" s="20">
        <v>1.25</v>
      </c>
      <c r="H1339" s="20">
        <v>0.6</v>
      </c>
      <c r="I1339" s="20">
        <v>0</v>
      </c>
      <c r="J1339" s="16">
        <f>OR(F1339&lt;&gt;0,G1339&lt;&gt;0,H1339&lt;&gt;0,I1339&lt;&gt;0)*(F1339 + (F1339 = 0))*(G1339 + (G1339 = 0))*(H1339 + (H1339 = 0))*(I1339 + (I1339 = 0))</f>
        <v>0.75</v>
      </c>
      <c r="K1339" s="9"/>
      <c r="L1339" s="9"/>
      <c r="M1339" s="9"/>
    </row>
    <row r="1340" spans="1:13">
      <c r="A1340" s="9"/>
      <c r="B1340" s="9"/>
      <c r="C1340" s="10" t="s">
        <v>27</v>
      </c>
      <c r="D1340" s="30"/>
      <c r="E1340" s="10" t="s">
        <v>17</v>
      </c>
      <c r="F1340" s="19">
        <v>1</v>
      </c>
      <c r="G1340" s="20">
        <v>1.35</v>
      </c>
      <c r="H1340" s="20">
        <v>0.6</v>
      </c>
      <c r="I1340" s="20">
        <v>0</v>
      </c>
      <c r="J1340" s="16">
        <f>OR(F1340&lt;&gt;0,G1340&lt;&gt;0,H1340&lt;&gt;0,I1340&lt;&gt;0)*(F1340 + (F1340 = 0))*(G1340 + (G1340 = 0))*(H1340 + (H1340 = 0))*(I1340 + (I1340 = 0))</f>
        <v>0.81</v>
      </c>
      <c r="K1340" s="9"/>
      <c r="L1340" s="9"/>
      <c r="M1340" s="9"/>
    </row>
    <row r="1341" spans="1:13">
      <c r="A1341" s="9"/>
      <c r="B1341" s="9"/>
      <c r="C1341" s="9"/>
      <c r="D1341" s="30"/>
      <c r="E1341" s="9"/>
      <c r="F1341" s="9"/>
      <c r="G1341" s="9"/>
      <c r="H1341" s="9"/>
      <c r="I1341" s="9"/>
      <c r="J1341" s="21" t="s">
        <v>1154</v>
      </c>
      <c r="K1341" s="22">
        <f>SUM(J1339:J1340)</f>
        <v>1.56</v>
      </c>
      <c r="L1341" s="23">
        <v>0</v>
      </c>
      <c r="M1341" s="24">
        <f>ROUND(K1341*L1341,2)</f>
        <v>0</v>
      </c>
    </row>
    <row r="1342" spans="1:13" ht="0.95" customHeight="1">
      <c r="A1342" s="25"/>
      <c r="B1342" s="25"/>
      <c r="C1342" s="25"/>
      <c r="D1342" s="31"/>
      <c r="E1342" s="25"/>
      <c r="F1342" s="25"/>
      <c r="G1342" s="25"/>
      <c r="H1342" s="25"/>
      <c r="I1342" s="25"/>
      <c r="J1342" s="25"/>
      <c r="K1342" s="25"/>
      <c r="L1342" s="25"/>
      <c r="M1342" s="25"/>
    </row>
    <row r="1343" spans="1:13" ht="22.5">
      <c r="A1343" s="15" t="s">
        <v>1155</v>
      </c>
      <c r="B1343" s="10" t="s">
        <v>23</v>
      </c>
      <c r="C1343" s="10" t="s">
        <v>4</v>
      </c>
      <c r="D1343" s="18" t="s">
        <v>1156</v>
      </c>
      <c r="E1343" s="9"/>
      <c r="F1343" s="9"/>
      <c r="G1343" s="9"/>
      <c r="H1343" s="9"/>
      <c r="I1343" s="9"/>
      <c r="J1343" s="9"/>
      <c r="K1343" s="16">
        <f>K1346</f>
        <v>2</v>
      </c>
      <c r="L1343" s="17">
        <f>L1346</f>
        <v>0</v>
      </c>
      <c r="M1343" s="17">
        <f>M1346</f>
        <v>0</v>
      </c>
    </row>
    <row r="1344" spans="1:13">
      <c r="A1344" s="9"/>
      <c r="B1344" s="9"/>
      <c r="C1344" s="9"/>
      <c r="D1344" s="18" t="s">
        <v>1157</v>
      </c>
      <c r="E1344" s="9"/>
      <c r="F1344" s="9"/>
      <c r="G1344" s="9"/>
      <c r="H1344" s="9"/>
      <c r="I1344" s="9"/>
      <c r="J1344" s="9"/>
      <c r="K1344" s="9"/>
      <c r="L1344" s="9"/>
      <c r="M1344" s="9"/>
    </row>
    <row r="1345" spans="1:13">
      <c r="A1345" s="9"/>
      <c r="B1345" s="9"/>
      <c r="C1345" s="10" t="s">
        <v>1158</v>
      </c>
      <c r="D1345" s="30"/>
      <c r="E1345" s="10" t="s">
        <v>1159</v>
      </c>
      <c r="F1345" s="19">
        <v>2</v>
      </c>
      <c r="G1345" s="23">
        <v>0</v>
      </c>
      <c r="H1345" s="23">
        <v>0</v>
      </c>
      <c r="I1345" s="23">
        <v>0</v>
      </c>
      <c r="J1345" s="17">
        <f>OR(F1345&lt;&gt;0,G1345&lt;&gt;0,H1345&lt;&gt;0,I1345&lt;&gt;0)*(F1345 + (F1345 = 0))*(G1345 + (G1345 = 0))*(H1345 + (H1345 = 0))*(I1345 + (I1345 = 0))</f>
        <v>2</v>
      </c>
      <c r="K1345" s="9"/>
      <c r="L1345" s="9"/>
      <c r="M1345" s="9"/>
    </row>
    <row r="1346" spans="1:13">
      <c r="A1346" s="9"/>
      <c r="B1346" s="9"/>
      <c r="C1346" s="9"/>
      <c r="D1346" s="30"/>
      <c r="E1346" s="9"/>
      <c r="F1346" s="9"/>
      <c r="G1346" s="9"/>
      <c r="H1346" s="9"/>
      <c r="I1346" s="9"/>
      <c r="J1346" s="21" t="s">
        <v>1160</v>
      </c>
      <c r="K1346" s="22">
        <f>J1345</f>
        <v>2</v>
      </c>
      <c r="L1346" s="23">
        <v>0</v>
      </c>
      <c r="M1346" s="24">
        <f>ROUND(K1346*L1346,2)</f>
        <v>0</v>
      </c>
    </row>
    <row r="1347" spans="1:13" ht="0.95" customHeight="1">
      <c r="A1347" s="25"/>
      <c r="B1347" s="25"/>
      <c r="C1347" s="25"/>
      <c r="D1347" s="31"/>
      <c r="E1347" s="25"/>
      <c r="F1347" s="25"/>
      <c r="G1347" s="25"/>
      <c r="H1347" s="25"/>
      <c r="I1347" s="25"/>
      <c r="J1347" s="25"/>
      <c r="K1347" s="25"/>
      <c r="L1347" s="25"/>
      <c r="M1347" s="25"/>
    </row>
    <row r="1348" spans="1:13">
      <c r="A1348" s="9"/>
      <c r="B1348" s="9"/>
      <c r="C1348" s="9"/>
      <c r="D1348" s="30"/>
      <c r="E1348" s="9"/>
      <c r="F1348" s="9"/>
      <c r="G1348" s="9"/>
      <c r="H1348" s="9"/>
      <c r="I1348" s="9"/>
      <c r="J1348" s="21" t="s">
        <v>1161</v>
      </c>
      <c r="K1348" s="20">
        <v>1</v>
      </c>
      <c r="L1348" s="24">
        <f>M1311+M1318+M1329+M1337+M1343</f>
        <v>0</v>
      </c>
      <c r="M1348" s="24">
        <f>ROUND(K1348*L1348,2)</f>
        <v>0</v>
      </c>
    </row>
    <row r="1349" spans="1:13" ht="0.95" customHeight="1">
      <c r="A1349" s="25"/>
      <c r="B1349" s="25"/>
      <c r="C1349" s="25"/>
      <c r="D1349" s="31"/>
      <c r="E1349" s="25"/>
      <c r="F1349" s="25"/>
      <c r="G1349" s="25"/>
      <c r="H1349" s="25"/>
      <c r="I1349" s="25"/>
      <c r="J1349" s="25"/>
      <c r="K1349" s="25"/>
      <c r="L1349" s="25"/>
      <c r="M1349" s="25"/>
    </row>
    <row r="1350" spans="1:13">
      <c r="A1350" s="11" t="s">
        <v>1162</v>
      </c>
      <c r="B1350" s="11" t="s">
        <v>16</v>
      </c>
      <c r="C1350" s="11" t="s">
        <v>17</v>
      </c>
      <c r="D1350" s="29" t="s">
        <v>1163</v>
      </c>
      <c r="E1350" s="12"/>
      <c r="F1350" s="12"/>
      <c r="G1350" s="12"/>
      <c r="H1350" s="12"/>
      <c r="I1350" s="12"/>
      <c r="J1350" s="12"/>
      <c r="K1350" s="13">
        <f>K1387</f>
        <v>1</v>
      </c>
      <c r="L1350" s="14">
        <f>L1387</f>
        <v>0</v>
      </c>
      <c r="M1350" s="14">
        <f>M1387</f>
        <v>0</v>
      </c>
    </row>
    <row r="1351" spans="1:13">
      <c r="A1351" s="9"/>
      <c r="B1351" s="9"/>
      <c r="C1351" s="9"/>
      <c r="D1351" s="18" t="s">
        <v>1163</v>
      </c>
      <c r="E1351" s="9"/>
      <c r="F1351" s="9"/>
      <c r="G1351" s="9"/>
      <c r="H1351" s="9"/>
      <c r="I1351" s="9"/>
      <c r="J1351" s="9"/>
      <c r="K1351" s="9"/>
      <c r="L1351" s="9"/>
      <c r="M1351" s="9"/>
    </row>
    <row r="1352" spans="1:13" ht="33.75">
      <c r="A1352" s="15" t="s">
        <v>1164</v>
      </c>
      <c r="B1352" s="10" t="s">
        <v>23</v>
      </c>
      <c r="C1352" s="10" t="s">
        <v>94</v>
      </c>
      <c r="D1352" s="18" t="s">
        <v>1165</v>
      </c>
      <c r="E1352" s="9"/>
      <c r="F1352" s="9"/>
      <c r="G1352" s="9"/>
      <c r="H1352" s="9"/>
      <c r="I1352" s="9"/>
      <c r="J1352" s="9"/>
      <c r="K1352" s="16">
        <f>K1372</f>
        <v>188.54300000000001</v>
      </c>
      <c r="L1352" s="17">
        <f>L1372</f>
        <v>0</v>
      </c>
      <c r="M1352" s="17">
        <f>M1372</f>
        <v>0</v>
      </c>
    </row>
    <row r="1353" spans="1:13">
      <c r="A1353" s="9"/>
      <c r="B1353" s="9"/>
      <c r="C1353" s="9"/>
      <c r="D1353" s="18" t="s">
        <v>1166</v>
      </c>
      <c r="E1353" s="9"/>
      <c r="F1353" s="9"/>
      <c r="G1353" s="9"/>
      <c r="H1353" s="9"/>
      <c r="I1353" s="9"/>
      <c r="J1353" s="9"/>
      <c r="K1353" s="9"/>
      <c r="L1353" s="9"/>
      <c r="M1353" s="9"/>
    </row>
    <row r="1354" spans="1:13">
      <c r="A1354" s="9"/>
      <c r="B1354" s="9"/>
      <c r="C1354" s="10" t="s">
        <v>27</v>
      </c>
      <c r="D1354" s="30"/>
      <c r="E1354" s="10" t="s">
        <v>227</v>
      </c>
      <c r="F1354" s="19">
        <v>1</v>
      </c>
      <c r="G1354" s="20">
        <v>45.85</v>
      </c>
      <c r="H1354" s="20">
        <v>0</v>
      </c>
      <c r="I1354" s="20">
        <v>2.6</v>
      </c>
      <c r="J1354" s="16">
        <f>OR(F1354&lt;&gt;0,G1354&lt;&gt;0,H1354&lt;&gt;0,I1354&lt;&gt;0)*(F1354 + (F1354 = 0))*(G1354 + (G1354 = 0))*(H1354 + (H1354 = 0))*(I1354 + (I1354 = 0))</f>
        <v>119.21</v>
      </c>
      <c r="K1354" s="9"/>
      <c r="L1354" s="9"/>
      <c r="M1354" s="9"/>
    </row>
    <row r="1355" spans="1:13">
      <c r="A1355" s="9"/>
      <c r="B1355" s="9"/>
      <c r="C1355" s="10" t="s">
        <v>27</v>
      </c>
      <c r="D1355" s="30"/>
      <c r="E1355" s="10" t="s">
        <v>17</v>
      </c>
      <c r="F1355" s="19">
        <v>-1</v>
      </c>
      <c r="G1355" s="20">
        <v>2.5</v>
      </c>
      <c r="H1355" s="20">
        <v>0</v>
      </c>
      <c r="I1355" s="20">
        <v>0</v>
      </c>
      <c r="J1355" s="16">
        <f>OR(F1355&lt;&gt;0,G1355&lt;&gt;0,H1355&lt;&gt;0,I1355&lt;&gt;0)*(F1355 + (F1355 = 0))*(G1355 + (G1355 = 0))*(H1355 + (H1355 = 0))*(I1355 + (I1355 = 0))</f>
        <v>-2.5</v>
      </c>
      <c r="K1355" s="9"/>
      <c r="L1355" s="9"/>
      <c r="M1355" s="9"/>
    </row>
    <row r="1356" spans="1:13">
      <c r="A1356" s="9"/>
      <c r="B1356" s="9"/>
      <c r="C1356" s="10" t="s">
        <v>27</v>
      </c>
      <c r="D1356" s="30"/>
      <c r="E1356" s="10" t="s">
        <v>17</v>
      </c>
      <c r="F1356" s="19">
        <v>-1</v>
      </c>
      <c r="G1356" s="20">
        <v>3.38</v>
      </c>
      <c r="H1356" s="20">
        <v>0</v>
      </c>
      <c r="I1356" s="20">
        <v>0</v>
      </c>
      <c r="J1356" s="16">
        <f>OR(F1356&lt;&gt;0,G1356&lt;&gt;0,H1356&lt;&gt;0,I1356&lt;&gt;0)*(F1356 + (F1356 = 0))*(G1356 + (G1356 = 0))*(H1356 + (H1356 = 0))*(I1356 + (I1356 = 0))</f>
        <v>-3.38</v>
      </c>
      <c r="K1356" s="9"/>
      <c r="L1356" s="9"/>
      <c r="M1356" s="9"/>
    </row>
    <row r="1357" spans="1:13">
      <c r="A1357" s="9"/>
      <c r="B1357" s="9"/>
      <c r="C1357" s="10" t="s">
        <v>27</v>
      </c>
      <c r="D1357" s="30"/>
      <c r="E1357" s="10" t="s">
        <v>17</v>
      </c>
      <c r="F1357" s="19">
        <v>-1</v>
      </c>
      <c r="G1357" s="20">
        <v>3.32</v>
      </c>
      <c r="H1357" s="20">
        <v>0</v>
      </c>
      <c r="I1357" s="20">
        <v>0</v>
      </c>
      <c r="J1357" s="16">
        <f>OR(F1357&lt;&gt;0,G1357&lt;&gt;0,H1357&lt;&gt;0,I1357&lt;&gt;0)*(F1357 + (F1357 = 0))*(G1357 + (G1357 = 0))*(H1357 + (H1357 = 0))*(I1357 + (I1357 = 0))</f>
        <v>-3.32</v>
      </c>
      <c r="K1357" s="9"/>
      <c r="L1357" s="9"/>
      <c r="M1357" s="9"/>
    </row>
    <row r="1358" spans="1:13">
      <c r="A1358" s="9"/>
      <c r="B1358" s="9"/>
      <c r="C1358" s="10" t="s">
        <v>27</v>
      </c>
      <c r="D1358" s="30"/>
      <c r="E1358" s="10" t="s">
        <v>17</v>
      </c>
      <c r="F1358" s="19">
        <v>-1</v>
      </c>
      <c r="G1358" s="20">
        <v>6</v>
      </c>
      <c r="H1358" s="20">
        <v>0</v>
      </c>
      <c r="I1358" s="20">
        <v>0</v>
      </c>
      <c r="J1358" s="16">
        <f>OR(F1358&lt;&gt;0,G1358&lt;&gt;0,H1358&lt;&gt;0,I1358&lt;&gt;0)*(F1358 + (F1358 = 0))*(G1358 + (G1358 = 0))*(H1358 + (H1358 = 0))*(I1358 + (I1358 = 0))</f>
        <v>-6</v>
      </c>
      <c r="K1358" s="9"/>
      <c r="L1358" s="9"/>
      <c r="M1358" s="9"/>
    </row>
    <row r="1359" spans="1:13">
      <c r="A1359" s="9"/>
      <c r="B1359" s="9"/>
      <c r="C1359" s="10" t="s">
        <v>27</v>
      </c>
      <c r="D1359" s="30"/>
      <c r="E1359" s="10" t="s">
        <v>17</v>
      </c>
      <c r="F1359" s="19">
        <v>-1</v>
      </c>
      <c r="G1359" s="20">
        <v>3.92</v>
      </c>
      <c r="H1359" s="20">
        <v>0</v>
      </c>
      <c r="I1359" s="20">
        <v>0</v>
      </c>
      <c r="J1359" s="16">
        <f>OR(F1359&lt;&gt;0,G1359&lt;&gt;0,H1359&lt;&gt;0,I1359&lt;&gt;0)*(F1359 + (F1359 = 0))*(G1359 + (G1359 = 0))*(H1359 + (H1359 = 0))*(I1359 + (I1359 = 0))</f>
        <v>-3.92</v>
      </c>
      <c r="K1359" s="9"/>
      <c r="L1359" s="9"/>
      <c r="M1359" s="9"/>
    </row>
    <row r="1360" spans="1:13">
      <c r="A1360" s="9"/>
      <c r="B1360" s="9"/>
      <c r="C1360" s="10" t="s">
        <v>27</v>
      </c>
      <c r="D1360" s="30"/>
      <c r="E1360" s="10" t="s">
        <v>17</v>
      </c>
      <c r="F1360" s="19">
        <v>-1</v>
      </c>
      <c r="G1360" s="20">
        <v>3.25</v>
      </c>
      <c r="H1360" s="20">
        <v>0</v>
      </c>
      <c r="I1360" s="20">
        <v>0</v>
      </c>
      <c r="J1360" s="16">
        <f>OR(F1360&lt;&gt;0,G1360&lt;&gt;0,H1360&lt;&gt;0,I1360&lt;&gt;0)*(F1360 + (F1360 = 0))*(G1360 + (G1360 = 0))*(H1360 + (H1360 = 0))*(I1360 + (I1360 = 0))</f>
        <v>-3.25</v>
      </c>
      <c r="K1360" s="9"/>
      <c r="L1360" s="9"/>
      <c r="M1360" s="9"/>
    </row>
    <row r="1361" spans="1:13">
      <c r="A1361" s="9"/>
      <c r="B1361" s="9"/>
      <c r="C1361" s="10" t="s">
        <v>27</v>
      </c>
      <c r="D1361" s="30"/>
      <c r="E1361" s="10" t="s">
        <v>17</v>
      </c>
      <c r="F1361" s="19">
        <v>-1</v>
      </c>
      <c r="G1361" s="20">
        <v>10.34</v>
      </c>
      <c r="H1361" s="20">
        <v>0</v>
      </c>
      <c r="I1361" s="20">
        <v>0</v>
      </c>
      <c r="J1361" s="16">
        <f>OR(F1361&lt;&gt;0,G1361&lt;&gt;0,H1361&lt;&gt;0,I1361&lt;&gt;0)*(F1361 + (F1361 = 0))*(G1361 + (G1361 = 0))*(H1361 + (H1361 = 0))*(I1361 + (I1361 = 0))</f>
        <v>-10.34</v>
      </c>
      <c r="K1361" s="9"/>
      <c r="L1361" s="9"/>
      <c r="M1361" s="9"/>
    </row>
    <row r="1362" spans="1:13">
      <c r="A1362" s="9"/>
      <c r="B1362" s="9"/>
      <c r="C1362" s="10" t="s">
        <v>27</v>
      </c>
      <c r="D1362" s="30"/>
      <c r="E1362" s="10" t="s">
        <v>228</v>
      </c>
      <c r="F1362" s="19">
        <v>2</v>
      </c>
      <c r="G1362" s="20">
        <v>22.92</v>
      </c>
      <c r="H1362" s="20">
        <v>0</v>
      </c>
      <c r="I1362" s="20">
        <v>0</v>
      </c>
      <c r="J1362" s="16">
        <f>OR(F1362&lt;&gt;0,G1362&lt;&gt;0,H1362&lt;&gt;0,I1362&lt;&gt;0)*(F1362 + (F1362 = 0))*(G1362 + (G1362 = 0))*(H1362 + (H1362 = 0))*(I1362 + (I1362 = 0))</f>
        <v>45.84</v>
      </c>
      <c r="K1362" s="9"/>
      <c r="L1362" s="9"/>
      <c r="M1362" s="9"/>
    </row>
    <row r="1363" spans="1:13">
      <c r="A1363" s="9"/>
      <c r="B1363" s="9"/>
      <c r="C1363" s="10" t="s">
        <v>27</v>
      </c>
      <c r="D1363" s="30"/>
      <c r="E1363" s="10" t="s">
        <v>17</v>
      </c>
      <c r="F1363" s="19">
        <v>1</v>
      </c>
      <c r="G1363" s="20">
        <v>12.18</v>
      </c>
      <c r="H1363" s="20">
        <v>0</v>
      </c>
      <c r="I1363" s="20">
        <v>0</v>
      </c>
      <c r="J1363" s="16">
        <f>OR(F1363&lt;&gt;0,G1363&lt;&gt;0,H1363&lt;&gt;0,I1363&lt;&gt;0)*(F1363 + (F1363 = 0))*(G1363 + (G1363 = 0))*(H1363 + (H1363 = 0))*(I1363 + (I1363 = 0))</f>
        <v>12.18</v>
      </c>
      <c r="K1363" s="9"/>
      <c r="L1363" s="9"/>
      <c r="M1363" s="9"/>
    </row>
    <row r="1364" spans="1:13">
      <c r="A1364" s="9"/>
      <c r="B1364" s="9"/>
      <c r="C1364" s="10" t="s">
        <v>27</v>
      </c>
      <c r="D1364" s="30"/>
      <c r="E1364" s="10" t="s">
        <v>17</v>
      </c>
      <c r="F1364" s="19">
        <v>1</v>
      </c>
      <c r="G1364" s="20">
        <v>19.600000000000001</v>
      </c>
      <c r="H1364" s="20">
        <v>0</v>
      </c>
      <c r="I1364" s="20">
        <v>0</v>
      </c>
      <c r="J1364" s="16">
        <f>OR(F1364&lt;&gt;0,G1364&lt;&gt;0,H1364&lt;&gt;0,I1364&lt;&gt;0)*(F1364 + (F1364 = 0))*(G1364 + (G1364 = 0))*(H1364 + (H1364 = 0))*(I1364 + (I1364 = 0))</f>
        <v>19.600000000000001</v>
      </c>
      <c r="K1364" s="9"/>
      <c r="L1364" s="9"/>
      <c r="M1364" s="9"/>
    </row>
    <row r="1365" spans="1:13">
      <c r="A1365" s="9"/>
      <c r="B1365" s="9"/>
      <c r="C1365" s="10" t="s">
        <v>27</v>
      </c>
      <c r="D1365" s="30"/>
      <c r="E1365" s="10" t="s">
        <v>17</v>
      </c>
      <c r="F1365" s="19">
        <v>-2</v>
      </c>
      <c r="G1365" s="20">
        <v>5.64</v>
      </c>
      <c r="H1365" s="20">
        <v>0</v>
      </c>
      <c r="I1365" s="20">
        <v>0</v>
      </c>
      <c r="J1365" s="16">
        <f>OR(F1365&lt;&gt;0,G1365&lt;&gt;0,H1365&lt;&gt;0,I1365&lt;&gt;0)*(F1365 + (F1365 = 0))*(G1365 + (G1365 = 0))*(H1365 + (H1365 = 0))*(I1365 + (I1365 = 0))</f>
        <v>-11.28</v>
      </c>
      <c r="K1365" s="9"/>
      <c r="L1365" s="9"/>
      <c r="M1365" s="9"/>
    </row>
    <row r="1366" spans="1:13">
      <c r="A1366" s="9"/>
      <c r="B1366" s="9"/>
      <c r="C1366" s="10" t="s">
        <v>27</v>
      </c>
      <c r="D1366" s="30"/>
      <c r="E1366" s="10" t="s">
        <v>17</v>
      </c>
      <c r="F1366" s="19">
        <v>1</v>
      </c>
      <c r="G1366" s="20">
        <v>5.75</v>
      </c>
      <c r="H1366" s="20">
        <v>0</v>
      </c>
      <c r="I1366" s="20">
        <v>1.95</v>
      </c>
      <c r="J1366" s="16">
        <f>OR(F1366&lt;&gt;0,G1366&lt;&gt;0,H1366&lt;&gt;0,I1366&lt;&gt;0)*(F1366 + (F1366 = 0))*(G1366 + (G1366 = 0))*(H1366 + (H1366 = 0))*(I1366 + (I1366 = 0))</f>
        <v>11.212999999999999</v>
      </c>
      <c r="K1366" s="9"/>
      <c r="L1366" s="9"/>
      <c r="M1366" s="9"/>
    </row>
    <row r="1367" spans="1:13">
      <c r="A1367" s="9"/>
      <c r="B1367" s="9"/>
      <c r="C1367" s="10" t="s">
        <v>27</v>
      </c>
      <c r="D1367" s="30"/>
      <c r="E1367" s="10" t="s">
        <v>17</v>
      </c>
      <c r="F1367" s="19">
        <v>1</v>
      </c>
      <c r="G1367" s="20">
        <v>6.5</v>
      </c>
      <c r="H1367" s="20">
        <v>0</v>
      </c>
      <c r="I1367" s="20">
        <v>2.7</v>
      </c>
      <c r="J1367" s="16">
        <f>OR(F1367&lt;&gt;0,G1367&lt;&gt;0,H1367&lt;&gt;0,I1367&lt;&gt;0)*(F1367 + (F1367 = 0))*(G1367 + (G1367 = 0))*(H1367 + (H1367 = 0))*(I1367 + (I1367 = 0))</f>
        <v>17.55</v>
      </c>
      <c r="K1367" s="9"/>
      <c r="L1367" s="9"/>
      <c r="M1367" s="9"/>
    </row>
    <row r="1368" spans="1:13">
      <c r="A1368" s="9"/>
      <c r="B1368" s="9"/>
      <c r="C1368" s="10" t="s">
        <v>27</v>
      </c>
      <c r="D1368" s="30"/>
      <c r="E1368" s="10" t="s">
        <v>17</v>
      </c>
      <c r="F1368" s="19">
        <v>-1</v>
      </c>
      <c r="G1368" s="20">
        <v>2.0299999999999998</v>
      </c>
      <c r="H1368" s="20">
        <v>0</v>
      </c>
      <c r="I1368" s="20">
        <v>0</v>
      </c>
      <c r="J1368" s="16">
        <f>OR(F1368&lt;&gt;0,G1368&lt;&gt;0,H1368&lt;&gt;0,I1368&lt;&gt;0)*(F1368 + (F1368 = 0))*(G1368 + (G1368 = 0))*(H1368 + (H1368 = 0))*(I1368 + (I1368 = 0))</f>
        <v>-2.0299999999999998</v>
      </c>
      <c r="K1368" s="9"/>
      <c r="L1368" s="9"/>
      <c r="M1368" s="9"/>
    </row>
    <row r="1369" spans="1:13">
      <c r="A1369" s="9"/>
      <c r="B1369" s="9"/>
      <c r="C1369" s="10" t="s">
        <v>27</v>
      </c>
      <c r="D1369" s="30"/>
      <c r="E1369" s="10" t="s">
        <v>17</v>
      </c>
      <c r="F1369" s="19">
        <v>-1</v>
      </c>
      <c r="G1369" s="20">
        <v>5.99</v>
      </c>
      <c r="H1369" s="20">
        <v>0</v>
      </c>
      <c r="I1369" s="20">
        <v>0</v>
      </c>
      <c r="J1369" s="16">
        <f>OR(F1369&lt;&gt;0,G1369&lt;&gt;0,H1369&lt;&gt;0,I1369&lt;&gt;0)*(F1369 + (F1369 = 0))*(G1369 + (G1369 = 0))*(H1369 + (H1369 = 0))*(I1369 + (I1369 = 0))</f>
        <v>-5.99</v>
      </c>
      <c r="K1369" s="9"/>
      <c r="L1369" s="9"/>
      <c r="M1369" s="9"/>
    </row>
    <row r="1370" spans="1:13">
      <c r="A1370" s="9"/>
      <c r="B1370" s="9"/>
      <c r="C1370" s="10" t="s">
        <v>27</v>
      </c>
      <c r="D1370" s="30"/>
      <c r="E1370" s="10" t="s">
        <v>17</v>
      </c>
      <c r="F1370" s="19">
        <v>2</v>
      </c>
      <c r="G1370" s="20">
        <v>1.7</v>
      </c>
      <c r="H1370" s="20">
        <v>0</v>
      </c>
      <c r="I1370" s="20">
        <v>2.35</v>
      </c>
      <c r="J1370" s="16">
        <f>OR(F1370&lt;&gt;0,G1370&lt;&gt;0,H1370&lt;&gt;0,I1370&lt;&gt;0)*(F1370 + (F1370 = 0))*(G1370 + (G1370 = 0))*(H1370 + (H1370 = 0))*(I1370 + (I1370 = 0))</f>
        <v>7.99</v>
      </c>
      <c r="K1370" s="9"/>
      <c r="L1370" s="9"/>
      <c r="M1370" s="9"/>
    </row>
    <row r="1371" spans="1:13">
      <c r="A1371" s="9"/>
      <c r="B1371" s="9"/>
      <c r="C1371" s="10" t="s">
        <v>27</v>
      </c>
      <c r="D1371" s="30"/>
      <c r="E1371" s="10" t="s">
        <v>1106</v>
      </c>
      <c r="F1371" s="19">
        <v>1</v>
      </c>
      <c r="G1371" s="20">
        <v>6.97</v>
      </c>
      <c r="H1371" s="20">
        <v>0</v>
      </c>
      <c r="I1371" s="20">
        <v>0</v>
      </c>
      <c r="J1371" s="16">
        <f>OR(F1371&lt;&gt;0,G1371&lt;&gt;0,H1371&lt;&gt;0,I1371&lt;&gt;0)*(F1371 + (F1371 = 0))*(G1371 + (G1371 = 0))*(H1371 + (H1371 = 0))*(I1371 + (I1371 = 0))</f>
        <v>6.97</v>
      </c>
      <c r="K1371" s="9"/>
      <c r="L1371" s="9"/>
      <c r="M1371" s="9"/>
    </row>
    <row r="1372" spans="1:13">
      <c r="A1372" s="9"/>
      <c r="B1372" s="9"/>
      <c r="C1372" s="9"/>
      <c r="D1372" s="30"/>
      <c r="E1372" s="9"/>
      <c r="F1372" s="9"/>
      <c r="G1372" s="9"/>
      <c r="H1372" s="9"/>
      <c r="I1372" s="9"/>
      <c r="J1372" s="21" t="s">
        <v>1167</v>
      </c>
      <c r="K1372" s="22">
        <f>SUM(J1354:J1371)</f>
        <v>188.54300000000001</v>
      </c>
      <c r="L1372" s="23">
        <v>0</v>
      </c>
      <c r="M1372" s="24">
        <f>ROUND(K1372*L1372,2)</f>
        <v>0</v>
      </c>
    </row>
    <row r="1373" spans="1:13" ht="0.95" customHeight="1">
      <c r="A1373" s="25"/>
      <c r="B1373" s="25"/>
      <c r="C1373" s="25"/>
      <c r="D1373" s="31"/>
      <c r="E1373" s="25"/>
      <c r="F1373" s="25"/>
      <c r="G1373" s="25"/>
      <c r="H1373" s="25"/>
      <c r="I1373" s="25"/>
      <c r="J1373" s="25"/>
      <c r="K1373" s="25"/>
      <c r="L1373" s="25"/>
      <c r="M1373" s="25"/>
    </row>
    <row r="1374" spans="1:13" ht="33.75">
      <c r="A1374" s="15" t="s">
        <v>1168</v>
      </c>
      <c r="B1374" s="10" t="s">
        <v>23</v>
      </c>
      <c r="C1374" s="10" t="s">
        <v>94</v>
      </c>
      <c r="D1374" s="18" t="s">
        <v>1165</v>
      </c>
      <c r="E1374" s="9"/>
      <c r="F1374" s="9"/>
      <c r="G1374" s="9"/>
      <c r="H1374" s="9"/>
      <c r="I1374" s="9"/>
      <c r="J1374" s="9"/>
      <c r="K1374" s="16">
        <f>K1385</f>
        <v>91.879000000000005</v>
      </c>
      <c r="L1374" s="17">
        <f>L1385</f>
        <v>0</v>
      </c>
      <c r="M1374" s="17">
        <f>M1385</f>
        <v>0</v>
      </c>
    </row>
    <row r="1375" spans="1:13">
      <c r="A1375" s="9"/>
      <c r="B1375" s="9"/>
      <c r="C1375" s="9"/>
      <c r="D1375" s="18" t="s">
        <v>1169</v>
      </c>
      <c r="E1375" s="9"/>
      <c r="F1375" s="9"/>
      <c r="G1375" s="9"/>
      <c r="H1375" s="9"/>
      <c r="I1375" s="9"/>
      <c r="J1375" s="9"/>
      <c r="K1375" s="9"/>
      <c r="L1375" s="9"/>
      <c r="M1375" s="9"/>
    </row>
    <row r="1376" spans="1:13">
      <c r="A1376" s="9"/>
      <c r="B1376" s="9"/>
      <c r="C1376" s="10" t="s">
        <v>27</v>
      </c>
      <c r="D1376" s="30"/>
      <c r="E1376" s="10" t="s">
        <v>1100</v>
      </c>
      <c r="F1376" s="19"/>
      <c r="G1376" s="20"/>
      <c r="H1376" s="20"/>
      <c r="I1376" s="20"/>
      <c r="J1376" s="16">
        <f>OR(F1376&lt;&gt;0,G1376&lt;&gt;0,H1376&lt;&gt;0,I1376&lt;&gt;0)*(F1376 + (F1376 = 0))*(G1376 + (G1376 = 0))*(H1376 + (H1376 = 0))*(I1376 + (I1376 = 0))</f>
        <v>0</v>
      </c>
      <c r="K1376" s="9"/>
      <c r="L1376" s="9"/>
      <c r="M1376" s="9"/>
    </row>
    <row r="1377" spans="1:13">
      <c r="A1377" s="9"/>
      <c r="B1377" s="9"/>
      <c r="C1377" s="10" t="s">
        <v>27</v>
      </c>
      <c r="D1377" s="30"/>
      <c r="E1377" s="10" t="s">
        <v>1101</v>
      </c>
      <c r="F1377" s="19">
        <v>1</v>
      </c>
      <c r="G1377" s="20">
        <v>6.5</v>
      </c>
      <c r="H1377" s="20">
        <v>4.3</v>
      </c>
      <c r="I1377" s="20">
        <v>0</v>
      </c>
      <c r="J1377" s="16">
        <f>OR(F1377&lt;&gt;0,G1377&lt;&gt;0,H1377&lt;&gt;0,I1377&lt;&gt;0)*(F1377 + (F1377 = 0))*(G1377 + (G1377 = 0))*(H1377 + (H1377 = 0))*(I1377 + (I1377 = 0))</f>
        <v>27.95</v>
      </c>
      <c r="K1377" s="9"/>
      <c r="L1377" s="9"/>
      <c r="M1377" s="9"/>
    </row>
    <row r="1378" spans="1:13">
      <c r="A1378" s="9"/>
      <c r="B1378" s="9"/>
      <c r="C1378" s="10" t="s">
        <v>27</v>
      </c>
      <c r="D1378" s="30"/>
      <c r="E1378" s="10" t="s">
        <v>17</v>
      </c>
      <c r="F1378" s="19">
        <v>1</v>
      </c>
      <c r="G1378" s="20">
        <v>6.5</v>
      </c>
      <c r="H1378" s="20">
        <v>6.25</v>
      </c>
      <c r="I1378" s="20">
        <v>0</v>
      </c>
      <c r="J1378" s="16">
        <f>OR(F1378&lt;&gt;0,G1378&lt;&gt;0,H1378&lt;&gt;0,I1378&lt;&gt;0)*(F1378 + (F1378 = 0))*(G1378 + (G1378 = 0))*(H1378 + (H1378 = 0))*(I1378 + (I1378 = 0))</f>
        <v>40.625</v>
      </c>
      <c r="K1378" s="9"/>
      <c r="L1378" s="9"/>
      <c r="M1378" s="9"/>
    </row>
    <row r="1379" spans="1:13">
      <c r="A1379" s="9"/>
      <c r="B1379" s="9"/>
      <c r="C1379" s="10" t="s">
        <v>27</v>
      </c>
      <c r="D1379" s="30"/>
      <c r="E1379" s="10" t="s">
        <v>17</v>
      </c>
      <c r="F1379" s="19">
        <v>1</v>
      </c>
      <c r="G1379" s="20">
        <v>5.6</v>
      </c>
      <c r="H1379" s="20">
        <v>4.1500000000000004</v>
      </c>
      <c r="I1379" s="20">
        <v>0</v>
      </c>
      <c r="J1379" s="16">
        <f>OR(F1379&lt;&gt;0,G1379&lt;&gt;0,H1379&lt;&gt;0,I1379&lt;&gt;0)*(F1379 + (F1379 = 0))*(G1379 + (G1379 = 0))*(H1379 + (H1379 = 0))*(I1379 + (I1379 = 0))</f>
        <v>23.24</v>
      </c>
      <c r="K1379" s="9"/>
      <c r="L1379" s="9"/>
      <c r="M1379" s="9"/>
    </row>
    <row r="1380" spans="1:13">
      <c r="A1380" s="9"/>
      <c r="B1380" s="9"/>
      <c r="C1380" s="10" t="s">
        <v>27</v>
      </c>
      <c r="D1380" s="30"/>
      <c r="E1380" s="10" t="s">
        <v>17</v>
      </c>
      <c r="F1380" s="19">
        <v>-1</v>
      </c>
      <c r="G1380" s="20">
        <v>1.75</v>
      </c>
      <c r="H1380" s="20">
        <v>2.4500000000000002</v>
      </c>
      <c r="I1380" s="20">
        <v>0</v>
      </c>
      <c r="J1380" s="16">
        <f>OR(F1380&lt;&gt;0,G1380&lt;&gt;0,H1380&lt;&gt;0,I1380&lt;&gt;0)*(F1380 + (F1380 = 0))*(G1380 + (G1380 = 0))*(H1380 + (H1380 = 0))*(I1380 + (I1380 = 0))</f>
        <v>-4.2880000000000003</v>
      </c>
      <c r="K1380" s="9"/>
      <c r="L1380" s="9"/>
      <c r="M1380" s="9"/>
    </row>
    <row r="1381" spans="1:13">
      <c r="A1381" s="9"/>
      <c r="B1381" s="9"/>
      <c r="C1381" s="10" t="s">
        <v>27</v>
      </c>
      <c r="D1381" s="30"/>
      <c r="E1381" s="10" t="s">
        <v>17</v>
      </c>
      <c r="F1381" s="19">
        <v>-1</v>
      </c>
      <c r="G1381" s="20">
        <v>2.5499999999999998</v>
      </c>
      <c r="H1381" s="20">
        <v>2.4500000000000002</v>
      </c>
      <c r="I1381" s="20">
        <v>0</v>
      </c>
      <c r="J1381" s="16">
        <f>OR(F1381&lt;&gt;0,G1381&lt;&gt;0,H1381&lt;&gt;0,I1381&lt;&gt;0)*(F1381 + (F1381 = 0))*(G1381 + (G1381 = 0))*(H1381 + (H1381 = 0))*(I1381 + (I1381 = 0))</f>
        <v>-6.2480000000000002</v>
      </c>
      <c r="K1381" s="9"/>
      <c r="L1381" s="9"/>
      <c r="M1381" s="9"/>
    </row>
    <row r="1382" spans="1:13">
      <c r="A1382" s="9"/>
      <c r="B1382" s="9"/>
      <c r="C1382" s="10" t="s">
        <v>27</v>
      </c>
      <c r="D1382" s="30"/>
      <c r="E1382" s="10" t="s">
        <v>1170</v>
      </c>
      <c r="F1382" s="19"/>
      <c r="G1382" s="20"/>
      <c r="H1382" s="20"/>
      <c r="I1382" s="20"/>
      <c r="J1382" s="16">
        <f>OR(F1382&lt;&gt;0,G1382&lt;&gt;0,H1382&lt;&gt;0,I1382&lt;&gt;0)*(F1382 + (F1382 = 0))*(G1382 + (G1382 = 0))*(H1382 + (H1382 = 0))*(I1382 + (I1382 = 0))</f>
        <v>0</v>
      </c>
      <c r="K1382" s="9"/>
      <c r="L1382" s="9"/>
      <c r="M1382" s="9"/>
    </row>
    <row r="1383" spans="1:13">
      <c r="A1383" s="9"/>
      <c r="B1383" s="9"/>
      <c r="C1383" s="10" t="s">
        <v>27</v>
      </c>
      <c r="D1383" s="30"/>
      <c r="E1383" s="10" t="s">
        <v>1094</v>
      </c>
      <c r="F1383" s="19">
        <v>1</v>
      </c>
      <c r="G1383" s="20">
        <v>8.02</v>
      </c>
      <c r="H1383" s="20">
        <v>0</v>
      </c>
      <c r="I1383" s="20">
        <v>0</v>
      </c>
      <c r="J1383" s="16">
        <f>OR(F1383&lt;&gt;0,G1383&lt;&gt;0,H1383&lt;&gt;0,I1383&lt;&gt;0)*(F1383 + (F1383 = 0))*(G1383 + (G1383 = 0))*(H1383 + (H1383 = 0))*(I1383 + (I1383 = 0))</f>
        <v>8.02</v>
      </c>
      <c r="K1383" s="9"/>
      <c r="L1383" s="9"/>
      <c r="M1383" s="9"/>
    </row>
    <row r="1384" spans="1:13">
      <c r="A1384" s="9"/>
      <c r="B1384" s="9"/>
      <c r="C1384" s="10" t="s">
        <v>27</v>
      </c>
      <c r="D1384" s="30"/>
      <c r="E1384" s="10" t="s">
        <v>1095</v>
      </c>
      <c r="F1384" s="19">
        <v>1</v>
      </c>
      <c r="G1384" s="20">
        <v>2.58</v>
      </c>
      <c r="H1384" s="20">
        <v>0</v>
      </c>
      <c r="I1384" s="20">
        <v>0</v>
      </c>
      <c r="J1384" s="16">
        <f>OR(F1384&lt;&gt;0,G1384&lt;&gt;0,H1384&lt;&gt;0,I1384&lt;&gt;0)*(F1384 + (F1384 = 0))*(G1384 + (G1384 = 0))*(H1384 + (H1384 = 0))*(I1384 + (I1384 = 0))</f>
        <v>2.58</v>
      </c>
      <c r="K1384" s="9"/>
      <c r="L1384" s="9"/>
      <c r="M1384" s="9"/>
    </row>
    <row r="1385" spans="1:13">
      <c r="A1385" s="9"/>
      <c r="B1385" s="9"/>
      <c r="C1385" s="9"/>
      <c r="D1385" s="30"/>
      <c r="E1385" s="9"/>
      <c r="F1385" s="9"/>
      <c r="G1385" s="9"/>
      <c r="H1385" s="9"/>
      <c r="I1385" s="9"/>
      <c r="J1385" s="21" t="s">
        <v>1171</v>
      </c>
      <c r="K1385" s="22">
        <f>SUM(J1376:J1384)</f>
        <v>91.879000000000005</v>
      </c>
      <c r="L1385" s="23">
        <v>0</v>
      </c>
      <c r="M1385" s="24">
        <f>ROUND(K1385*L1385,2)</f>
        <v>0</v>
      </c>
    </row>
    <row r="1386" spans="1:13" ht="0.95" customHeight="1">
      <c r="A1386" s="25"/>
      <c r="B1386" s="25"/>
      <c r="C1386" s="25"/>
      <c r="D1386" s="31"/>
      <c r="E1386" s="25"/>
      <c r="F1386" s="25"/>
      <c r="G1386" s="25"/>
      <c r="H1386" s="25"/>
      <c r="I1386" s="25"/>
      <c r="J1386" s="25"/>
      <c r="K1386" s="25"/>
      <c r="L1386" s="25"/>
      <c r="M1386" s="25"/>
    </row>
    <row r="1387" spans="1:13">
      <c r="A1387" s="9"/>
      <c r="B1387" s="9"/>
      <c r="C1387" s="9"/>
      <c r="D1387" s="30"/>
      <c r="E1387" s="9"/>
      <c r="F1387" s="9"/>
      <c r="G1387" s="9"/>
      <c r="H1387" s="9"/>
      <c r="I1387" s="9"/>
      <c r="J1387" s="21" t="s">
        <v>1172</v>
      </c>
      <c r="K1387" s="20">
        <v>1</v>
      </c>
      <c r="L1387" s="24">
        <f>M1352+M1374</f>
        <v>0</v>
      </c>
      <c r="M1387" s="24">
        <f>ROUND(K1387*L1387,2)</f>
        <v>0</v>
      </c>
    </row>
    <row r="1388" spans="1:13" ht="0.95" customHeight="1">
      <c r="A1388" s="25"/>
      <c r="B1388" s="25"/>
      <c r="C1388" s="25"/>
      <c r="D1388" s="31"/>
      <c r="E1388" s="25"/>
      <c r="F1388" s="25"/>
      <c r="G1388" s="25"/>
      <c r="H1388" s="25"/>
      <c r="I1388" s="25"/>
      <c r="J1388" s="25"/>
      <c r="K1388" s="25"/>
      <c r="L1388" s="25"/>
      <c r="M1388" s="25"/>
    </row>
    <row r="1389" spans="1:13">
      <c r="A1389" s="11" t="s">
        <v>1173</v>
      </c>
      <c r="B1389" s="11" t="s">
        <v>16</v>
      </c>
      <c r="C1389" s="11" t="s">
        <v>17</v>
      </c>
      <c r="D1389" s="29" t="s">
        <v>1174</v>
      </c>
      <c r="E1389" s="12"/>
      <c r="F1389" s="12"/>
      <c r="G1389" s="12"/>
      <c r="H1389" s="12"/>
      <c r="I1389" s="12"/>
      <c r="J1389" s="12"/>
      <c r="K1389" s="13">
        <f>K1398</f>
        <v>1</v>
      </c>
      <c r="L1389" s="14">
        <f>L1398</f>
        <v>0</v>
      </c>
      <c r="M1389" s="14">
        <f>M1398</f>
        <v>0</v>
      </c>
    </row>
    <row r="1390" spans="1:13" ht="33.75">
      <c r="A1390" s="15" t="s">
        <v>1175</v>
      </c>
      <c r="B1390" s="10" t="s">
        <v>23</v>
      </c>
      <c r="C1390" s="10" t="s">
        <v>94</v>
      </c>
      <c r="D1390" s="18" t="s">
        <v>1176</v>
      </c>
      <c r="E1390" s="9"/>
      <c r="F1390" s="9"/>
      <c r="G1390" s="9"/>
      <c r="H1390" s="9"/>
      <c r="I1390" s="9"/>
      <c r="J1390" s="9"/>
      <c r="K1390" s="16">
        <f>K1396</f>
        <v>164.96</v>
      </c>
      <c r="L1390" s="17">
        <f>L1396</f>
        <v>0</v>
      </c>
      <c r="M1390" s="17">
        <f>M1396</f>
        <v>0</v>
      </c>
    </row>
    <row r="1391" spans="1:13">
      <c r="A1391" s="9"/>
      <c r="B1391" s="9"/>
      <c r="C1391" s="9"/>
      <c r="D1391" s="18" t="s">
        <v>1177</v>
      </c>
      <c r="E1391" s="9"/>
      <c r="F1391" s="9"/>
      <c r="G1391" s="9"/>
      <c r="H1391" s="9"/>
      <c r="I1391" s="9"/>
      <c r="J1391" s="9"/>
      <c r="K1391" s="9"/>
      <c r="L1391" s="9"/>
      <c r="M1391" s="9"/>
    </row>
    <row r="1392" spans="1:13">
      <c r="A1392" s="9"/>
      <c r="B1392" s="9"/>
      <c r="C1392" s="10" t="s">
        <v>27</v>
      </c>
      <c r="D1392" s="30"/>
      <c r="E1392" s="10" t="s">
        <v>97</v>
      </c>
      <c r="F1392" s="19">
        <v>1</v>
      </c>
      <c r="G1392" s="20">
        <v>30.2</v>
      </c>
      <c r="H1392" s="20">
        <v>0</v>
      </c>
      <c r="I1392" s="20">
        <v>3.25</v>
      </c>
      <c r="J1392" s="16">
        <f>OR(F1392&lt;&gt;0,G1392&lt;&gt;0,H1392&lt;&gt;0,I1392&lt;&gt;0)*(F1392 + (F1392 = 0))*(G1392 + (G1392 = 0))*(H1392 + (H1392 = 0))*(I1392 + (I1392 = 0))</f>
        <v>98.15</v>
      </c>
      <c r="K1392" s="9"/>
      <c r="L1392" s="9"/>
      <c r="M1392" s="9"/>
    </row>
    <row r="1393" spans="1:13">
      <c r="A1393" s="9"/>
      <c r="B1393" s="9"/>
      <c r="C1393" s="10" t="s">
        <v>27</v>
      </c>
      <c r="D1393" s="30"/>
      <c r="E1393" s="10" t="s">
        <v>227</v>
      </c>
      <c r="F1393" s="19">
        <v>1</v>
      </c>
      <c r="G1393" s="20">
        <v>11.8</v>
      </c>
      <c r="H1393" s="20">
        <v>0</v>
      </c>
      <c r="I1393" s="20">
        <v>0.7</v>
      </c>
      <c r="J1393" s="16">
        <f>OR(F1393&lt;&gt;0,G1393&lt;&gt;0,H1393&lt;&gt;0,I1393&lt;&gt;0)*(F1393 + (F1393 = 0))*(G1393 + (G1393 = 0))*(H1393 + (H1393 = 0))*(I1393 + (I1393 = 0))</f>
        <v>8.26</v>
      </c>
      <c r="K1393" s="9"/>
      <c r="L1393" s="9"/>
      <c r="M1393" s="9"/>
    </row>
    <row r="1394" spans="1:13">
      <c r="A1394" s="9"/>
      <c r="B1394" s="9"/>
      <c r="C1394" s="10" t="s">
        <v>27</v>
      </c>
      <c r="D1394" s="30"/>
      <c r="E1394" s="10" t="s">
        <v>17</v>
      </c>
      <c r="F1394" s="19">
        <v>1</v>
      </c>
      <c r="G1394" s="20">
        <v>14.8</v>
      </c>
      <c r="H1394" s="20">
        <v>0</v>
      </c>
      <c r="I1394" s="20">
        <v>3.8</v>
      </c>
      <c r="J1394" s="16">
        <f>OR(F1394&lt;&gt;0,G1394&lt;&gt;0,H1394&lt;&gt;0,I1394&lt;&gt;0)*(F1394 + (F1394 = 0))*(G1394 + (G1394 = 0))*(H1394 + (H1394 = 0))*(I1394 + (I1394 = 0))</f>
        <v>56.24</v>
      </c>
      <c r="K1394" s="9"/>
      <c r="L1394" s="9"/>
      <c r="M1394" s="9"/>
    </row>
    <row r="1395" spans="1:13">
      <c r="A1395" s="9"/>
      <c r="B1395" s="9"/>
      <c r="C1395" s="10" t="s">
        <v>27</v>
      </c>
      <c r="D1395" s="30"/>
      <c r="E1395" s="10" t="s">
        <v>17</v>
      </c>
      <c r="F1395" s="19">
        <v>1</v>
      </c>
      <c r="G1395" s="20">
        <v>3.3</v>
      </c>
      <c r="H1395" s="20">
        <v>0</v>
      </c>
      <c r="I1395" s="20">
        <v>0.7</v>
      </c>
      <c r="J1395" s="16">
        <f>OR(F1395&lt;&gt;0,G1395&lt;&gt;0,H1395&lt;&gt;0,I1395&lt;&gt;0)*(F1395 + (F1395 = 0))*(G1395 + (G1395 = 0))*(H1395 + (H1395 = 0))*(I1395 + (I1395 = 0))</f>
        <v>2.31</v>
      </c>
      <c r="K1395" s="9"/>
      <c r="L1395" s="9"/>
      <c r="M1395" s="9"/>
    </row>
    <row r="1396" spans="1:13">
      <c r="A1396" s="9"/>
      <c r="B1396" s="9"/>
      <c r="C1396" s="9"/>
      <c r="D1396" s="30"/>
      <c r="E1396" s="9"/>
      <c r="F1396" s="9"/>
      <c r="G1396" s="9"/>
      <c r="H1396" s="9"/>
      <c r="I1396" s="9"/>
      <c r="J1396" s="21" t="s">
        <v>1178</v>
      </c>
      <c r="K1396" s="22">
        <f>SUM(J1392:J1395)</f>
        <v>164.96</v>
      </c>
      <c r="L1396" s="23">
        <v>0</v>
      </c>
      <c r="M1396" s="24">
        <f>ROUND(K1396*L1396,2)</f>
        <v>0</v>
      </c>
    </row>
    <row r="1397" spans="1:13" ht="0.95" customHeight="1">
      <c r="A1397" s="25"/>
      <c r="B1397" s="25"/>
      <c r="C1397" s="25"/>
      <c r="D1397" s="31"/>
      <c r="E1397" s="25"/>
      <c r="F1397" s="25"/>
      <c r="G1397" s="25"/>
      <c r="H1397" s="25"/>
      <c r="I1397" s="25"/>
      <c r="J1397" s="25"/>
      <c r="K1397" s="25"/>
      <c r="L1397" s="25"/>
      <c r="M1397" s="25"/>
    </row>
    <row r="1398" spans="1:13">
      <c r="A1398" s="9"/>
      <c r="B1398" s="9"/>
      <c r="C1398" s="9"/>
      <c r="D1398" s="30"/>
      <c r="E1398" s="9"/>
      <c r="F1398" s="9"/>
      <c r="G1398" s="9"/>
      <c r="H1398" s="9"/>
      <c r="I1398" s="9"/>
      <c r="J1398" s="21" t="s">
        <v>1179</v>
      </c>
      <c r="K1398" s="20">
        <v>1</v>
      </c>
      <c r="L1398" s="24">
        <f>M1390</f>
        <v>0</v>
      </c>
      <c r="M1398" s="24">
        <f>ROUND(K1398*L1398,2)</f>
        <v>0</v>
      </c>
    </row>
    <row r="1399" spans="1:13" ht="0.95" customHeight="1">
      <c r="A1399" s="25"/>
      <c r="B1399" s="25"/>
      <c r="C1399" s="25"/>
      <c r="D1399" s="31"/>
      <c r="E1399" s="25"/>
      <c r="F1399" s="25"/>
      <c r="G1399" s="25"/>
      <c r="H1399" s="25"/>
      <c r="I1399" s="25"/>
      <c r="J1399" s="25"/>
      <c r="K1399" s="25"/>
      <c r="L1399" s="25"/>
      <c r="M1399" s="25"/>
    </row>
    <row r="1400" spans="1:13">
      <c r="A1400" s="11" t="s">
        <v>1180</v>
      </c>
      <c r="B1400" s="11" t="s">
        <v>16</v>
      </c>
      <c r="C1400" s="11" t="s">
        <v>17</v>
      </c>
      <c r="D1400" s="29" t="s">
        <v>1181</v>
      </c>
      <c r="E1400" s="12"/>
      <c r="F1400" s="12"/>
      <c r="G1400" s="12"/>
      <c r="H1400" s="12"/>
      <c r="I1400" s="12"/>
      <c r="J1400" s="12"/>
      <c r="K1400" s="13">
        <f>K1406</f>
        <v>1</v>
      </c>
      <c r="L1400" s="14">
        <f>L1406</f>
        <v>0</v>
      </c>
      <c r="M1400" s="14">
        <f>M1406</f>
        <v>0</v>
      </c>
    </row>
    <row r="1401" spans="1:13" ht="22.5">
      <c r="A1401" s="15" t="s">
        <v>1182</v>
      </c>
      <c r="B1401" s="10" t="s">
        <v>23</v>
      </c>
      <c r="C1401" s="10" t="s">
        <v>66</v>
      </c>
      <c r="D1401" s="18" t="s">
        <v>1183</v>
      </c>
      <c r="E1401" s="9"/>
      <c r="F1401" s="9"/>
      <c r="G1401" s="9"/>
      <c r="H1401" s="9"/>
      <c r="I1401" s="9"/>
      <c r="J1401" s="9"/>
      <c r="K1401" s="16">
        <f>K1404</f>
        <v>6.5</v>
      </c>
      <c r="L1401" s="17">
        <f>L1404</f>
        <v>0</v>
      </c>
      <c r="M1401" s="17">
        <f>M1404</f>
        <v>0</v>
      </c>
    </row>
    <row r="1402" spans="1:13">
      <c r="A1402" s="9"/>
      <c r="B1402" s="9"/>
      <c r="C1402" s="9"/>
      <c r="D1402" s="18" t="s">
        <v>1184</v>
      </c>
      <c r="E1402" s="9"/>
      <c r="F1402" s="9"/>
      <c r="G1402" s="9"/>
      <c r="H1402" s="9"/>
      <c r="I1402" s="9"/>
      <c r="J1402" s="9"/>
      <c r="K1402" s="9"/>
      <c r="L1402" s="9"/>
      <c r="M1402" s="9"/>
    </row>
    <row r="1403" spans="1:13">
      <c r="A1403" s="9"/>
      <c r="B1403" s="9"/>
      <c r="C1403" s="10" t="s">
        <v>27</v>
      </c>
      <c r="D1403" s="30"/>
      <c r="E1403" s="10" t="s">
        <v>1185</v>
      </c>
      <c r="F1403" s="19">
        <v>1</v>
      </c>
      <c r="G1403" s="23">
        <v>6.5</v>
      </c>
      <c r="H1403" s="23">
        <v>0</v>
      </c>
      <c r="I1403" s="23">
        <v>0</v>
      </c>
      <c r="J1403" s="17">
        <f>OR(F1403&lt;&gt;0,G1403&lt;&gt;0,H1403&lt;&gt;0,I1403&lt;&gt;0)*(F1403 + (F1403 = 0))*(G1403 + (G1403 = 0))*(H1403 + (H1403 = 0))*(I1403 + (I1403 = 0))</f>
        <v>6.5</v>
      </c>
      <c r="K1403" s="9"/>
      <c r="L1403" s="9"/>
      <c r="M1403" s="9"/>
    </row>
    <row r="1404" spans="1:13">
      <c r="A1404" s="9"/>
      <c r="B1404" s="9"/>
      <c r="C1404" s="9"/>
      <c r="D1404" s="30"/>
      <c r="E1404" s="9"/>
      <c r="F1404" s="9"/>
      <c r="G1404" s="9"/>
      <c r="H1404" s="9"/>
      <c r="I1404" s="9"/>
      <c r="J1404" s="21" t="s">
        <v>1186</v>
      </c>
      <c r="K1404" s="22">
        <f>J1403</f>
        <v>6.5</v>
      </c>
      <c r="L1404" s="23">
        <v>0</v>
      </c>
      <c r="M1404" s="24">
        <f>ROUND(K1404*L1404,2)</f>
        <v>0</v>
      </c>
    </row>
    <row r="1405" spans="1:13" ht="0.95" customHeight="1">
      <c r="A1405" s="25"/>
      <c r="B1405" s="25"/>
      <c r="C1405" s="25"/>
      <c r="D1405" s="31"/>
      <c r="E1405" s="25"/>
      <c r="F1405" s="25"/>
      <c r="G1405" s="25"/>
      <c r="H1405" s="25"/>
      <c r="I1405" s="25"/>
      <c r="J1405" s="25"/>
      <c r="K1405" s="25"/>
      <c r="L1405" s="25"/>
      <c r="M1405" s="25"/>
    </row>
    <row r="1406" spans="1:13">
      <c r="A1406" s="9"/>
      <c r="B1406" s="9"/>
      <c r="C1406" s="9"/>
      <c r="D1406" s="30"/>
      <c r="E1406" s="9"/>
      <c r="F1406" s="9"/>
      <c r="G1406" s="9"/>
      <c r="H1406" s="9"/>
      <c r="I1406" s="9"/>
      <c r="J1406" s="21" t="s">
        <v>1187</v>
      </c>
      <c r="K1406" s="20">
        <v>1</v>
      </c>
      <c r="L1406" s="24">
        <f>M1401</f>
        <v>0</v>
      </c>
      <c r="M1406" s="24">
        <f>ROUND(K1406*L1406,2)</f>
        <v>0</v>
      </c>
    </row>
    <row r="1407" spans="1:13" ht="0.95" customHeight="1">
      <c r="A1407" s="25"/>
      <c r="B1407" s="25"/>
      <c r="C1407" s="25"/>
      <c r="D1407" s="31"/>
      <c r="E1407" s="25"/>
      <c r="F1407" s="25"/>
      <c r="G1407" s="25"/>
      <c r="H1407" s="25"/>
      <c r="I1407" s="25"/>
      <c r="J1407" s="25"/>
      <c r="K1407" s="25"/>
      <c r="L1407" s="25"/>
      <c r="M1407" s="25"/>
    </row>
    <row r="1408" spans="1:13">
      <c r="A1408" s="9"/>
      <c r="B1408" s="9"/>
      <c r="C1408" s="9"/>
      <c r="D1408" s="30"/>
      <c r="E1408" s="9"/>
      <c r="F1408" s="9"/>
      <c r="G1408" s="9"/>
      <c r="H1408" s="9"/>
      <c r="I1408" s="9"/>
      <c r="J1408" s="21" t="s">
        <v>1188</v>
      </c>
      <c r="K1408" s="26">
        <v>1</v>
      </c>
      <c r="L1408" s="24">
        <f>M1200+M1310+M1350+M1389+M1400</f>
        <v>0</v>
      </c>
      <c r="M1408" s="24">
        <f>ROUND(K1408*L1408,2)</f>
        <v>0</v>
      </c>
    </row>
    <row r="1409" spans="1:13" ht="0.95" customHeight="1">
      <c r="A1409" s="25"/>
      <c r="B1409" s="25"/>
      <c r="C1409" s="25"/>
      <c r="D1409" s="31"/>
      <c r="E1409" s="25"/>
      <c r="F1409" s="25"/>
      <c r="G1409" s="25"/>
      <c r="H1409" s="25"/>
      <c r="I1409" s="25"/>
      <c r="J1409" s="25"/>
      <c r="K1409" s="25"/>
      <c r="L1409" s="25"/>
      <c r="M1409" s="25"/>
    </row>
    <row r="1410" spans="1:13">
      <c r="A1410" s="5" t="s">
        <v>1189</v>
      </c>
      <c r="B1410" s="5" t="s">
        <v>16</v>
      </c>
      <c r="C1410" s="5" t="s">
        <v>17</v>
      </c>
      <c r="D1410" s="28" t="s">
        <v>1190</v>
      </c>
      <c r="E1410" s="6"/>
      <c r="F1410" s="6"/>
      <c r="G1410" s="6"/>
      <c r="H1410" s="6"/>
      <c r="I1410" s="6"/>
      <c r="J1410" s="6"/>
      <c r="K1410" s="7">
        <f>K1459</f>
        <v>1</v>
      </c>
      <c r="L1410" s="8">
        <f>L1459</f>
        <v>0</v>
      </c>
      <c r="M1410" s="8">
        <f>M1459</f>
        <v>0</v>
      </c>
    </row>
    <row r="1411" spans="1:13">
      <c r="A1411" s="11" t="s">
        <v>1191</v>
      </c>
      <c r="B1411" s="11" t="s">
        <v>16</v>
      </c>
      <c r="C1411" s="11" t="s">
        <v>17</v>
      </c>
      <c r="D1411" s="29" t="s">
        <v>1192</v>
      </c>
      <c r="E1411" s="12"/>
      <c r="F1411" s="12"/>
      <c r="G1411" s="12"/>
      <c r="H1411" s="12"/>
      <c r="I1411" s="12"/>
      <c r="J1411" s="12"/>
      <c r="K1411" s="13">
        <f>K1419</f>
        <v>1</v>
      </c>
      <c r="L1411" s="14">
        <f>L1419</f>
        <v>0</v>
      </c>
      <c r="M1411" s="14">
        <f>M1419</f>
        <v>0</v>
      </c>
    </row>
    <row r="1412" spans="1:13">
      <c r="A1412" s="9"/>
      <c r="B1412" s="9"/>
      <c r="C1412" s="9"/>
      <c r="D1412" s="18" t="s">
        <v>1192</v>
      </c>
      <c r="E1412" s="9"/>
      <c r="F1412" s="9"/>
      <c r="G1412" s="9"/>
      <c r="H1412" s="9"/>
      <c r="I1412" s="9"/>
      <c r="J1412" s="9"/>
      <c r="K1412" s="9"/>
      <c r="L1412" s="9"/>
      <c r="M1412" s="9"/>
    </row>
    <row r="1413" spans="1:13">
      <c r="A1413" s="15" t="s">
        <v>1193</v>
      </c>
      <c r="B1413" s="10" t="s">
        <v>23</v>
      </c>
      <c r="C1413" s="10" t="s">
        <v>94</v>
      </c>
      <c r="D1413" s="18" t="s">
        <v>1194</v>
      </c>
      <c r="E1413" s="9"/>
      <c r="F1413" s="9"/>
      <c r="G1413" s="9"/>
      <c r="H1413" s="9"/>
      <c r="I1413" s="9"/>
      <c r="J1413" s="9"/>
      <c r="K1413" s="16">
        <f>K1417</f>
        <v>8.81</v>
      </c>
      <c r="L1413" s="17">
        <f>L1417</f>
        <v>0</v>
      </c>
      <c r="M1413" s="17">
        <f>M1417</f>
        <v>0</v>
      </c>
    </row>
    <row r="1414" spans="1:13">
      <c r="A1414" s="9"/>
      <c r="B1414" s="9"/>
      <c r="C1414" s="9"/>
      <c r="D1414" s="18" t="s">
        <v>1195</v>
      </c>
      <c r="E1414" s="9"/>
      <c r="F1414" s="9"/>
      <c r="G1414" s="9"/>
      <c r="H1414" s="9"/>
      <c r="I1414" s="9"/>
      <c r="J1414" s="9"/>
      <c r="K1414" s="9"/>
      <c r="L1414" s="9"/>
      <c r="M1414" s="9"/>
    </row>
    <row r="1415" spans="1:13">
      <c r="A1415" s="9"/>
      <c r="B1415" s="9"/>
      <c r="C1415" s="10" t="s">
        <v>27</v>
      </c>
      <c r="D1415" s="30"/>
      <c r="E1415" s="10" t="s">
        <v>1196</v>
      </c>
      <c r="F1415" s="19">
        <v>1</v>
      </c>
      <c r="G1415" s="20">
        <v>4.42</v>
      </c>
      <c r="H1415" s="20">
        <v>0</v>
      </c>
      <c r="I1415" s="20">
        <v>0</v>
      </c>
      <c r="J1415" s="16">
        <f>OR(F1415&lt;&gt;0,G1415&lt;&gt;0,H1415&lt;&gt;0,I1415&lt;&gt;0)*(F1415 + (F1415 = 0))*(G1415 + (G1415 = 0))*(H1415 + (H1415 = 0))*(I1415 + (I1415 = 0))</f>
        <v>4.42</v>
      </c>
      <c r="K1415" s="9"/>
      <c r="L1415" s="9"/>
      <c r="M1415" s="9"/>
    </row>
    <row r="1416" spans="1:13">
      <c r="A1416" s="9"/>
      <c r="B1416" s="9"/>
      <c r="C1416" s="10" t="s">
        <v>27</v>
      </c>
      <c r="D1416" s="30"/>
      <c r="E1416" s="10" t="s">
        <v>17</v>
      </c>
      <c r="F1416" s="19">
        <v>1</v>
      </c>
      <c r="G1416" s="20">
        <v>4.3899999999999997</v>
      </c>
      <c r="H1416" s="20">
        <v>0</v>
      </c>
      <c r="I1416" s="20">
        <v>0</v>
      </c>
      <c r="J1416" s="16">
        <f>OR(F1416&lt;&gt;0,G1416&lt;&gt;0,H1416&lt;&gt;0,I1416&lt;&gt;0)*(F1416 + (F1416 = 0))*(G1416 + (G1416 = 0))*(H1416 + (H1416 = 0))*(I1416 + (I1416 = 0))</f>
        <v>4.3899999999999997</v>
      </c>
      <c r="K1416" s="9"/>
      <c r="L1416" s="9"/>
      <c r="M1416" s="9"/>
    </row>
    <row r="1417" spans="1:13">
      <c r="A1417" s="9"/>
      <c r="B1417" s="9"/>
      <c r="C1417" s="9"/>
      <c r="D1417" s="30"/>
      <c r="E1417" s="9"/>
      <c r="F1417" s="9"/>
      <c r="G1417" s="9"/>
      <c r="H1417" s="9"/>
      <c r="I1417" s="9"/>
      <c r="J1417" s="21" t="s">
        <v>1197</v>
      </c>
      <c r="K1417" s="22">
        <f>SUM(J1415:J1416)</f>
        <v>8.81</v>
      </c>
      <c r="L1417" s="23">
        <v>0</v>
      </c>
      <c r="M1417" s="24">
        <f>ROUND(K1417*L1417,2)</f>
        <v>0</v>
      </c>
    </row>
    <row r="1418" spans="1:13" ht="0.95" customHeight="1">
      <c r="A1418" s="25"/>
      <c r="B1418" s="25"/>
      <c r="C1418" s="25"/>
      <c r="D1418" s="31"/>
      <c r="E1418" s="25"/>
      <c r="F1418" s="25"/>
      <c r="G1418" s="25"/>
      <c r="H1418" s="25"/>
      <c r="I1418" s="25"/>
      <c r="J1418" s="25"/>
      <c r="K1418" s="25"/>
      <c r="L1418" s="25"/>
      <c r="M1418" s="25"/>
    </row>
    <row r="1419" spans="1:13">
      <c r="A1419" s="9"/>
      <c r="B1419" s="9"/>
      <c r="C1419" s="9"/>
      <c r="D1419" s="30"/>
      <c r="E1419" s="9"/>
      <c r="F1419" s="9"/>
      <c r="G1419" s="9"/>
      <c r="H1419" s="9"/>
      <c r="I1419" s="9"/>
      <c r="J1419" s="21" t="s">
        <v>1198</v>
      </c>
      <c r="K1419" s="20">
        <v>1</v>
      </c>
      <c r="L1419" s="24">
        <f>M1413</f>
        <v>0</v>
      </c>
      <c r="M1419" s="24">
        <f>ROUND(K1419*L1419,2)</f>
        <v>0</v>
      </c>
    </row>
    <row r="1420" spans="1:13" ht="0.95" customHeight="1">
      <c r="A1420" s="25"/>
      <c r="B1420" s="25"/>
      <c r="C1420" s="25"/>
      <c r="D1420" s="31"/>
      <c r="E1420" s="25"/>
      <c r="F1420" s="25"/>
      <c r="G1420" s="25"/>
      <c r="H1420" s="25"/>
      <c r="I1420" s="25"/>
      <c r="J1420" s="25"/>
      <c r="K1420" s="25"/>
      <c r="L1420" s="25"/>
      <c r="M1420" s="25"/>
    </row>
    <row r="1421" spans="1:13">
      <c r="A1421" s="11" t="s">
        <v>1199</v>
      </c>
      <c r="B1421" s="11" t="s">
        <v>16</v>
      </c>
      <c r="C1421" s="11" t="s">
        <v>17</v>
      </c>
      <c r="D1421" s="29" t="s">
        <v>1200</v>
      </c>
      <c r="E1421" s="12"/>
      <c r="F1421" s="12"/>
      <c r="G1421" s="12"/>
      <c r="H1421" s="12"/>
      <c r="I1421" s="12"/>
      <c r="J1421" s="12"/>
      <c r="K1421" s="13">
        <f>K1446</f>
        <v>1</v>
      </c>
      <c r="L1421" s="14">
        <f>L1446</f>
        <v>0</v>
      </c>
      <c r="M1421" s="14">
        <f>M1446</f>
        <v>0</v>
      </c>
    </row>
    <row r="1422" spans="1:13" ht="33.75">
      <c r="A1422" s="15" t="s">
        <v>1201</v>
      </c>
      <c r="B1422" s="10" t="s">
        <v>23</v>
      </c>
      <c r="C1422" s="10" t="s">
        <v>94</v>
      </c>
      <c r="D1422" s="18" t="s">
        <v>1202</v>
      </c>
      <c r="E1422" s="9"/>
      <c r="F1422" s="9"/>
      <c r="G1422" s="9"/>
      <c r="H1422" s="9"/>
      <c r="I1422" s="9"/>
      <c r="J1422" s="9"/>
      <c r="K1422" s="16">
        <f>K1432</f>
        <v>110.249</v>
      </c>
      <c r="L1422" s="17">
        <f>L1432</f>
        <v>0</v>
      </c>
      <c r="M1422" s="17">
        <f>M1432</f>
        <v>0</v>
      </c>
    </row>
    <row r="1423" spans="1:13">
      <c r="A1423" s="9"/>
      <c r="B1423" s="9"/>
      <c r="C1423" s="9"/>
      <c r="D1423" s="18" t="s">
        <v>1203</v>
      </c>
      <c r="E1423" s="9"/>
      <c r="F1423" s="9"/>
      <c r="G1423" s="9"/>
      <c r="H1423" s="9"/>
      <c r="I1423" s="9"/>
      <c r="J1423" s="9"/>
      <c r="K1423" s="9"/>
      <c r="L1423" s="9"/>
      <c r="M1423" s="9"/>
    </row>
    <row r="1424" spans="1:13">
      <c r="A1424" s="9"/>
      <c r="B1424" s="9"/>
      <c r="C1424" s="10" t="s">
        <v>27</v>
      </c>
      <c r="D1424" s="30"/>
      <c r="E1424" s="10" t="s">
        <v>1190</v>
      </c>
      <c r="F1424" s="19">
        <v>1</v>
      </c>
      <c r="G1424" s="20">
        <v>13.2</v>
      </c>
      <c r="H1424" s="20">
        <v>7.35</v>
      </c>
      <c r="I1424" s="20">
        <v>0</v>
      </c>
      <c r="J1424" s="16">
        <f>OR(F1424&lt;&gt;0,G1424&lt;&gt;0,H1424&lt;&gt;0,I1424&lt;&gt;0)*(F1424 + (F1424 = 0))*(G1424 + (G1424 = 0))*(H1424 + (H1424 = 0))*(I1424 + (I1424 = 0))</f>
        <v>97.02</v>
      </c>
      <c r="K1424" s="9"/>
      <c r="L1424" s="9"/>
      <c r="M1424" s="9"/>
    </row>
    <row r="1425" spans="1:13">
      <c r="A1425" s="9"/>
      <c r="B1425" s="9"/>
      <c r="C1425" s="10" t="s">
        <v>27</v>
      </c>
      <c r="D1425" s="30"/>
      <c r="E1425" s="10" t="s">
        <v>17</v>
      </c>
      <c r="F1425" s="19">
        <v>1</v>
      </c>
      <c r="G1425" s="20">
        <v>5.65</v>
      </c>
      <c r="H1425" s="20">
        <v>6.55</v>
      </c>
      <c r="I1425" s="20">
        <v>0</v>
      </c>
      <c r="J1425" s="16">
        <f>OR(F1425&lt;&gt;0,G1425&lt;&gt;0,H1425&lt;&gt;0,I1425&lt;&gt;0)*(F1425 + (F1425 = 0))*(G1425 + (G1425 = 0))*(H1425 + (H1425 = 0))*(I1425 + (I1425 = 0))</f>
        <v>37.008000000000003</v>
      </c>
      <c r="K1425" s="9"/>
      <c r="L1425" s="9"/>
      <c r="M1425" s="9"/>
    </row>
    <row r="1426" spans="1:13">
      <c r="A1426" s="9"/>
      <c r="B1426" s="9"/>
      <c r="C1426" s="10" t="s">
        <v>27</v>
      </c>
      <c r="D1426" s="30"/>
      <c r="E1426" s="10" t="s">
        <v>1204</v>
      </c>
      <c r="F1426" s="19">
        <v>-1</v>
      </c>
      <c r="G1426" s="20">
        <v>2.46</v>
      </c>
      <c r="H1426" s="20">
        <v>2.8</v>
      </c>
      <c r="I1426" s="20">
        <v>0</v>
      </c>
      <c r="J1426" s="16">
        <f>OR(F1426&lt;&gt;0,G1426&lt;&gt;0,H1426&lt;&gt;0,I1426&lt;&gt;0)*(F1426 + (F1426 = 0))*(G1426 + (G1426 = 0))*(H1426 + (H1426 = 0))*(I1426 + (I1426 = 0))</f>
        <v>-6.8879999999999999</v>
      </c>
      <c r="K1426" s="9"/>
      <c r="L1426" s="9"/>
      <c r="M1426" s="9"/>
    </row>
    <row r="1427" spans="1:13">
      <c r="A1427" s="9"/>
      <c r="B1427" s="9"/>
      <c r="C1427" s="10" t="s">
        <v>27</v>
      </c>
      <c r="D1427" s="30"/>
      <c r="E1427" s="10" t="s">
        <v>17</v>
      </c>
      <c r="F1427" s="19">
        <v>-1</v>
      </c>
      <c r="G1427" s="20">
        <v>2.46</v>
      </c>
      <c r="H1427" s="20">
        <v>2.25</v>
      </c>
      <c r="I1427" s="20">
        <v>0</v>
      </c>
      <c r="J1427" s="16">
        <f>OR(F1427&lt;&gt;0,G1427&lt;&gt;0,H1427&lt;&gt;0,I1427&lt;&gt;0)*(F1427 + (F1427 = 0))*(G1427 + (G1427 = 0))*(H1427 + (H1427 = 0))*(I1427 + (I1427 = 0))</f>
        <v>-5.5350000000000001</v>
      </c>
      <c r="K1427" s="9"/>
      <c r="L1427" s="9"/>
      <c r="M1427" s="9"/>
    </row>
    <row r="1428" spans="1:13">
      <c r="A1428" s="9"/>
      <c r="B1428" s="9"/>
      <c r="C1428" s="10" t="s">
        <v>27</v>
      </c>
      <c r="D1428" s="30"/>
      <c r="E1428" s="10" t="s">
        <v>17</v>
      </c>
      <c r="F1428" s="19">
        <v>-1</v>
      </c>
      <c r="G1428" s="20">
        <v>0.51</v>
      </c>
      <c r="H1428" s="20">
        <v>5.63</v>
      </c>
      <c r="I1428" s="20">
        <v>0</v>
      </c>
      <c r="J1428" s="16">
        <f>OR(F1428&lt;&gt;0,G1428&lt;&gt;0,H1428&lt;&gt;0,I1428&lt;&gt;0)*(F1428 + (F1428 = 0))*(G1428 + (G1428 = 0))*(H1428 + (H1428 = 0))*(I1428 + (I1428 = 0))</f>
        <v>-2.871</v>
      </c>
      <c r="K1428" s="9"/>
      <c r="L1428" s="9"/>
      <c r="M1428" s="9"/>
    </row>
    <row r="1429" spans="1:13">
      <c r="A1429" s="9"/>
      <c r="B1429" s="9"/>
      <c r="C1429" s="10" t="s">
        <v>27</v>
      </c>
      <c r="D1429" s="30"/>
      <c r="E1429" s="10" t="s">
        <v>17</v>
      </c>
      <c r="F1429" s="19">
        <v>-1</v>
      </c>
      <c r="G1429" s="20">
        <v>1.28</v>
      </c>
      <c r="H1429" s="20">
        <v>6.43</v>
      </c>
      <c r="I1429" s="20">
        <v>0</v>
      </c>
      <c r="J1429" s="16">
        <f>OR(F1429&lt;&gt;0,G1429&lt;&gt;0,H1429&lt;&gt;0,I1429&lt;&gt;0)*(F1429 + (F1429 = 0))*(G1429 + (G1429 = 0))*(H1429 + (H1429 = 0))*(I1429 + (I1429 = 0))</f>
        <v>-8.23</v>
      </c>
      <c r="K1429" s="9"/>
      <c r="L1429" s="9"/>
      <c r="M1429" s="9"/>
    </row>
    <row r="1430" spans="1:13">
      <c r="A1430" s="9"/>
      <c r="B1430" s="9"/>
      <c r="C1430" s="10" t="s">
        <v>27</v>
      </c>
      <c r="D1430" s="30"/>
      <c r="E1430" s="10" t="s">
        <v>17</v>
      </c>
      <c r="F1430" s="19">
        <v>-1</v>
      </c>
      <c r="G1430" s="20">
        <v>0.65</v>
      </c>
      <c r="H1430" s="20">
        <v>6.43</v>
      </c>
      <c r="I1430" s="20">
        <v>0</v>
      </c>
      <c r="J1430" s="16">
        <f>OR(F1430&lt;&gt;0,G1430&lt;&gt;0,H1430&lt;&gt;0,I1430&lt;&gt;0)*(F1430 + (F1430 = 0))*(G1430 + (G1430 = 0))*(H1430 + (H1430 = 0))*(I1430 + (I1430 = 0))</f>
        <v>-4.18</v>
      </c>
      <c r="K1430" s="9"/>
      <c r="L1430" s="9"/>
      <c r="M1430" s="9"/>
    </row>
    <row r="1431" spans="1:13">
      <c r="A1431" s="9"/>
      <c r="B1431" s="9"/>
      <c r="C1431" s="10" t="s">
        <v>27</v>
      </c>
      <c r="D1431" s="30"/>
      <c r="E1431" s="10" t="s">
        <v>17</v>
      </c>
      <c r="F1431" s="19">
        <v>1</v>
      </c>
      <c r="G1431" s="20">
        <v>3.14</v>
      </c>
      <c r="H1431" s="20">
        <v>1.25</v>
      </c>
      <c r="I1431" s="20">
        <v>0</v>
      </c>
      <c r="J1431" s="16">
        <f>OR(F1431&lt;&gt;0,G1431&lt;&gt;0,H1431&lt;&gt;0,I1431&lt;&gt;0)*(F1431 + (F1431 = 0))*(G1431 + (G1431 = 0))*(H1431 + (H1431 = 0))*(I1431 + (I1431 = 0))</f>
        <v>3.9249999999999998</v>
      </c>
      <c r="K1431" s="9"/>
      <c r="L1431" s="9"/>
      <c r="M1431" s="9"/>
    </row>
    <row r="1432" spans="1:13">
      <c r="A1432" s="9"/>
      <c r="B1432" s="9"/>
      <c r="C1432" s="9"/>
      <c r="D1432" s="30"/>
      <c r="E1432" s="9"/>
      <c r="F1432" s="9"/>
      <c r="G1432" s="9"/>
      <c r="H1432" s="9"/>
      <c r="I1432" s="9"/>
      <c r="J1432" s="21" t="s">
        <v>1205</v>
      </c>
      <c r="K1432" s="22">
        <f>SUM(J1424:J1431)</f>
        <v>110.249</v>
      </c>
      <c r="L1432" s="23">
        <v>0</v>
      </c>
      <c r="M1432" s="24">
        <f>ROUND(K1432*L1432,2)</f>
        <v>0</v>
      </c>
    </row>
    <row r="1433" spans="1:13" ht="0.95" customHeight="1">
      <c r="A1433" s="25"/>
      <c r="B1433" s="25"/>
      <c r="C1433" s="25"/>
      <c r="D1433" s="31"/>
      <c r="E1433" s="25"/>
      <c r="F1433" s="25"/>
      <c r="G1433" s="25"/>
      <c r="H1433" s="25"/>
      <c r="I1433" s="25"/>
      <c r="J1433" s="25"/>
      <c r="K1433" s="25"/>
      <c r="L1433" s="25"/>
      <c r="M1433" s="25"/>
    </row>
    <row r="1434" spans="1:13">
      <c r="A1434" s="15" t="s">
        <v>1206</v>
      </c>
      <c r="B1434" s="10" t="s">
        <v>23</v>
      </c>
      <c r="C1434" s="10" t="s">
        <v>94</v>
      </c>
      <c r="D1434" s="18" t="s">
        <v>1207</v>
      </c>
      <c r="E1434" s="9"/>
      <c r="F1434" s="9"/>
      <c r="G1434" s="9"/>
      <c r="H1434" s="9"/>
      <c r="I1434" s="9"/>
      <c r="J1434" s="9"/>
      <c r="K1434" s="16">
        <f>K1444</f>
        <v>110.249</v>
      </c>
      <c r="L1434" s="17">
        <f>L1444</f>
        <v>0</v>
      </c>
      <c r="M1434" s="17">
        <f>M1444</f>
        <v>0</v>
      </c>
    </row>
    <row r="1435" spans="1:13">
      <c r="A1435" s="9"/>
      <c r="B1435" s="9"/>
      <c r="C1435" s="9"/>
      <c r="D1435" s="18" t="s">
        <v>1208</v>
      </c>
      <c r="E1435" s="9"/>
      <c r="F1435" s="9"/>
      <c r="G1435" s="9"/>
      <c r="H1435" s="9"/>
      <c r="I1435" s="9"/>
      <c r="J1435" s="9"/>
      <c r="K1435" s="9"/>
      <c r="L1435" s="9"/>
      <c r="M1435" s="9"/>
    </row>
    <row r="1436" spans="1:13">
      <c r="A1436" s="9"/>
      <c r="B1436" s="9"/>
      <c r="C1436" s="10" t="s">
        <v>27</v>
      </c>
      <c r="D1436" s="30"/>
      <c r="E1436" s="10" t="s">
        <v>1190</v>
      </c>
      <c r="F1436" s="19">
        <v>1</v>
      </c>
      <c r="G1436" s="20">
        <v>13.2</v>
      </c>
      <c r="H1436" s="20">
        <v>7.35</v>
      </c>
      <c r="I1436" s="20">
        <v>0</v>
      </c>
      <c r="J1436" s="16">
        <f>OR(F1436&lt;&gt;0,G1436&lt;&gt;0,H1436&lt;&gt;0,I1436&lt;&gt;0)*(F1436 + (F1436 = 0))*(G1436 + (G1436 = 0))*(H1436 + (H1436 = 0))*(I1436 + (I1436 = 0))</f>
        <v>97.02</v>
      </c>
      <c r="K1436" s="9"/>
      <c r="L1436" s="9"/>
      <c r="M1436" s="9"/>
    </row>
    <row r="1437" spans="1:13">
      <c r="A1437" s="9"/>
      <c r="B1437" s="9"/>
      <c r="C1437" s="10" t="s">
        <v>27</v>
      </c>
      <c r="D1437" s="30"/>
      <c r="E1437" s="10" t="s">
        <v>17</v>
      </c>
      <c r="F1437" s="19">
        <v>1</v>
      </c>
      <c r="G1437" s="20">
        <v>5.65</v>
      </c>
      <c r="H1437" s="20">
        <v>6.55</v>
      </c>
      <c r="I1437" s="20">
        <v>0</v>
      </c>
      <c r="J1437" s="16">
        <f>OR(F1437&lt;&gt;0,G1437&lt;&gt;0,H1437&lt;&gt;0,I1437&lt;&gt;0)*(F1437 + (F1437 = 0))*(G1437 + (G1437 = 0))*(H1437 + (H1437 = 0))*(I1437 + (I1437 = 0))</f>
        <v>37.008000000000003</v>
      </c>
      <c r="K1437" s="9"/>
      <c r="L1437" s="9"/>
      <c r="M1437" s="9"/>
    </row>
    <row r="1438" spans="1:13">
      <c r="A1438" s="9"/>
      <c r="B1438" s="9"/>
      <c r="C1438" s="10" t="s">
        <v>27</v>
      </c>
      <c r="D1438" s="30"/>
      <c r="E1438" s="10" t="s">
        <v>1204</v>
      </c>
      <c r="F1438" s="19">
        <v>-1</v>
      </c>
      <c r="G1438" s="20">
        <v>2.46</v>
      </c>
      <c r="H1438" s="20">
        <v>2.8</v>
      </c>
      <c r="I1438" s="20">
        <v>0</v>
      </c>
      <c r="J1438" s="16">
        <f>OR(F1438&lt;&gt;0,G1438&lt;&gt;0,H1438&lt;&gt;0,I1438&lt;&gt;0)*(F1438 + (F1438 = 0))*(G1438 + (G1438 = 0))*(H1438 + (H1438 = 0))*(I1438 + (I1438 = 0))</f>
        <v>-6.8879999999999999</v>
      </c>
      <c r="K1438" s="9"/>
      <c r="L1438" s="9"/>
      <c r="M1438" s="9"/>
    </row>
    <row r="1439" spans="1:13">
      <c r="A1439" s="9"/>
      <c r="B1439" s="9"/>
      <c r="C1439" s="10" t="s">
        <v>27</v>
      </c>
      <c r="D1439" s="30"/>
      <c r="E1439" s="10" t="s">
        <v>17</v>
      </c>
      <c r="F1439" s="19">
        <v>-1</v>
      </c>
      <c r="G1439" s="20">
        <v>2.46</v>
      </c>
      <c r="H1439" s="20">
        <v>2.25</v>
      </c>
      <c r="I1439" s="20">
        <v>0</v>
      </c>
      <c r="J1439" s="16">
        <f>OR(F1439&lt;&gt;0,G1439&lt;&gt;0,H1439&lt;&gt;0,I1439&lt;&gt;0)*(F1439 + (F1439 = 0))*(G1439 + (G1439 = 0))*(H1439 + (H1439 = 0))*(I1439 + (I1439 = 0))</f>
        <v>-5.5350000000000001</v>
      </c>
      <c r="K1439" s="9"/>
      <c r="L1439" s="9"/>
      <c r="M1439" s="9"/>
    </row>
    <row r="1440" spans="1:13">
      <c r="A1440" s="9"/>
      <c r="B1440" s="9"/>
      <c r="C1440" s="10" t="s">
        <v>27</v>
      </c>
      <c r="D1440" s="30"/>
      <c r="E1440" s="10" t="s">
        <v>17</v>
      </c>
      <c r="F1440" s="19">
        <v>-1</v>
      </c>
      <c r="G1440" s="20">
        <v>0.51</v>
      </c>
      <c r="H1440" s="20">
        <v>5.63</v>
      </c>
      <c r="I1440" s="20">
        <v>0</v>
      </c>
      <c r="J1440" s="16">
        <f>OR(F1440&lt;&gt;0,G1440&lt;&gt;0,H1440&lt;&gt;0,I1440&lt;&gt;0)*(F1440 + (F1440 = 0))*(G1440 + (G1440 = 0))*(H1440 + (H1440 = 0))*(I1440 + (I1440 = 0))</f>
        <v>-2.871</v>
      </c>
      <c r="K1440" s="9"/>
      <c r="L1440" s="9"/>
      <c r="M1440" s="9"/>
    </row>
    <row r="1441" spans="1:13">
      <c r="A1441" s="9"/>
      <c r="B1441" s="9"/>
      <c r="C1441" s="10" t="s">
        <v>27</v>
      </c>
      <c r="D1441" s="30"/>
      <c r="E1441" s="10" t="s">
        <v>17</v>
      </c>
      <c r="F1441" s="19">
        <v>-1</v>
      </c>
      <c r="G1441" s="20">
        <v>1.28</v>
      </c>
      <c r="H1441" s="20">
        <v>6.43</v>
      </c>
      <c r="I1441" s="20">
        <v>0</v>
      </c>
      <c r="J1441" s="16">
        <f>OR(F1441&lt;&gt;0,G1441&lt;&gt;0,H1441&lt;&gt;0,I1441&lt;&gt;0)*(F1441 + (F1441 = 0))*(G1441 + (G1441 = 0))*(H1441 + (H1441 = 0))*(I1441 + (I1441 = 0))</f>
        <v>-8.23</v>
      </c>
      <c r="K1441" s="9"/>
      <c r="L1441" s="9"/>
      <c r="M1441" s="9"/>
    </row>
    <row r="1442" spans="1:13">
      <c r="A1442" s="9"/>
      <c r="B1442" s="9"/>
      <c r="C1442" s="10" t="s">
        <v>27</v>
      </c>
      <c r="D1442" s="30"/>
      <c r="E1442" s="10" t="s">
        <v>17</v>
      </c>
      <c r="F1442" s="19">
        <v>-1</v>
      </c>
      <c r="G1442" s="20">
        <v>0.65</v>
      </c>
      <c r="H1442" s="20">
        <v>6.43</v>
      </c>
      <c r="I1442" s="20">
        <v>0</v>
      </c>
      <c r="J1442" s="16">
        <f>OR(F1442&lt;&gt;0,G1442&lt;&gt;0,H1442&lt;&gt;0,I1442&lt;&gt;0)*(F1442 + (F1442 = 0))*(G1442 + (G1442 = 0))*(H1442 + (H1442 = 0))*(I1442 + (I1442 = 0))</f>
        <v>-4.18</v>
      </c>
      <c r="K1442" s="9"/>
      <c r="L1442" s="9"/>
      <c r="M1442" s="9"/>
    </row>
    <row r="1443" spans="1:13">
      <c r="A1443" s="9"/>
      <c r="B1443" s="9"/>
      <c r="C1443" s="10" t="s">
        <v>27</v>
      </c>
      <c r="D1443" s="30"/>
      <c r="E1443" s="10" t="s">
        <v>17</v>
      </c>
      <c r="F1443" s="19">
        <v>1</v>
      </c>
      <c r="G1443" s="20">
        <v>3.14</v>
      </c>
      <c r="H1443" s="20">
        <v>1.25</v>
      </c>
      <c r="I1443" s="20">
        <v>0</v>
      </c>
      <c r="J1443" s="16">
        <f>OR(F1443&lt;&gt;0,G1443&lt;&gt;0,H1443&lt;&gt;0,I1443&lt;&gt;0)*(F1443 + (F1443 = 0))*(G1443 + (G1443 = 0))*(H1443 + (H1443 = 0))*(I1443 + (I1443 = 0))</f>
        <v>3.9249999999999998</v>
      </c>
      <c r="K1443" s="9"/>
      <c r="L1443" s="9"/>
      <c r="M1443" s="9"/>
    </row>
    <row r="1444" spans="1:13">
      <c r="A1444" s="9"/>
      <c r="B1444" s="9"/>
      <c r="C1444" s="9"/>
      <c r="D1444" s="30"/>
      <c r="E1444" s="9"/>
      <c r="F1444" s="9"/>
      <c r="G1444" s="9"/>
      <c r="H1444" s="9"/>
      <c r="I1444" s="9"/>
      <c r="J1444" s="21" t="s">
        <v>1209</v>
      </c>
      <c r="K1444" s="22">
        <f>SUM(J1436:J1443)</f>
        <v>110.249</v>
      </c>
      <c r="L1444" s="23">
        <v>0</v>
      </c>
      <c r="M1444" s="24">
        <f>ROUND(K1444*L1444,2)</f>
        <v>0</v>
      </c>
    </row>
    <row r="1445" spans="1:13" ht="0.95" customHeight="1">
      <c r="A1445" s="25"/>
      <c r="B1445" s="25"/>
      <c r="C1445" s="25"/>
      <c r="D1445" s="31"/>
      <c r="E1445" s="25"/>
      <c r="F1445" s="25"/>
      <c r="G1445" s="25"/>
      <c r="H1445" s="25"/>
      <c r="I1445" s="25"/>
      <c r="J1445" s="25"/>
      <c r="K1445" s="25"/>
      <c r="L1445" s="25"/>
      <c r="M1445" s="25"/>
    </row>
    <row r="1446" spans="1:13">
      <c r="A1446" s="9"/>
      <c r="B1446" s="9"/>
      <c r="C1446" s="9"/>
      <c r="D1446" s="30"/>
      <c r="E1446" s="9"/>
      <c r="F1446" s="9"/>
      <c r="G1446" s="9"/>
      <c r="H1446" s="9"/>
      <c r="I1446" s="9"/>
      <c r="J1446" s="21" t="s">
        <v>1210</v>
      </c>
      <c r="K1446" s="20">
        <v>1</v>
      </c>
      <c r="L1446" s="24">
        <f>M1422+M1434</f>
        <v>0</v>
      </c>
      <c r="M1446" s="24">
        <f>ROUND(K1446*L1446,2)</f>
        <v>0</v>
      </c>
    </row>
    <row r="1447" spans="1:13" ht="0.95" customHeight="1">
      <c r="A1447" s="25"/>
      <c r="B1447" s="25"/>
      <c r="C1447" s="25"/>
      <c r="D1447" s="31"/>
      <c r="E1447" s="25"/>
      <c r="F1447" s="25"/>
      <c r="G1447" s="25"/>
      <c r="H1447" s="25"/>
      <c r="I1447" s="25"/>
      <c r="J1447" s="25"/>
      <c r="K1447" s="25"/>
      <c r="L1447" s="25"/>
      <c r="M1447" s="25"/>
    </row>
    <row r="1448" spans="1:13">
      <c r="A1448" s="11" t="s">
        <v>1211</v>
      </c>
      <c r="B1448" s="11" t="s">
        <v>16</v>
      </c>
      <c r="C1448" s="11" t="s">
        <v>17</v>
      </c>
      <c r="D1448" s="29" t="s">
        <v>609</v>
      </c>
      <c r="E1448" s="12"/>
      <c r="F1448" s="12"/>
      <c r="G1448" s="12"/>
      <c r="H1448" s="12"/>
      <c r="I1448" s="12"/>
      <c r="J1448" s="12"/>
      <c r="K1448" s="13">
        <f>K1457</f>
        <v>1</v>
      </c>
      <c r="L1448" s="14">
        <f>L1457</f>
        <v>0</v>
      </c>
      <c r="M1448" s="14">
        <f>M1457</f>
        <v>0</v>
      </c>
    </row>
    <row r="1449" spans="1:13" ht="33.75">
      <c r="A1449" s="15" t="s">
        <v>1212</v>
      </c>
      <c r="B1449" s="10" t="s">
        <v>23</v>
      </c>
      <c r="C1449" s="10" t="s">
        <v>4</v>
      </c>
      <c r="D1449" s="18" t="s">
        <v>1213</v>
      </c>
      <c r="E1449" s="9"/>
      <c r="F1449" s="9"/>
      <c r="G1449" s="9"/>
      <c r="H1449" s="9"/>
      <c r="I1449" s="9"/>
      <c r="J1449" s="9"/>
      <c r="K1449" s="20">
        <v>3</v>
      </c>
      <c r="L1449" s="23">
        <v>0</v>
      </c>
      <c r="M1449" s="17">
        <f>ROUND(K1449*L1449,2)</f>
        <v>0</v>
      </c>
    </row>
    <row r="1450" spans="1:13" ht="67.5">
      <c r="A1450" s="9"/>
      <c r="B1450" s="9"/>
      <c r="C1450" s="9"/>
      <c r="D1450" s="18" t="s">
        <v>1214</v>
      </c>
      <c r="E1450" s="9"/>
      <c r="F1450" s="9"/>
      <c r="G1450" s="9"/>
      <c r="H1450" s="9"/>
      <c r="I1450" s="9"/>
      <c r="J1450" s="9"/>
      <c r="K1450" s="9"/>
      <c r="L1450" s="9"/>
      <c r="M1450" s="9"/>
    </row>
    <row r="1451" spans="1:13" ht="22.5">
      <c r="A1451" s="15" t="s">
        <v>1215</v>
      </c>
      <c r="B1451" s="10" t="s">
        <v>23</v>
      </c>
      <c r="C1451" s="10" t="s">
        <v>66</v>
      </c>
      <c r="D1451" s="18" t="s">
        <v>1216</v>
      </c>
      <c r="E1451" s="9"/>
      <c r="F1451" s="9"/>
      <c r="G1451" s="9"/>
      <c r="H1451" s="9"/>
      <c r="I1451" s="9"/>
      <c r="J1451" s="9"/>
      <c r="K1451" s="20">
        <v>18.600000000000001</v>
      </c>
      <c r="L1451" s="23">
        <v>0</v>
      </c>
      <c r="M1451" s="17">
        <f>ROUND(K1451*L1451,2)</f>
        <v>0</v>
      </c>
    </row>
    <row r="1452" spans="1:13" ht="56.25">
      <c r="A1452" s="9"/>
      <c r="B1452" s="9"/>
      <c r="C1452" s="9"/>
      <c r="D1452" s="18" t="s">
        <v>1217</v>
      </c>
      <c r="E1452" s="9"/>
      <c r="F1452" s="9"/>
      <c r="G1452" s="9"/>
      <c r="H1452" s="9"/>
      <c r="I1452" s="9"/>
      <c r="J1452" s="9"/>
      <c r="K1452" s="9"/>
      <c r="L1452" s="9"/>
      <c r="M1452" s="9"/>
    </row>
    <row r="1453" spans="1:13" ht="22.5">
      <c r="A1453" s="15" t="s">
        <v>1218</v>
      </c>
      <c r="B1453" s="10" t="s">
        <v>23</v>
      </c>
      <c r="C1453" s="10" t="s">
        <v>66</v>
      </c>
      <c r="D1453" s="18" t="s">
        <v>1219</v>
      </c>
      <c r="E1453" s="9"/>
      <c r="F1453" s="9"/>
      <c r="G1453" s="9"/>
      <c r="H1453" s="9"/>
      <c r="I1453" s="9"/>
      <c r="J1453" s="9"/>
      <c r="K1453" s="20">
        <v>18.600000000000001</v>
      </c>
      <c r="L1453" s="23">
        <v>0</v>
      </c>
      <c r="M1453" s="17">
        <f>ROUND(K1453*L1453,2)</f>
        <v>0</v>
      </c>
    </row>
    <row r="1454" spans="1:13" ht="56.25">
      <c r="A1454" s="9"/>
      <c r="B1454" s="9"/>
      <c r="C1454" s="9"/>
      <c r="D1454" s="18" t="s">
        <v>1220</v>
      </c>
      <c r="E1454" s="9"/>
      <c r="F1454" s="9"/>
      <c r="G1454" s="9"/>
      <c r="H1454" s="9"/>
      <c r="I1454" s="9"/>
      <c r="J1454" s="9"/>
      <c r="K1454" s="9"/>
      <c r="L1454" s="9"/>
      <c r="M1454" s="9"/>
    </row>
    <row r="1455" spans="1:13" ht="33.75">
      <c r="A1455" s="15" t="s">
        <v>1221</v>
      </c>
      <c r="B1455" s="10" t="s">
        <v>23</v>
      </c>
      <c r="C1455" s="10" t="s">
        <v>4</v>
      </c>
      <c r="D1455" s="18" t="s">
        <v>1222</v>
      </c>
      <c r="E1455" s="9"/>
      <c r="F1455" s="9"/>
      <c r="G1455" s="9"/>
      <c r="H1455" s="9"/>
      <c r="I1455" s="9"/>
      <c r="J1455" s="9"/>
      <c r="K1455" s="20">
        <v>2</v>
      </c>
      <c r="L1455" s="23">
        <v>0</v>
      </c>
      <c r="M1455" s="17">
        <f>ROUND(K1455*L1455,2)</f>
        <v>0</v>
      </c>
    </row>
    <row r="1456" spans="1:13">
      <c r="A1456" s="9"/>
      <c r="B1456" s="9"/>
      <c r="C1456" s="9"/>
      <c r="D1456" s="18" t="s">
        <v>1223</v>
      </c>
      <c r="E1456" s="9"/>
      <c r="F1456" s="9"/>
      <c r="G1456" s="9"/>
      <c r="H1456" s="9"/>
      <c r="I1456" s="9"/>
      <c r="J1456" s="9"/>
      <c r="K1456" s="9"/>
      <c r="L1456" s="9"/>
      <c r="M1456" s="9"/>
    </row>
    <row r="1457" spans="1:13">
      <c r="A1457" s="9"/>
      <c r="B1457" s="9"/>
      <c r="C1457" s="9"/>
      <c r="D1457" s="30"/>
      <c r="E1457" s="9"/>
      <c r="F1457" s="9"/>
      <c r="G1457" s="9"/>
      <c r="H1457" s="9"/>
      <c r="I1457" s="9"/>
      <c r="J1457" s="21" t="s">
        <v>1224</v>
      </c>
      <c r="K1457" s="20">
        <v>1</v>
      </c>
      <c r="L1457" s="24">
        <f>M1449+M1451+M1453+M1455</f>
        <v>0</v>
      </c>
      <c r="M1457" s="24">
        <f>ROUND(K1457*L1457,2)</f>
        <v>0</v>
      </c>
    </row>
    <row r="1458" spans="1:13" ht="0.95" customHeight="1">
      <c r="A1458" s="25"/>
      <c r="B1458" s="25"/>
      <c r="C1458" s="25"/>
      <c r="D1458" s="31"/>
      <c r="E1458" s="25"/>
      <c r="F1458" s="25"/>
      <c r="G1458" s="25"/>
      <c r="H1458" s="25"/>
      <c r="I1458" s="25"/>
      <c r="J1458" s="25"/>
      <c r="K1458" s="25"/>
      <c r="L1458" s="25"/>
      <c r="M1458" s="25"/>
    </row>
    <row r="1459" spans="1:13">
      <c r="A1459" s="9"/>
      <c r="B1459" s="9"/>
      <c r="C1459" s="9"/>
      <c r="D1459" s="30"/>
      <c r="E1459" s="9"/>
      <c r="F1459" s="9"/>
      <c r="G1459" s="9"/>
      <c r="H1459" s="9"/>
      <c r="I1459" s="9"/>
      <c r="J1459" s="21" t="s">
        <v>1225</v>
      </c>
      <c r="K1459" s="26">
        <v>1</v>
      </c>
      <c r="L1459" s="24">
        <f>M1411+M1421+M1448</f>
        <v>0</v>
      </c>
      <c r="M1459" s="24">
        <f>ROUND(K1459*L1459,2)</f>
        <v>0</v>
      </c>
    </row>
    <row r="1460" spans="1:13" ht="0.95" customHeight="1">
      <c r="A1460" s="25"/>
      <c r="B1460" s="25"/>
      <c r="C1460" s="25"/>
      <c r="D1460" s="31"/>
      <c r="E1460" s="25"/>
      <c r="F1460" s="25"/>
      <c r="G1460" s="25"/>
      <c r="H1460" s="25"/>
      <c r="I1460" s="25"/>
      <c r="J1460" s="25"/>
      <c r="K1460" s="25"/>
      <c r="L1460" s="25"/>
      <c r="M1460" s="25"/>
    </row>
    <row r="1461" spans="1:13">
      <c r="A1461" s="5" t="s">
        <v>1226</v>
      </c>
      <c r="B1461" s="5" t="s">
        <v>16</v>
      </c>
      <c r="C1461" s="5" t="s">
        <v>17</v>
      </c>
      <c r="D1461" s="28" t="s">
        <v>1227</v>
      </c>
      <c r="E1461" s="6"/>
      <c r="F1461" s="6"/>
      <c r="G1461" s="6"/>
      <c r="H1461" s="6"/>
      <c r="I1461" s="6"/>
      <c r="J1461" s="6"/>
      <c r="K1461" s="7">
        <f>K1673</f>
        <v>1</v>
      </c>
      <c r="L1461" s="8">
        <f>L1673</f>
        <v>0</v>
      </c>
      <c r="M1461" s="8">
        <f>M1673</f>
        <v>0</v>
      </c>
    </row>
    <row r="1462" spans="1:13">
      <c r="A1462" s="11" t="s">
        <v>1228</v>
      </c>
      <c r="B1462" s="11" t="s">
        <v>16</v>
      </c>
      <c r="C1462" s="11" t="s">
        <v>17</v>
      </c>
      <c r="D1462" s="29" t="s">
        <v>1229</v>
      </c>
      <c r="E1462" s="12"/>
      <c r="F1462" s="12"/>
      <c r="G1462" s="12"/>
      <c r="H1462" s="12"/>
      <c r="I1462" s="12"/>
      <c r="J1462" s="12"/>
      <c r="K1462" s="13">
        <f>K1474</f>
        <v>1</v>
      </c>
      <c r="L1462" s="14">
        <f>L1474</f>
        <v>0</v>
      </c>
      <c r="M1462" s="14">
        <f>M1474</f>
        <v>0</v>
      </c>
    </row>
    <row r="1463" spans="1:13" ht="33.75">
      <c r="A1463" s="15" t="s">
        <v>1230</v>
      </c>
      <c r="B1463" s="10" t="s">
        <v>23</v>
      </c>
      <c r="C1463" s="10" t="s">
        <v>94</v>
      </c>
      <c r="D1463" s="18" t="s">
        <v>1231</v>
      </c>
      <c r="E1463" s="9"/>
      <c r="F1463" s="9"/>
      <c r="G1463" s="9"/>
      <c r="H1463" s="9"/>
      <c r="I1463" s="9"/>
      <c r="J1463" s="9"/>
      <c r="K1463" s="16">
        <f>K1472</f>
        <v>47.86</v>
      </c>
      <c r="L1463" s="17">
        <f>L1472</f>
        <v>0</v>
      </c>
      <c r="M1463" s="17">
        <f>M1472</f>
        <v>0</v>
      </c>
    </row>
    <row r="1464" spans="1:13">
      <c r="A1464" s="9"/>
      <c r="B1464" s="9"/>
      <c r="C1464" s="9"/>
      <c r="D1464" s="18" t="s">
        <v>1232</v>
      </c>
      <c r="E1464" s="9"/>
      <c r="F1464" s="9"/>
      <c r="G1464" s="9"/>
      <c r="H1464" s="9"/>
      <c r="I1464" s="9"/>
      <c r="J1464" s="9"/>
      <c r="K1464" s="9"/>
      <c r="L1464" s="9"/>
      <c r="M1464" s="9"/>
    </row>
    <row r="1465" spans="1:13">
      <c r="A1465" s="9"/>
      <c r="B1465" s="9"/>
      <c r="C1465" s="10" t="s">
        <v>27</v>
      </c>
      <c r="D1465" s="30"/>
      <c r="E1465" s="10" t="s">
        <v>227</v>
      </c>
      <c r="F1465" s="19"/>
      <c r="G1465" s="20"/>
      <c r="H1465" s="20"/>
      <c r="I1465" s="20"/>
      <c r="J1465" s="16">
        <f>OR(F1465&lt;&gt;0,G1465&lt;&gt;0,H1465&lt;&gt;0,I1465&lt;&gt;0)*(F1465 + (F1465 = 0))*(G1465 + (G1465 = 0))*(H1465 + (H1465 = 0))*(I1465 + (I1465 = 0))</f>
        <v>0</v>
      </c>
      <c r="K1465" s="9"/>
      <c r="L1465" s="9"/>
      <c r="M1465" s="9"/>
    </row>
    <row r="1466" spans="1:13">
      <c r="A1466" s="9"/>
      <c r="B1466" s="9"/>
      <c r="C1466" s="10" t="s">
        <v>27</v>
      </c>
      <c r="D1466" s="30"/>
      <c r="E1466" s="10" t="s">
        <v>1233</v>
      </c>
      <c r="F1466" s="19">
        <v>1</v>
      </c>
      <c r="G1466" s="20">
        <v>1.75</v>
      </c>
      <c r="H1466" s="20">
        <v>0</v>
      </c>
      <c r="I1466" s="20">
        <v>2.65</v>
      </c>
      <c r="J1466" s="16">
        <f>OR(F1466&lt;&gt;0,G1466&lt;&gt;0,H1466&lt;&gt;0,I1466&lt;&gt;0)*(F1466 + (F1466 = 0))*(G1466 + (G1466 = 0))*(H1466 + (H1466 = 0))*(I1466 + (I1466 = 0))</f>
        <v>4.6379999999999999</v>
      </c>
      <c r="K1466" s="9"/>
      <c r="L1466" s="9"/>
      <c r="M1466" s="9"/>
    </row>
    <row r="1467" spans="1:13">
      <c r="A1467" s="9"/>
      <c r="B1467" s="9"/>
      <c r="C1467" s="10" t="s">
        <v>27</v>
      </c>
      <c r="D1467" s="30"/>
      <c r="E1467" s="10" t="s">
        <v>17</v>
      </c>
      <c r="F1467" s="19">
        <v>1</v>
      </c>
      <c r="G1467" s="20">
        <v>2.25</v>
      </c>
      <c r="H1467" s="20">
        <v>0</v>
      </c>
      <c r="I1467" s="20">
        <v>1.1000000000000001</v>
      </c>
      <c r="J1467" s="16">
        <f>OR(F1467&lt;&gt;0,G1467&lt;&gt;0,H1467&lt;&gt;0,I1467&lt;&gt;0)*(F1467 + (F1467 = 0))*(G1467 + (G1467 = 0))*(H1467 + (H1467 = 0))*(I1467 + (I1467 = 0))</f>
        <v>2.4750000000000001</v>
      </c>
      <c r="K1467" s="9"/>
      <c r="L1467" s="9"/>
      <c r="M1467" s="9"/>
    </row>
    <row r="1468" spans="1:13">
      <c r="A1468" s="9"/>
      <c r="B1468" s="9"/>
      <c r="C1468" s="10" t="s">
        <v>27</v>
      </c>
      <c r="D1468" s="30"/>
      <c r="E1468" s="10" t="s">
        <v>1234</v>
      </c>
      <c r="F1468" s="19">
        <v>1</v>
      </c>
      <c r="G1468" s="20">
        <v>6.48</v>
      </c>
      <c r="H1468" s="20">
        <v>0</v>
      </c>
      <c r="I1468" s="20">
        <v>2.65</v>
      </c>
      <c r="J1468" s="16">
        <f>OR(F1468&lt;&gt;0,G1468&lt;&gt;0,H1468&lt;&gt;0,I1468&lt;&gt;0)*(F1468 + (F1468 = 0))*(G1468 + (G1468 = 0))*(H1468 + (H1468 = 0))*(I1468 + (I1468 = 0))</f>
        <v>17.172000000000001</v>
      </c>
      <c r="K1468" s="9"/>
      <c r="L1468" s="9"/>
      <c r="M1468" s="9"/>
    </row>
    <row r="1469" spans="1:13">
      <c r="A1469" s="9"/>
      <c r="B1469" s="9"/>
      <c r="C1469" s="10" t="s">
        <v>27</v>
      </c>
      <c r="D1469" s="30"/>
      <c r="E1469" s="10" t="s">
        <v>228</v>
      </c>
      <c r="F1469" s="19"/>
      <c r="G1469" s="20"/>
      <c r="H1469" s="20"/>
      <c r="I1469" s="20"/>
      <c r="J1469" s="16">
        <f>OR(F1469&lt;&gt;0,G1469&lt;&gt;0,H1469&lt;&gt;0,I1469&lt;&gt;0)*(F1469 + (F1469 = 0))*(G1469 + (G1469 = 0))*(H1469 + (H1469 = 0))*(I1469 + (I1469 = 0))</f>
        <v>0</v>
      </c>
      <c r="K1469" s="9"/>
      <c r="L1469" s="9"/>
      <c r="M1469" s="9"/>
    </row>
    <row r="1470" spans="1:13">
      <c r="A1470" s="9"/>
      <c r="B1470" s="9"/>
      <c r="C1470" s="10" t="s">
        <v>27</v>
      </c>
      <c r="D1470" s="30"/>
      <c r="E1470" s="10" t="s">
        <v>1235</v>
      </c>
      <c r="F1470" s="19">
        <v>1</v>
      </c>
      <c r="G1470" s="20">
        <v>3.5</v>
      </c>
      <c r="H1470" s="20">
        <v>0</v>
      </c>
      <c r="I1470" s="20">
        <v>2.2999999999999998</v>
      </c>
      <c r="J1470" s="16">
        <f>OR(F1470&lt;&gt;0,G1470&lt;&gt;0,H1470&lt;&gt;0,I1470&lt;&gt;0)*(F1470 + (F1470 = 0))*(G1470 + (G1470 = 0))*(H1470 + (H1470 = 0))*(I1470 + (I1470 = 0))</f>
        <v>8.0500000000000007</v>
      </c>
      <c r="K1470" s="9"/>
      <c r="L1470" s="9"/>
      <c r="M1470" s="9"/>
    </row>
    <row r="1471" spans="1:13">
      <c r="A1471" s="9"/>
      <c r="B1471" s="9"/>
      <c r="C1471" s="10" t="s">
        <v>27</v>
      </c>
      <c r="D1471" s="30"/>
      <c r="E1471" s="10" t="s">
        <v>1236</v>
      </c>
      <c r="F1471" s="19">
        <v>1</v>
      </c>
      <c r="G1471" s="20">
        <v>6.75</v>
      </c>
      <c r="H1471" s="20">
        <v>0</v>
      </c>
      <c r="I1471" s="20">
        <v>2.2999999999999998</v>
      </c>
      <c r="J1471" s="16">
        <f>OR(F1471&lt;&gt;0,G1471&lt;&gt;0,H1471&lt;&gt;0,I1471&lt;&gt;0)*(F1471 + (F1471 = 0))*(G1471 + (G1471 = 0))*(H1471 + (H1471 = 0))*(I1471 + (I1471 = 0))</f>
        <v>15.525</v>
      </c>
      <c r="K1471" s="9"/>
      <c r="L1471" s="9"/>
      <c r="M1471" s="9"/>
    </row>
    <row r="1472" spans="1:13">
      <c r="A1472" s="9"/>
      <c r="B1472" s="9"/>
      <c r="C1472" s="9"/>
      <c r="D1472" s="30"/>
      <c r="E1472" s="9"/>
      <c r="F1472" s="9"/>
      <c r="G1472" s="9"/>
      <c r="H1472" s="9"/>
      <c r="I1472" s="9"/>
      <c r="J1472" s="21" t="s">
        <v>1237</v>
      </c>
      <c r="K1472" s="22">
        <f>SUM(J1465:J1471)</f>
        <v>47.86</v>
      </c>
      <c r="L1472" s="23">
        <v>0</v>
      </c>
      <c r="M1472" s="24">
        <f>ROUND(K1472*L1472,2)</f>
        <v>0</v>
      </c>
    </row>
    <row r="1473" spans="1:13" ht="0.95" customHeight="1">
      <c r="A1473" s="25"/>
      <c r="B1473" s="25"/>
      <c r="C1473" s="25"/>
      <c r="D1473" s="31"/>
      <c r="E1473" s="25"/>
      <c r="F1473" s="25"/>
      <c r="G1473" s="25"/>
      <c r="H1473" s="25"/>
      <c r="I1473" s="25"/>
      <c r="J1473" s="25"/>
      <c r="K1473" s="25"/>
      <c r="L1473" s="25"/>
      <c r="M1473" s="25"/>
    </row>
    <row r="1474" spans="1:13">
      <c r="A1474" s="9"/>
      <c r="B1474" s="9"/>
      <c r="C1474" s="9"/>
      <c r="D1474" s="30"/>
      <c r="E1474" s="9"/>
      <c r="F1474" s="9"/>
      <c r="G1474" s="9"/>
      <c r="H1474" s="9"/>
      <c r="I1474" s="9"/>
      <c r="J1474" s="21" t="s">
        <v>1238</v>
      </c>
      <c r="K1474" s="20">
        <v>1</v>
      </c>
      <c r="L1474" s="24">
        <f>M1463</f>
        <v>0</v>
      </c>
      <c r="M1474" s="24">
        <f>ROUND(K1474*L1474,2)</f>
        <v>0</v>
      </c>
    </row>
    <row r="1475" spans="1:13" ht="0.95" customHeight="1">
      <c r="A1475" s="25"/>
      <c r="B1475" s="25"/>
      <c r="C1475" s="25"/>
      <c r="D1475" s="31"/>
      <c r="E1475" s="25"/>
      <c r="F1475" s="25"/>
      <c r="G1475" s="25"/>
      <c r="H1475" s="25"/>
      <c r="I1475" s="25"/>
      <c r="J1475" s="25"/>
      <c r="K1475" s="25"/>
      <c r="L1475" s="25"/>
      <c r="M1475" s="25"/>
    </row>
    <row r="1476" spans="1:13">
      <c r="A1476" s="11" t="s">
        <v>1239</v>
      </c>
      <c r="B1476" s="11" t="s">
        <v>16</v>
      </c>
      <c r="C1476" s="11" t="s">
        <v>17</v>
      </c>
      <c r="D1476" s="29" t="s">
        <v>1090</v>
      </c>
      <c r="E1476" s="12"/>
      <c r="F1476" s="12"/>
      <c r="G1476" s="12"/>
      <c r="H1476" s="12"/>
      <c r="I1476" s="12"/>
      <c r="J1476" s="12"/>
      <c r="K1476" s="13">
        <f>K1487</f>
        <v>1</v>
      </c>
      <c r="L1476" s="14">
        <f>L1487</f>
        <v>0</v>
      </c>
      <c r="M1476" s="14">
        <f>M1487</f>
        <v>0</v>
      </c>
    </row>
    <row r="1477" spans="1:13">
      <c r="A1477" s="15" t="s">
        <v>1240</v>
      </c>
      <c r="B1477" s="10" t="s">
        <v>23</v>
      </c>
      <c r="C1477" s="10" t="s">
        <v>4</v>
      </c>
      <c r="D1477" s="18" t="s">
        <v>1241</v>
      </c>
      <c r="E1477" s="9"/>
      <c r="F1477" s="9"/>
      <c r="G1477" s="9"/>
      <c r="H1477" s="9"/>
      <c r="I1477" s="9"/>
      <c r="J1477" s="9"/>
      <c r="K1477" s="16">
        <f>K1480</f>
        <v>30</v>
      </c>
      <c r="L1477" s="17">
        <f>L1480</f>
        <v>0</v>
      </c>
      <c r="M1477" s="17">
        <f>M1480</f>
        <v>0</v>
      </c>
    </row>
    <row r="1478" spans="1:13">
      <c r="A1478" s="9"/>
      <c r="B1478" s="9"/>
      <c r="C1478" s="9"/>
      <c r="D1478" s="18" t="s">
        <v>1242</v>
      </c>
      <c r="E1478" s="9"/>
      <c r="F1478" s="9"/>
      <c r="G1478" s="9"/>
      <c r="H1478" s="9"/>
      <c r="I1478" s="9"/>
      <c r="J1478" s="9"/>
      <c r="K1478" s="9"/>
      <c r="L1478" s="9"/>
      <c r="M1478" s="9"/>
    </row>
    <row r="1479" spans="1:13">
      <c r="A1479" s="9"/>
      <c r="B1479" s="9"/>
      <c r="C1479" s="10" t="s">
        <v>27</v>
      </c>
      <c r="D1479" s="30"/>
      <c r="E1479" s="10" t="s">
        <v>17</v>
      </c>
      <c r="F1479" s="19">
        <v>30</v>
      </c>
      <c r="G1479" s="23">
        <v>0</v>
      </c>
      <c r="H1479" s="23">
        <v>0</v>
      </c>
      <c r="I1479" s="23">
        <v>0</v>
      </c>
      <c r="J1479" s="17">
        <f>OR(F1479&lt;&gt;0,G1479&lt;&gt;0,H1479&lt;&gt;0,I1479&lt;&gt;0)*(F1479 + (F1479 = 0))*(G1479 + (G1479 = 0))*(H1479 + (H1479 = 0))*(I1479 + (I1479 = 0))</f>
        <v>30</v>
      </c>
      <c r="K1479" s="9"/>
      <c r="L1479" s="9"/>
      <c r="M1479" s="9"/>
    </row>
    <row r="1480" spans="1:13">
      <c r="A1480" s="9"/>
      <c r="B1480" s="9"/>
      <c r="C1480" s="9"/>
      <c r="D1480" s="30"/>
      <c r="E1480" s="9"/>
      <c r="F1480" s="9"/>
      <c r="G1480" s="9"/>
      <c r="H1480" s="9"/>
      <c r="I1480" s="9"/>
      <c r="J1480" s="21" t="s">
        <v>1243</v>
      </c>
      <c r="K1480" s="22">
        <f>J1479</f>
        <v>30</v>
      </c>
      <c r="L1480" s="23">
        <v>0</v>
      </c>
      <c r="M1480" s="24">
        <f>ROUND(K1480*L1480,2)</f>
        <v>0</v>
      </c>
    </row>
    <row r="1481" spans="1:13" ht="0.95" customHeight="1">
      <c r="A1481" s="25"/>
      <c r="B1481" s="25"/>
      <c r="C1481" s="25"/>
      <c r="D1481" s="31"/>
      <c r="E1481" s="25"/>
      <c r="F1481" s="25"/>
      <c r="G1481" s="25"/>
      <c r="H1481" s="25"/>
      <c r="I1481" s="25"/>
      <c r="J1481" s="25"/>
      <c r="K1481" s="25"/>
      <c r="L1481" s="25"/>
      <c r="M1481" s="25"/>
    </row>
    <row r="1482" spans="1:13">
      <c r="A1482" s="15" t="s">
        <v>1244</v>
      </c>
      <c r="B1482" s="10" t="s">
        <v>23</v>
      </c>
      <c r="C1482" s="10" t="s">
        <v>4</v>
      </c>
      <c r="D1482" s="18" t="s">
        <v>1245</v>
      </c>
      <c r="E1482" s="9"/>
      <c r="F1482" s="9"/>
      <c r="G1482" s="9"/>
      <c r="H1482" s="9"/>
      <c r="I1482" s="9"/>
      <c r="J1482" s="9"/>
      <c r="K1482" s="16">
        <f>K1485</f>
        <v>1</v>
      </c>
      <c r="L1482" s="17">
        <f>L1485</f>
        <v>0</v>
      </c>
      <c r="M1482" s="17">
        <f>M1485</f>
        <v>0</v>
      </c>
    </row>
    <row r="1483" spans="1:13">
      <c r="A1483" s="9"/>
      <c r="B1483" s="9"/>
      <c r="C1483" s="9"/>
      <c r="D1483" s="18" t="s">
        <v>1246</v>
      </c>
      <c r="E1483" s="9"/>
      <c r="F1483" s="9"/>
      <c r="G1483" s="9"/>
      <c r="H1483" s="9"/>
      <c r="I1483" s="9"/>
      <c r="J1483" s="9"/>
      <c r="K1483" s="9"/>
      <c r="L1483" s="9"/>
      <c r="M1483" s="9"/>
    </row>
    <row r="1484" spans="1:13">
      <c r="A1484" s="9"/>
      <c r="B1484" s="9"/>
      <c r="C1484" s="10" t="s">
        <v>27</v>
      </c>
      <c r="D1484" s="30"/>
      <c r="E1484" s="10" t="s">
        <v>1247</v>
      </c>
      <c r="F1484" s="19">
        <v>1</v>
      </c>
      <c r="G1484" s="23">
        <v>0</v>
      </c>
      <c r="H1484" s="23">
        <v>0</v>
      </c>
      <c r="I1484" s="23">
        <v>0</v>
      </c>
      <c r="J1484" s="17">
        <f>OR(F1484&lt;&gt;0,G1484&lt;&gt;0,H1484&lt;&gt;0,I1484&lt;&gt;0)*(F1484 + (F1484 = 0))*(G1484 + (G1484 = 0))*(H1484 + (H1484 = 0))*(I1484 + (I1484 = 0))</f>
        <v>1</v>
      </c>
      <c r="K1484" s="9"/>
      <c r="L1484" s="9"/>
      <c r="M1484" s="9"/>
    </row>
    <row r="1485" spans="1:13">
      <c r="A1485" s="9"/>
      <c r="B1485" s="9"/>
      <c r="C1485" s="9"/>
      <c r="D1485" s="30"/>
      <c r="E1485" s="9"/>
      <c r="F1485" s="9"/>
      <c r="G1485" s="9"/>
      <c r="H1485" s="9"/>
      <c r="I1485" s="9"/>
      <c r="J1485" s="21" t="s">
        <v>1248</v>
      </c>
      <c r="K1485" s="22">
        <f>J1484</f>
        <v>1</v>
      </c>
      <c r="L1485" s="23">
        <v>0</v>
      </c>
      <c r="M1485" s="24">
        <f>ROUND(K1485*L1485,2)</f>
        <v>0</v>
      </c>
    </row>
    <row r="1486" spans="1:13" ht="0.95" customHeight="1">
      <c r="A1486" s="25"/>
      <c r="B1486" s="25"/>
      <c r="C1486" s="25"/>
      <c r="D1486" s="31"/>
      <c r="E1486" s="25"/>
      <c r="F1486" s="25"/>
      <c r="G1486" s="25"/>
      <c r="H1486" s="25"/>
      <c r="I1486" s="25"/>
      <c r="J1486" s="25"/>
      <c r="K1486" s="25"/>
      <c r="L1486" s="25"/>
      <c r="M1486" s="25"/>
    </row>
    <row r="1487" spans="1:13">
      <c r="A1487" s="9"/>
      <c r="B1487" s="9"/>
      <c r="C1487" s="9"/>
      <c r="D1487" s="30"/>
      <c r="E1487" s="9"/>
      <c r="F1487" s="9"/>
      <c r="G1487" s="9"/>
      <c r="H1487" s="9"/>
      <c r="I1487" s="9"/>
      <c r="J1487" s="21" t="s">
        <v>1249</v>
      </c>
      <c r="K1487" s="20">
        <v>1</v>
      </c>
      <c r="L1487" s="24">
        <f>M1477+M1482</f>
        <v>0</v>
      </c>
      <c r="M1487" s="24">
        <f>ROUND(K1487*L1487,2)</f>
        <v>0</v>
      </c>
    </row>
    <row r="1488" spans="1:13" ht="0.95" customHeight="1">
      <c r="A1488" s="25"/>
      <c r="B1488" s="25"/>
      <c r="C1488" s="25"/>
      <c r="D1488" s="31"/>
      <c r="E1488" s="25"/>
      <c r="F1488" s="25"/>
      <c r="G1488" s="25"/>
      <c r="H1488" s="25"/>
      <c r="I1488" s="25"/>
      <c r="J1488" s="25"/>
      <c r="K1488" s="25"/>
      <c r="L1488" s="25"/>
      <c r="M1488" s="25"/>
    </row>
    <row r="1489" spans="1:13">
      <c r="A1489" s="11" t="s">
        <v>1250</v>
      </c>
      <c r="B1489" s="11" t="s">
        <v>16</v>
      </c>
      <c r="C1489" s="11" t="s">
        <v>17</v>
      </c>
      <c r="D1489" s="29" t="s">
        <v>1251</v>
      </c>
      <c r="E1489" s="12"/>
      <c r="F1489" s="12"/>
      <c r="G1489" s="12"/>
      <c r="H1489" s="12"/>
      <c r="I1489" s="12"/>
      <c r="J1489" s="12"/>
      <c r="K1489" s="13">
        <f>K1544</f>
        <v>1</v>
      </c>
      <c r="L1489" s="14">
        <f>L1544</f>
        <v>0</v>
      </c>
      <c r="M1489" s="14">
        <f>M1544</f>
        <v>0</v>
      </c>
    </row>
    <row r="1490" spans="1:13" ht="33.75">
      <c r="A1490" s="15" t="s">
        <v>1252</v>
      </c>
      <c r="B1490" s="10" t="s">
        <v>23</v>
      </c>
      <c r="C1490" s="10" t="s">
        <v>94</v>
      </c>
      <c r="D1490" s="18" t="s">
        <v>1253</v>
      </c>
      <c r="E1490" s="9"/>
      <c r="F1490" s="9"/>
      <c r="G1490" s="9"/>
      <c r="H1490" s="9"/>
      <c r="I1490" s="9"/>
      <c r="J1490" s="9"/>
      <c r="K1490" s="16">
        <f>K1502</f>
        <v>171.898</v>
      </c>
      <c r="L1490" s="17">
        <f>L1502</f>
        <v>0</v>
      </c>
      <c r="M1490" s="17">
        <f>M1502</f>
        <v>0</v>
      </c>
    </row>
    <row r="1491" spans="1:13">
      <c r="A1491" s="9"/>
      <c r="B1491" s="9"/>
      <c r="C1491" s="9"/>
      <c r="D1491" s="18" t="s">
        <v>1254</v>
      </c>
      <c r="E1491" s="9"/>
      <c r="F1491" s="9"/>
      <c r="G1491" s="9"/>
      <c r="H1491" s="9"/>
      <c r="I1491" s="9"/>
      <c r="J1491" s="9"/>
      <c r="K1491" s="9"/>
      <c r="L1491" s="9"/>
      <c r="M1491" s="9"/>
    </row>
    <row r="1492" spans="1:13">
      <c r="A1492" s="9"/>
      <c r="B1492" s="9"/>
      <c r="C1492" s="10" t="s">
        <v>27</v>
      </c>
      <c r="D1492" s="30"/>
      <c r="E1492" s="10" t="s">
        <v>97</v>
      </c>
      <c r="F1492" s="19">
        <v>1</v>
      </c>
      <c r="G1492" s="20">
        <v>20.8</v>
      </c>
      <c r="H1492" s="20">
        <v>0</v>
      </c>
      <c r="I1492" s="20">
        <v>2.2999999999999998</v>
      </c>
      <c r="J1492" s="16">
        <f>OR(F1492&lt;&gt;0,G1492&lt;&gt;0,H1492&lt;&gt;0,I1492&lt;&gt;0)*(F1492 + (F1492 = 0))*(G1492 + (G1492 = 0))*(H1492 + (H1492 = 0))*(I1492 + (I1492 = 0))</f>
        <v>47.84</v>
      </c>
      <c r="K1492" s="9"/>
      <c r="L1492" s="9"/>
      <c r="M1492" s="9"/>
    </row>
    <row r="1493" spans="1:13">
      <c r="A1493" s="9"/>
      <c r="B1493" s="9"/>
      <c r="C1493" s="10" t="s">
        <v>27</v>
      </c>
      <c r="D1493" s="30"/>
      <c r="E1493" s="10" t="s">
        <v>227</v>
      </c>
      <c r="F1493" s="19">
        <v>1</v>
      </c>
      <c r="G1493" s="20">
        <v>15.25</v>
      </c>
      <c r="H1493" s="20">
        <v>0</v>
      </c>
      <c r="I1493" s="20">
        <v>2.65</v>
      </c>
      <c r="J1493" s="16">
        <f>OR(F1493&lt;&gt;0,G1493&lt;&gt;0,H1493&lt;&gt;0,I1493&lt;&gt;0)*(F1493 + (F1493 = 0))*(G1493 + (G1493 = 0))*(H1493 + (H1493 = 0))*(I1493 + (I1493 = 0))</f>
        <v>40.412999999999997</v>
      </c>
      <c r="K1493" s="9"/>
      <c r="L1493" s="9"/>
      <c r="M1493" s="9"/>
    </row>
    <row r="1494" spans="1:13">
      <c r="A1494" s="9"/>
      <c r="B1494" s="9"/>
      <c r="C1494" s="10" t="s">
        <v>27</v>
      </c>
      <c r="D1494" s="30"/>
      <c r="E1494" s="10" t="s">
        <v>228</v>
      </c>
      <c r="F1494" s="19">
        <v>2</v>
      </c>
      <c r="G1494" s="20">
        <v>3.2</v>
      </c>
      <c r="H1494" s="20">
        <v>0</v>
      </c>
      <c r="I1494" s="20">
        <v>2.4</v>
      </c>
      <c r="J1494" s="16">
        <f>OR(F1494&lt;&gt;0,G1494&lt;&gt;0,H1494&lt;&gt;0,I1494&lt;&gt;0)*(F1494 + (F1494 = 0))*(G1494 + (G1494 = 0))*(H1494 + (H1494 = 0))*(I1494 + (I1494 = 0))</f>
        <v>15.36</v>
      </c>
      <c r="K1494" s="9"/>
      <c r="L1494" s="9"/>
      <c r="M1494" s="9"/>
    </row>
    <row r="1495" spans="1:13">
      <c r="A1495" s="9"/>
      <c r="B1495" s="9"/>
      <c r="C1495" s="10" t="s">
        <v>27</v>
      </c>
      <c r="D1495" s="30"/>
      <c r="E1495" s="10" t="s">
        <v>17</v>
      </c>
      <c r="F1495" s="19">
        <v>2</v>
      </c>
      <c r="G1495" s="20">
        <v>9.8000000000000007</v>
      </c>
      <c r="H1495" s="20">
        <v>0</v>
      </c>
      <c r="I1495" s="20">
        <v>0</v>
      </c>
      <c r="J1495" s="16">
        <f>OR(F1495&lt;&gt;0,G1495&lt;&gt;0,H1495&lt;&gt;0,I1495&lt;&gt;0)*(F1495 + (F1495 = 0))*(G1495 + (G1495 = 0))*(H1495 + (H1495 = 0))*(I1495 + (I1495 = 0))</f>
        <v>19.600000000000001</v>
      </c>
      <c r="K1495" s="9"/>
      <c r="L1495" s="9"/>
      <c r="M1495" s="9"/>
    </row>
    <row r="1496" spans="1:13">
      <c r="A1496" s="9"/>
      <c r="B1496" s="9"/>
      <c r="C1496" s="10" t="s">
        <v>27</v>
      </c>
      <c r="D1496" s="30"/>
      <c r="E1496" s="10" t="s">
        <v>17</v>
      </c>
      <c r="F1496" s="19">
        <v>1</v>
      </c>
      <c r="G1496" s="20">
        <v>4.2</v>
      </c>
      <c r="H1496" s="20">
        <v>0</v>
      </c>
      <c r="I1496" s="20">
        <v>2.2000000000000002</v>
      </c>
      <c r="J1496" s="16">
        <f>OR(F1496&lt;&gt;0,G1496&lt;&gt;0,H1496&lt;&gt;0,I1496&lt;&gt;0)*(F1496 + (F1496 = 0))*(G1496 + (G1496 = 0))*(H1496 + (H1496 = 0))*(I1496 + (I1496 = 0))</f>
        <v>9.24</v>
      </c>
      <c r="K1496" s="9"/>
      <c r="L1496" s="9"/>
      <c r="M1496" s="9"/>
    </row>
    <row r="1497" spans="1:13">
      <c r="A1497" s="9"/>
      <c r="B1497" s="9"/>
      <c r="C1497" s="10" t="s">
        <v>27</v>
      </c>
      <c r="D1497" s="30"/>
      <c r="E1497" s="10" t="s">
        <v>17</v>
      </c>
      <c r="F1497" s="19">
        <v>1</v>
      </c>
      <c r="G1497" s="20">
        <v>1.25</v>
      </c>
      <c r="H1497" s="20">
        <v>0</v>
      </c>
      <c r="I1497" s="20">
        <v>3</v>
      </c>
      <c r="J1497" s="16">
        <f>OR(F1497&lt;&gt;0,G1497&lt;&gt;0,H1497&lt;&gt;0,I1497&lt;&gt;0)*(F1497 + (F1497 = 0))*(G1497 + (G1497 = 0))*(H1497 + (H1497 = 0))*(I1497 + (I1497 = 0))</f>
        <v>3.75</v>
      </c>
      <c r="K1497" s="9"/>
      <c r="L1497" s="9"/>
      <c r="M1497" s="9"/>
    </row>
    <row r="1498" spans="1:13">
      <c r="A1498" s="9"/>
      <c r="B1498" s="9"/>
      <c r="C1498" s="10" t="s">
        <v>27</v>
      </c>
      <c r="D1498" s="30"/>
      <c r="E1498" s="10" t="s">
        <v>17</v>
      </c>
      <c r="F1498" s="19">
        <v>1</v>
      </c>
      <c r="G1498" s="20">
        <v>5.45</v>
      </c>
      <c r="H1498" s="20">
        <v>0</v>
      </c>
      <c r="I1498" s="20">
        <v>0</v>
      </c>
      <c r="J1498" s="16">
        <f>OR(F1498&lt;&gt;0,G1498&lt;&gt;0,H1498&lt;&gt;0,I1498&lt;&gt;0)*(F1498 + (F1498 = 0))*(G1498 + (G1498 = 0))*(H1498 + (H1498 = 0))*(I1498 + (I1498 = 0))</f>
        <v>5.45</v>
      </c>
      <c r="K1498" s="9"/>
      <c r="L1498" s="9"/>
      <c r="M1498" s="9"/>
    </row>
    <row r="1499" spans="1:13">
      <c r="A1499" s="9"/>
      <c r="B1499" s="9"/>
      <c r="C1499" s="10" t="s">
        <v>27</v>
      </c>
      <c r="D1499" s="30"/>
      <c r="E1499" s="10" t="s">
        <v>17</v>
      </c>
      <c r="F1499" s="19">
        <v>2</v>
      </c>
      <c r="G1499" s="20">
        <v>10.5</v>
      </c>
      <c r="H1499" s="20">
        <v>0</v>
      </c>
      <c r="I1499" s="20">
        <v>0</v>
      </c>
      <c r="J1499" s="16">
        <f>OR(F1499&lt;&gt;0,G1499&lt;&gt;0,H1499&lt;&gt;0,I1499&lt;&gt;0)*(F1499 + (F1499 = 0))*(G1499 + (G1499 = 0))*(H1499 + (H1499 = 0))*(I1499 + (I1499 = 0))</f>
        <v>21</v>
      </c>
      <c r="K1499" s="9"/>
      <c r="L1499" s="9"/>
      <c r="M1499" s="9"/>
    </row>
    <row r="1500" spans="1:13">
      <c r="A1500" s="9"/>
      <c r="B1500" s="9"/>
      <c r="C1500" s="10" t="s">
        <v>27</v>
      </c>
      <c r="D1500" s="30"/>
      <c r="E1500" s="10" t="s">
        <v>17</v>
      </c>
      <c r="F1500" s="19">
        <v>2</v>
      </c>
      <c r="G1500" s="20">
        <v>2.15</v>
      </c>
      <c r="H1500" s="20">
        <v>0</v>
      </c>
      <c r="I1500" s="20">
        <v>2.15</v>
      </c>
      <c r="J1500" s="16">
        <f>OR(F1500&lt;&gt;0,G1500&lt;&gt;0,H1500&lt;&gt;0,I1500&lt;&gt;0)*(F1500 + (F1500 = 0))*(G1500 + (G1500 = 0))*(H1500 + (H1500 = 0))*(I1500 + (I1500 = 0))</f>
        <v>9.2449999999999992</v>
      </c>
      <c r="K1500" s="9"/>
      <c r="L1500" s="9"/>
      <c r="M1500" s="9"/>
    </row>
    <row r="1501" spans="1:13">
      <c r="A1501" s="9"/>
      <c r="B1501" s="9"/>
      <c r="C1501" s="10" t="s">
        <v>27</v>
      </c>
      <c r="D1501" s="30"/>
      <c r="E1501" s="10" t="s">
        <v>17</v>
      </c>
      <c r="F1501" s="19"/>
      <c r="G1501" s="20"/>
      <c r="H1501" s="20"/>
      <c r="I1501" s="20"/>
      <c r="J1501" s="16">
        <f>OR(F1501&lt;&gt;0,G1501&lt;&gt;0,H1501&lt;&gt;0,I1501&lt;&gt;0)*(F1501 + (F1501 = 0))*(G1501 + (G1501 = 0))*(H1501 + (H1501 = 0))*(I1501 + (I1501 = 0))</f>
        <v>0</v>
      </c>
      <c r="K1501" s="9"/>
      <c r="L1501" s="9"/>
      <c r="M1501" s="9"/>
    </row>
    <row r="1502" spans="1:13">
      <c r="A1502" s="9"/>
      <c r="B1502" s="9"/>
      <c r="C1502" s="9"/>
      <c r="D1502" s="30"/>
      <c r="E1502" s="9"/>
      <c r="F1502" s="9"/>
      <c r="G1502" s="9"/>
      <c r="H1502" s="9"/>
      <c r="I1502" s="9"/>
      <c r="J1502" s="21" t="s">
        <v>1255</v>
      </c>
      <c r="K1502" s="22">
        <f>SUM(J1492:J1501)</f>
        <v>171.898</v>
      </c>
      <c r="L1502" s="23">
        <v>0</v>
      </c>
      <c r="M1502" s="24">
        <f>ROUND(K1502*L1502,2)</f>
        <v>0</v>
      </c>
    </row>
    <row r="1503" spans="1:13" ht="0.95" customHeight="1">
      <c r="A1503" s="25"/>
      <c r="B1503" s="25"/>
      <c r="C1503" s="25"/>
      <c r="D1503" s="31"/>
      <c r="E1503" s="25"/>
      <c r="F1503" s="25"/>
      <c r="G1503" s="25"/>
      <c r="H1503" s="25"/>
      <c r="I1503" s="25"/>
      <c r="J1503" s="25"/>
      <c r="K1503" s="25"/>
      <c r="L1503" s="25"/>
      <c r="M1503" s="25"/>
    </row>
    <row r="1504" spans="1:13" ht="33.75">
      <c r="A1504" s="15" t="s">
        <v>1256</v>
      </c>
      <c r="B1504" s="10" t="s">
        <v>23</v>
      </c>
      <c r="C1504" s="10" t="s">
        <v>94</v>
      </c>
      <c r="D1504" s="18" t="s">
        <v>1253</v>
      </c>
      <c r="E1504" s="9"/>
      <c r="F1504" s="9"/>
      <c r="G1504" s="9"/>
      <c r="H1504" s="9"/>
      <c r="I1504" s="9"/>
      <c r="J1504" s="9"/>
      <c r="K1504" s="16">
        <f>K1523</f>
        <v>181.57300000000001</v>
      </c>
      <c r="L1504" s="17">
        <f>L1523</f>
        <v>0</v>
      </c>
      <c r="M1504" s="17">
        <f>M1523</f>
        <v>0</v>
      </c>
    </row>
    <row r="1505" spans="1:13">
      <c r="A1505" s="9"/>
      <c r="B1505" s="9"/>
      <c r="C1505" s="9"/>
      <c r="D1505" s="18" t="s">
        <v>1254</v>
      </c>
      <c r="E1505" s="9"/>
      <c r="F1505" s="9"/>
      <c r="G1505" s="9"/>
      <c r="H1505" s="9"/>
      <c r="I1505" s="9"/>
      <c r="J1505" s="9"/>
      <c r="K1505" s="9"/>
      <c r="L1505" s="9"/>
      <c r="M1505" s="9"/>
    </row>
    <row r="1506" spans="1:13">
      <c r="A1506" s="9"/>
      <c r="B1506" s="9"/>
      <c r="C1506" s="10" t="s">
        <v>27</v>
      </c>
      <c r="D1506" s="30"/>
      <c r="E1506" s="10" t="s">
        <v>227</v>
      </c>
      <c r="F1506" s="19">
        <v>1</v>
      </c>
      <c r="G1506" s="20">
        <v>45.85</v>
      </c>
      <c r="H1506" s="20">
        <v>0</v>
      </c>
      <c r="I1506" s="20">
        <v>2.6</v>
      </c>
      <c r="J1506" s="16">
        <f>OR(F1506&lt;&gt;0,G1506&lt;&gt;0,H1506&lt;&gt;0,I1506&lt;&gt;0)*(F1506 + (F1506 = 0))*(G1506 + (G1506 = 0))*(H1506 + (H1506 = 0))*(I1506 + (I1506 = 0))</f>
        <v>119.21</v>
      </c>
      <c r="K1506" s="9"/>
      <c r="L1506" s="9"/>
      <c r="M1506" s="9"/>
    </row>
    <row r="1507" spans="1:13">
      <c r="A1507" s="9"/>
      <c r="B1507" s="9"/>
      <c r="C1507" s="10" t="s">
        <v>27</v>
      </c>
      <c r="D1507" s="30"/>
      <c r="E1507" s="10" t="s">
        <v>17</v>
      </c>
      <c r="F1507" s="19">
        <v>-1</v>
      </c>
      <c r="G1507" s="20">
        <v>2.5</v>
      </c>
      <c r="H1507" s="20">
        <v>0</v>
      </c>
      <c r="I1507" s="20">
        <v>0</v>
      </c>
      <c r="J1507" s="16">
        <f>OR(F1507&lt;&gt;0,G1507&lt;&gt;0,H1507&lt;&gt;0,I1507&lt;&gt;0)*(F1507 + (F1507 = 0))*(G1507 + (G1507 = 0))*(H1507 + (H1507 = 0))*(I1507 + (I1507 = 0))</f>
        <v>-2.5</v>
      </c>
      <c r="K1507" s="9"/>
      <c r="L1507" s="9"/>
      <c r="M1507" s="9"/>
    </row>
    <row r="1508" spans="1:13">
      <c r="A1508" s="9"/>
      <c r="B1508" s="9"/>
      <c r="C1508" s="10" t="s">
        <v>27</v>
      </c>
      <c r="D1508" s="30"/>
      <c r="E1508" s="10" t="s">
        <v>17</v>
      </c>
      <c r="F1508" s="19">
        <v>-1</v>
      </c>
      <c r="G1508" s="20">
        <v>3.38</v>
      </c>
      <c r="H1508" s="20">
        <v>0</v>
      </c>
      <c r="I1508" s="20">
        <v>0</v>
      </c>
      <c r="J1508" s="16">
        <f>OR(F1508&lt;&gt;0,G1508&lt;&gt;0,H1508&lt;&gt;0,I1508&lt;&gt;0)*(F1508 + (F1508 = 0))*(G1508 + (G1508 = 0))*(H1508 + (H1508 = 0))*(I1508 + (I1508 = 0))</f>
        <v>-3.38</v>
      </c>
      <c r="K1508" s="9"/>
      <c r="L1508" s="9"/>
      <c r="M1508" s="9"/>
    </row>
    <row r="1509" spans="1:13">
      <c r="A1509" s="9"/>
      <c r="B1509" s="9"/>
      <c r="C1509" s="10" t="s">
        <v>27</v>
      </c>
      <c r="D1509" s="30"/>
      <c r="E1509" s="10" t="s">
        <v>17</v>
      </c>
      <c r="F1509" s="19">
        <v>-1</v>
      </c>
      <c r="G1509" s="20">
        <v>3.32</v>
      </c>
      <c r="H1509" s="20">
        <v>0</v>
      </c>
      <c r="I1509" s="20">
        <v>0</v>
      </c>
      <c r="J1509" s="16">
        <f>OR(F1509&lt;&gt;0,G1509&lt;&gt;0,H1509&lt;&gt;0,I1509&lt;&gt;0)*(F1509 + (F1509 = 0))*(G1509 + (G1509 = 0))*(H1509 + (H1509 = 0))*(I1509 + (I1509 = 0))</f>
        <v>-3.32</v>
      </c>
      <c r="K1509" s="9"/>
      <c r="L1509" s="9"/>
      <c r="M1509" s="9"/>
    </row>
    <row r="1510" spans="1:13">
      <c r="A1510" s="9"/>
      <c r="B1510" s="9"/>
      <c r="C1510" s="10" t="s">
        <v>27</v>
      </c>
      <c r="D1510" s="30"/>
      <c r="E1510" s="10" t="s">
        <v>17</v>
      </c>
      <c r="F1510" s="19">
        <v>-1</v>
      </c>
      <c r="G1510" s="20">
        <v>6</v>
      </c>
      <c r="H1510" s="20">
        <v>0</v>
      </c>
      <c r="I1510" s="20">
        <v>0</v>
      </c>
      <c r="J1510" s="16">
        <f>OR(F1510&lt;&gt;0,G1510&lt;&gt;0,H1510&lt;&gt;0,I1510&lt;&gt;0)*(F1510 + (F1510 = 0))*(G1510 + (G1510 = 0))*(H1510 + (H1510 = 0))*(I1510 + (I1510 = 0))</f>
        <v>-6</v>
      </c>
      <c r="K1510" s="9"/>
      <c r="L1510" s="9"/>
      <c r="M1510" s="9"/>
    </row>
    <row r="1511" spans="1:13">
      <c r="A1511" s="9"/>
      <c r="B1511" s="9"/>
      <c r="C1511" s="10" t="s">
        <v>27</v>
      </c>
      <c r="D1511" s="30"/>
      <c r="E1511" s="10" t="s">
        <v>17</v>
      </c>
      <c r="F1511" s="19">
        <v>-1</v>
      </c>
      <c r="G1511" s="20">
        <v>3.92</v>
      </c>
      <c r="H1511" s="20">
        <v>0</v>
      </c>
      <c r="I1511" s="20">
        <v>0</v>
      </c>
      <c r="J1511" s="16">
        <f>OR(F1511&lt;&gt;0,G1511&lt;&gt;0,H1511&lt;&gt;0,I1511&lt;&gt;0)*(F1511 + (F1511 = 0))*(G1511 + (G1511 = 0))*(H1511 + (H1511 = 0))*(I1511 + (I1511 = 0))</f>
        <v>-3.92</v>
      </c>
      <c r="K1511" s="9"/>
      <c r="L1511" s="9"/>
      <c r="M1511" s="9"/>
    </row>
    <row r="1512" spans="1:13">
      <c r="A1512" s="9"/>
      <c r="B1512" s="9"/>
      <c r="C1512" s="10" t="s">
        <v>27</v>
      </c>
      <c r="D1512" s="30"/>
      <c r="E1512" s="10" t="s">
        <v>17</v>
      </c>
      <c r="F1512" s="19">
        <v>-1</v>
      </c>
      <c r="G1512" s="20">
        <v>3.25</v>
      </c>
      <c r="H1512" s="20">
        <v>0</v>
      </c>
      <c r="I1512" s="20">
        <v>0</v>
      </c>
      <c r="J1512" s="16">
        <f>OR(F1512&lt;&gt;0,G1512&lt;&gt;0,H1512&lt;&gt;0,I1512&lt;&gt;0)*(F1512 + (F1512 = 0))*(G1512 + (G1512 = 0))*(H1512 + (H1512 = 0))*(I1512 + (I1512 = 0))</f>
        <v>-3.25</v>
      </c>
      <c r="K1512" s="9"/>
      <c r="L1512" s="9"/>
      <c r="M1512" s="9"/>
    </row>
    <row r="1513" spans="1:13">
      <c r="A1513" s="9"/>
      <c r="B1513" s="9"/>
      <c r="C1513" s="10" t="s">
        <v>27</v>
      </c>
      <c r="D1513" s="30"/>
      <c r="E1513" s="10" t="s">
        <v>17</v>
      </c>
      <c r="F1513" s="19">
        <v>-1</v>
      </c>
      <c r="G1513" s="20">
        <v>10.34</v>
      </c>
      <c r="H1513" s="20">
        <v>0</v>
      </c>
      <c r="I1513" s="20">
        <v>0</v>
      </c>
      <c r="J1513" s="16">
        <f>OR(F1513&lt;&gt;0,G1513&lt;&gt;0,H1513&lt;&gt;0,I1513&lt;&gt;0)*(F1513 + (F1513 = 0))*(G1513 + (G1513 = 0))*(H1513 + (H1513 = 0))*(I1513 + (I1513 = 0))</f>
        <v>-10.34</v>
      </c>
      <c r="K1513" s="9"/>
      <c r="L1513" s="9"/>
      <c r="M1513" s="9"/>
    </row>
    <row r="1514" spans="1:13">
      <c r="A1514" s="9"/>
      <c r="B1514" s="9"/>
      <c r="C1514" s="10" t="s">
        <v>27</v>
      </c>
      <c r="D1514" s="30"/>
      <c r="E1514" s="10" t="s">
        <v>228</v>
      </c>
      <c r="F1514" s="19">
        <v>2</v>
      </c>
      <c r="G1514" s="20">
        <v>22.92</v>
      </c>
      <c r="H1514" s="20">
        <v>0</v>
      </c>
      <c r="I1514" s="20">
        <v>0</v>
      </c>
      <c r="J1514" s="16">
        <f>OR(F1514&lt;&gt;0,G1514&lt;&gt;0,H1514&lt;&gt;0,I1514&lt;&gt;0)*(F1514 + (F1514 = 0))*(G1514 + (G1514 = 0))*(H1514 + (H1514 = 0))*(I1514 + (I1514 = 0))</f>
        <v>45.84</v>
      </c>
      <c r="K1514" s="9"/>
      <c r="L1514" s="9"/>
      <c r="M1514" s="9"/>
    </row>
    <row r="1515" spans="1:13">
      <c r="A1515" s="9"/>
      <c r="B1515" s="9"/>
      <c r="C1515" s="10" t="s">
        <v>27</v>
      </c>
      <c r="D1515" s="30"/>
      <c r="E1515" s="10" t="s">
        <v>17</v>
      </c>
      <c r="F1515" s="19">
        <v>1</v>
      </c>
      <c r="G1515" s="20">
        <v>12.18</v>
      </c>
      <c r="H1515" s="20">
        <v>0</v>
      </c>
      <c r="I1515" s="20">
        <v>0</v>
      </c>
      <c r="J1515" s="16">
        <f>OR(F1515&lt;&gt;0,G1515&lt;&gt;0,H1515&lt;&gt;0,I1515&lt;&gt;0)*(F1515 + (F1515 = 0))*(G1515 + (G1515 = 0))*(H1515 + (H1515 = 0))*(I1515 + (I1515 = 0))</f>
        <v>12.18</v>
      </c>
      <c r="K1515" s="9"/>
      <c r="L1515" s="9"/>
      <c r="M1515" s="9"/>
    </row>
    <row r="1516" spans="1:13">
      <c r="A1516" s="9"/>
      <c r="B1516" s="9"/>
      <c r="C1516" s="10" t="s">
        <v>27</v>
      </c>
      <c r="D1516" s="30"/>
      <c r="E1516" s="10" t="s">
        <v>17</v>
      </c>
      <c r="F1516" s="19">
        <v>1</v>
      </c>
      <c r="G1516" s="20">
        <v>19.600000000000001</v>
      </c>
      <c r="H1516" s="20">
        <v>0</v>
      </c>
      <c r="I1516" s="20">
        <v>0</v>
      </c>
      <c r="J1516" s="16">
        <f>OR(F1516&lt;&gt;0,G1516&lt;&gt;0,H1516&lt;&gt;0,I1516&lt;&gt;0)*(F1516 + (F1516 = 0))*(G1516 + (G1516 = 0))*(H1516 + (H1516 = 0))*(I1516 + (I1516 = 0))</f>
        <v>19.600000000000001</v>
      </c>
      <c r="K1516" s="9"/>
      <c r="L1516" s="9"/>
      <c r="M1516" s="9"/>
    </row>
    <row r="1517" spans="1:13">
      <c r="A1517" s="9"/>
      <c r="B1517" s="9"/>
      <c r="C1517" s="10" t="s">
        <v>27</v>
      </c>
      <c r="D1517" s="30"/>
      <c r="E1517" s="10" t="s">
        <v>17</v>
      </c>
      <c r="F1517" s="19">
        <v>-2</v>
      </c>
      <c r="G1517" s="20">
        <v>5.64</v>
      </c>
      <c r="H1517" s="20">
        <v>0</v>
      </c>
      <c r="I1517" s="20">
        <v>0</v>
      </c>
      <c r="J1517" s="16">
        <f>OR(F1517&lt;&gt;0,G1517&lt;&gt;0,H1517&lt;&gt;0,I1517&lt;&gt;0)*(F1517 + (F1517 = 0))*(G1517 + (G1517 = 0))*(H1517 + (H1517 = 0))*(I1517 + (I1517 = 0))</f>
        <v>-11.28</v>
      </c>
      <c r="K1517" s="9"/>
      <c r="L1517" s="9"/>
      <c r="M1517" s="9"/>
    </row>
    <row r="1518" spans="1:13">
      <c r="A1518" s="9"/>
      <c r="B1518" s="9"/>
      <c r="C1518" s="10" t="s">
        <v>27</v>
      </c>
      <c r="D1518" s="30"/>
      <c r="E1518" s="10" t="s">
        <v>17</v>
      </c>
      <c r="F1518" s="19">
        <v>1</v>
      </c>
      <c r="G1518" s="20">
        <v>5.75</v>
      </c>
      <c r="H1518" s="20">
        <v>0</v>
      </c>
      <c r="I1518" s="20">
        <v>1.95</v>
      </c>
      <c r="J1518" s="16">
        <f>OR(F1518&lt;&gt;0,G1518&lt;&gt;0,H1518&lt;&gt;0,I1518&lt;&gt;0)*(F1518 + (F1518 = 0))*(G1518 + (G1518 = 0))*(H1518 + (H1518 = 0))*(I1518 + (I1518 = 0))</f>
        <v>11.212999999999999</v>
      </c>
      <c r="K1518" s="9"/>
      <c r="L1518" s="9"/>
      <c r="M1518" s="9"/>
    </row>
    <row r="1519" spans="1:13">
      <c r="A1519" s="9"/>
      <c r="B1519" s="9"/>
      <c r="C1519" s="10" t="s">
        <v>27</v>
      </c>
      <c r="D1519" s="30"/>
      <c r="E1519" s="10" t="s">
        <v>17</v>
      </c>
      <c r="F1519" s="19">
        <v>1</v>
      </c>
      <c r="G1519" s="20">
        <v>6.5</v>
      </c>
      <c r="H1519" s="20">
        <v>0</v>
      </c>
      <c r="I1519" s="20">
        <v>2.7</v>
      </c>
      <c r="J1519" s="16">
        <f>OR(F1519&lt;&gt;0,G1519&lt;&gt;0,H1519&lt;&gt;0,I1519&lt;&gt;0)*(F1519 + (F1519 = 0))*(G1519 + (G1519 = 0))*(H1519 + (H1519 = 0))*(I1519 + (I1519 = 0))</f>
        <v>17.55</v>
      </c>
      <c r="K1519" s="9"/>
      <c r="L1519" s="9"/>
      <c r="M1519" s="9"/>
    </row>
    <row r="1520" spans="1:13">
      <c r="A1520" s="9"/>
      <c r="B1520" s="9"/>
      <c r="C1520" s="10" t="s">
        <v>27</v>
      </c>
      <c r="D1520" s="30"/>
      <c r="E1520" s="10" t="s">
        <v>17</v>
      </c>
      <c r="F1520" s="19">
        <v>-1</v>
      </c>
      <c r="G1520" s="20">
        <v>2.0299999999999998</v>
      </c>
      <c r="H1520" s="20">
        <v>0</v>
      </c>
      <c r="I1520" s="20">
        <v>0</v>
      </c>
      <c r="J1520" s="16">
        <f>OR(F1520&lt;&gt;0,G1520&lt;&gt;0,H1520&lt;&gt;0,I1520&lt;&gt;0)*(F1520 + (F1520 = 0))*(G1520 + (G1520 = 0))*(H1520 + (H1520 = 0))*(I1520 + (I1520 = 0))</f>
        <v>-2.0299999999999998</v>
      </c>
      <c r="K1520" s="9"/>
      <c r="L1520" s="9"/>
      <c r="M1520" s="9"/>
    </row>
    <row r="1521" spans="1:13">
      <c r="A1521" s="9"/>
      <c r="B1521" s="9"/>
      <c r="C1521" s="10" t="s">
        <v>27</v>
      </c>
      <c r="D1521" s="30"/>
      <c r="E1521" s="10" t="s">
        <v>17</v>
      </c>
      <c r="F1521" s="19">
        <v>-1</v>
      </c>
      <c r="G1521" s="20">
        <v>5.99</v>
      </c>
      <c r="H1521" s="20">
        <v>0</v>
      </c>
      <c r="I1521" s="20">
        <v>0</v>
      </c>
      <c r="J1521" s="16">
        <f>OR(F1521&lt;&gt;0,G1521&lt;&gt;0,H1521&lt;&gt;0,I1521&lt;&gt;0)*(F1521 + (F1521 = 0))*(G1521 + (G1521 = 0))*(H1521 + (H1521 = 0))*(I1521 + (I1521 = 0))</f>
        <v>-5.99</v>
      </c>
      <c r="K1521" s="9"/>
      <c r="L1521" s="9"/>
      <c r="M1521" s="9"/>
    </row>
    <row r="1522" spans="1:13">
      <c r="A1522" s="9"/>
      <c r="B1522" s="9"/>
      <c r="C1522" s="10" t="s">
        <v>27</v>
      </c>
      <c r="D1522" s="30"/>
      <c r="E1522" s="10" t="s">
        <v>17</v>
      </c>
      <c r="F1522" s="19">
        <v>2</v>
      </c>
      <c r="G1522" s="20">
        <v>1.7</v>
      </c>
      <c r="H1522" s="20">
        <v>0</v>
      </c>
      <c r="I1522" s="20">
        <v>2.35</v>
      </c>
      <c r="J1522" s="16">
        <f>OR(F1522&lt;&gt;0,G1522&lt;&gt;0,H1522&lt;&gt;0,I1522&lt;&gt;0)*(F1522 + (F1522 = 0))*(G1522 + (G1522 = 0))*(H1522 + (H1522 = 0))*(I1522 + (I1522 = 0))</f>
        <v>7.99</v>
      </c>
      <c r="K1522" s="9"/>
      <c r="L1522" s="9"/>
      <c r="M1522" s="9"/>
    </row>
    <row r="1523" spans="1:13">
      <c r="A1523" s="9"/>
      <c r="B1523" s="9"/>
      <c r="C1523" s="9"/>
      <c r="D1523" s="30"/>
      <c r="E1523" s="9"/>
      <c r="F1523" s="9"/>
      <c r="G1523" s="9"/>
      <c r="H1523" s="9"/>
      <c r="I1523" s="9"/>
      <c r="J1523" s="21" t="s">
        <v>1257</v>
      </c>
      <c r="K1523" s="22">
        <f>SUM(J1506:J1522)</f>
        <v>181.57300000000001</v>
      </c>
      <c r="L1523" s="23">
        <v>0</v>
      </c>
      <c r="M1523" s="24">
        <f>ROUND(K1523*L1523,2)</f>
        <v>0</v>
      </c>
    </row>
    <row r="1524" spans="1:13" ht="0.95" customHeight="1">
      <c r="A1524" s="25"/>
      <c r="B1524" s="25"/>
      <c r="C1524" s="25"/>
      <c r="D1524" s="31"/>
      <c r="E1524" s="25"/>
      <c r="F1524" s="25"/>
      <c r="G1524" s="25"/>
      <c r="H1524" s="25"/>
      <c r="I1524" s="25"/>
      <c r="J1524" s="25"/>
      <c r="K1524" s="25"/>
      <c r="L1524" s="25"/>
      <c r="M1524" s="25"/>
    </row>
    <row r="1525" spans="1:13" ht="33.75">
      <c r="A1525" s="15" t="s">
        <v>1258</v>
      </c>
      <c r="B1525" s="10" t="s">
        <v>23</v>
      </c>
      <c r="C1525" s="10" t="s">
        <v>94</v>
      </c>
      <c r="D1525" s="18" t="s">
        <v>1253</v>
      </c>
      <c r="E1525" s="9"/>
      <c r="F1525" s="9"/>
      <c r="G1525" s="9"/>
      <c r="H1525" s="9"/>
      <c r="I1525" s="9"/>
      <c r="J1525" s="9"/>
      <c r="K1525" s="16">
        <f>K1542</f>
        <v>117.60899999999999</v>
      </c>
      <c r="L1525" s="17">
        <f>L1542</f>
        <v>0</v>
      </c>
      <c r="M1525" s="17">
        <f>M1542</f>
        <v>0</v>
      </c>
    </row>
    <row r="1526" spans="1:13">
      <c r="A1526" s="9"/>
      <c r="B1526" s="9"/>
      <c r="C1526" s="9"/>
      <c r="D1526" s="18" t="s">
        <v>1259</v>
      </c>
      <c r="E1526" s="9"/>
      <c r="F1526" s="9"/>
      <c r="G1526" s="9"/>
      <c r="H1526" s="9"/>
      <c r="I1526" s="9"/>
      <c r="J1526" s="9"/>
      <c r="K1526" s="9"/>
      <c r="L1526" s="9"/>
      <c r="M1526" s="9"/>
    </row>
    <row r="1527" spans="1:13">
      <c r="A1527" s="9"/>
      <c r="B1527" s="9"/>
      <c r="C1527" s="10" t="s">
        <v>27</v>
      </c>
      <c r="D1527" s="30"/>
      <c r="E1527" s="10" t="s">
        <v>1087</v>
      </c>
      <c r="F1527" s="19">
        <v>1</v>
      </c>
      <c r="G1527" s="20">
        <v>7.62</v>
      </c>
      <c r="H1527" s="20">
        <v>0</v>
      </c>
      <c r="I1527" s="20">
        <v>0</v>
      </c>
      <c r="J1527" s="16">
        <f>OR(F1527&lt;&gt;0,G1527&lt;&gt;0,H1527&lt;&gt;0,I1527&lt;&gt;0)*(F1527 + (F1527 = 0))*(G1527 + (G1527 = 0))*(H1527 + (H1527 = 0))*(I1527 + (I1527 = 0))</f>
        <v>7.62</v>
      </c>
      <c r="K1527" s="9"/>
      <c r="L1527" s="9"/>
      <c r="M1527" s="9"/>
    </row>
    <row r="1528" spans="1:13">
      <c r="A1528" s="9"/>
      <c r="B1528" s="9"/>
      <c r="C1528" s="10" t="s">
        <v>27</v>
      </c>
      <c r="D1528" s="30"/>
      <c r="E1528" s="10" t="s">
        <v>1088</v>
      </c>
      <c r="F1528" s="19"/>
      <c r="G1528" s="20"/>
      <c r="H1528" s="20"/>
      <c r="I1528" s="20"/>
      <c r="J1528" s="16">
        <f>OR(F1528&lt;&gt;0,G1528&lt;&gt;0,H1528&lt;&gt;0,I1528&lt;&gt;0)*(F1528 + (F1528 = 0))*(G1528 + (G1528 = 0))*(H1528 + (H1528 = 0))*(I1528 + (I1528 = 0))</f>
        <v>0</v>
      </c>
      <c r="K1528" s="9"/>
      <c r="L1528" s="9"/>
      <c r="M1528" s="9"/>
    </row>
    <row r="1529" spans="1:13">
      <c r="A1529" s="9"/>
      <c r="B1529" s="9"/>
      <c r="C1529" s="10" t="s">
        <v>27</v>
      </c>
      <c r="D1529" s="30"/>
      <c r="E1529" s="10" t="s">
        <v>1092</v>
      </c>
      <c r="F1529" s="19"/>
      <c r="G1529" s="20"/>
      <c r="H1529" s="20"/>
      <c r="I1529" s="20"/>
      <c r="J1529" s="16">
        <f>OR(F1529&lt;&gt;0,G1529&lt;&gt;0,H1529&lt;&gt;0,I1529&lt;&gt;0)*(F1529 + (F1529 = 0))*(G1529 + (G1529 = 0))*(H1529 + (H1529 = 0))*(I1529 + (I1529 = 0))</f>
        <v>0</v>
      </c>
      <c r="K1529" s="9"/>
      <c r="L1529" s="9"/>
      <c r="M1529" s="9"/>
    </row>
    <row r="1530" spans="1:13">
      <c r="A1530" s="9"/>
      <c r="B1530" s="9"/>
      <c r="C1530" s="10" t="s">
        <v>27</v>
      </c>
      <c r="D1530" s="30"/>
      <c r="E1530" s="10" t="s">
        <v>616</v>
      </c>
      <c r="F1530" s="19">
        <v>1</v>
      </c>
      <c r="G1530" s="20">
        <v>2.77</v>
      </c>
      <c r="H1530" s="20">
        <v>0</v>
      </c>
      <c r="I1530" s="20">
        <v>0</v>
      </c>
      <c r="J1530" s="16">
        <f>OR(F1530&lt;&gt;0,G1530&lt;&gt;0,H1530&lt;&gt;0,I1530&lt;&gt;0)*(F1530 + (F1530 = 0))*(G1530 + (G1530 = 0))*(H1530 + (H1530 = 0))*(I1530 + (I1530 = 0))</f>
        <v>2.77</v>
      </c>
      <c r="K1530" s="9"/>
      <c r="L1530" s="9"/>
      <c r="M1530" s="9"/>
    </row>
    <row r="1531" spans="1:13">
      <c r="A1531" s="9"/>
      <c r="B1531" s="9"/>
      <c r="C1531" s="10" t="s">
        <v>27</v>
      </c>
      <c r="D1531" s="30"/>
      <c r="E1531" s="10" t="s">
        <v>617</v>
      </c>
      <c r="F1531" s="19">
        <v>1</v>
      </c>
      <c r="G1531" s="20">
        <v>3.27</v>
      </c>
      <c r="H1531" s="20">
        <v>0</v>
      </c>
      <c r="I1531" s="20">
        <v>0</v>
      </c>
      <c r="J1531" s="16">
        <f>OR(F1531&lt;&gt;0,G1531&lt;&gt;0,H1531&lt;&gt;0,I1531&lt;&gt;0)*(F1531 + (F1531 = 0))*(G1531 + (G1531 = 0))*(H1531 + (H1531 = 0))*(I1531 + (I1531 = 0))</f>
        <v>3.27</v>
      </c>
      <c r="K1531" s="9"/>
      <c r="L1531" s="9"/>
      <c r="M1531" s="9"/>
    </row>
    <row r="1532" spans="1:13">
      <c r="A1532" s="9"/>
      <c r="B1532" s="9"/>
      <c r="C1532" s="10" t="s">
        <v>27</v>
      </c>
      <c r="D1532" s="30"/>
      <c r="E1532" s="10" t="s">
        <v>613</v>
      </c>
      <c r="F1532" s="19">
        <v>1</v>
      </c>
      <c r="G1532" s="20">
        <v>13.5</v>
      </c>
      <c r="H1532" s="20">
        <v>0</v>
      </c>
      <c r="I1532" s="20">
        <v>0</v>
      </c>
      <c r="J1532" s="16">
        <f>OR(F1532&lt;&gt;0,G1532&lt;&gt;0,H1532&lt;&gt;0,I1532&lt;&gt;0)*(F1532 + (F1532 = 0))*(G1532 + (G1532 = 0))*(H1532 + (H1532 = 0))*(I1532 + (I1532 = 0))</f>
        <v>13.5</v>
      </c>
      <c r="K1532" s="9"/>
      <c r="L1532" s="9"/>
      <c r="M1532" s="9"/>
    </row>
    <row r="1533" spans="1:13">
      <c r="A1533" s="9"/>
      <c r="B1533" s="9"/>
      <c r="C1533" s="10" t="s">
        <v>27</v>
      </c>
      <c r="D1533" s="30"/>
      <c r="E1533" s="10" t="s">
        <v>1100</v>
      </c>
      <c r="F1533" s="19"/>
      <c r="G1533" s="20"/>
      <c r="H1533" s="20"/>
      <c r="I1533" s="20"/>
      <c r="J1533" s="16">
        <f>OR(F1533&lt;&gt;0,G1533&lt;&gt;0,H1533&lt;&gt;0,I1533&lt;&gt;0)*(F1533 + (F1533 = 0))*(G1533 + (G1533 = 0))*(H1533 + (H1533 = 0))*(I1533 + (I1533 = 0))</f>
        <v>0</v>
      </c>
      <c r="K1533" s="9"/>
      <c r="L1533" s="9"/>
      <c r="M1533" s="9"/>
    </row>
    <row r="1534" spans="1:13">
      <c r="A1534" s="9"/>
      <c r="B1534" s="9"/>
      <c r="C1534" s="10" t="s">
        <v>27</v>
      </c>
      <c r="D1534" s="30"/>
      <c r="E1534" s="10" t="s">
        <v>1101</v>
      </c>
      <c r="F1534" s="19">
        <v>1</v>
      </c>
      <c r="G1534" s="20">
        <v>6.5</v>
      </c>
      <c r="H1534" s="20">
        <v>4.3</v>
      </c>
      <c r="I1534" s="20">
        <v>0</v>
      </c>
      <c r="J1534" s="16">
        <f>OR(F1534&lt;&gt;0,G1534&lt;&gt;0,H1534&lt;&gt;0,I1534&lt;&gt;0)*(F1534 + (F1534 = 0))*(G1534 + (G1534 = 0))*(H1534 + (H1534 = 0))*(I1534 + (I1534 = 0))</f>
        <v>27.95</v>
      </c>
      <c r="K1534" s="9"/>
      <c r="L1534" s="9"/>
      <c r="M1534" s="9"/>
    </row>
    <row r="1535" spans="1:13">
      <c r="A1535" s="9"/>
      <c r="B1535" s="9"/>
      <c r="C1535" s="10" t="s">
        <v>27</v>
      </c>
      <c r="D1535" s="30"/>
      <c r="E1535" s="10" t="s">
        <v>17</v>
      </c>
      <c r="F1535" s="19">
        <v>1</v>
      </c>
      <c r="G1535" s="20">
        <v>6.5</v>
      </c>
      <c r="H1535" s="20">
        <v>6.25</v>
      </c>
      <c r="I1535" s="20">
        <v>0</v>
      </c>
      <c r="J1535" s="16">
        <f>OR(F1535&lt;&gt;0,G1535&lt;&gt;0,H1535&lt;&gt;0,I1535&lt;&gt;0)*(F1535 + (F1535 = 0))*(G1535 + (G1535 = 0))*(H1535 + (H1535 = 0))*(I1535 + (I1535 = 0))</f>
        <v>40.625</v>
      </c>
      <c r="K1535" s="9"/>
      <c r="L1535" s="9"/>
      <c r="M1535" s="9"/>
    </row>
    <row r="1536" spans="1:13">
      <c r="A1536" s="9"/>
      <c r="B1536" s="9"/>
      <c r="C1536" s="10" t="s">
        <v>27</v>
      </c>
      <c r="D1536" s="30"/>
      <c r="E1536" s="10" t="s">
        <v>17</v>
      </c>
      <c r="F1536" s="19">
        <v>1</v>
      </c>
      <c r="G1536" s="20">
        <v>5.6</v>
      </c>
      <c r="H1536" s="20">
        <v>4.1500000000000004</v>
      </c>
      <c r="I1536" s="20">
        <v>0</v>
      </c>
      <c r="J1536" s="16">
        <f>OR(F1536&lt;&gt;0,G1536&lt;&gt;0,H1536&lt;&gt;0,I1536&lt;&gt;0)*(F1536 + (F1536 = 0))*(G1536 + (G1536 = 0))*(H1536 + (H1536 = 0))*(I1536 + (I1536 = 0))</f>
        <v>23.24</v>
      </c>
      <c r="K1536" s="9"/>
      <c r="L1536" s="9"/>
      <c r="M1536" s="9"/>
    </row>
    <row r="1537" spans="1:13">
      <c r="A1537" s="9"/>
      <c r="B1537" s="9"/>
      <c r="C1537" s="10" t="s">
        <v>27</v>
      </c>
      <c r="D1537" s="30"/>
      <c r="E1537" s="10" t="s">
        <v>17</v>
      </c>
      <c r="F1537" s="19">
        <v>-1</v>
      </c>
      <c r="G1537" s="20">
        <v>1.75</v>
      </c>
      <c r="H1537" s="20">
        <v>2.4500000000000002</v>
      </c>
      <c r="I1537" s="20">
        <v>0</v>
      </c>
      <c r="J1537" s="16">
        <f>OR(F1537&lt;&gt;0,G1537&lt;&gt;0,H1537&lt;&gt;0,I1537&lt;&gt;0)*(F1537 + (F1537 = 0))*(G1537 + (G1537 = 0))*(H1537 + (H1537 = 0))*(I1537 + (I1537 = 0))</f>
        <v>-4.2880000000000003</v>
      </c>
      <c r="K1537" s="9"/>
      <c r="L1537" s="9"/>
      <c r="M1537" s="9"/>
    </row>
    <row r="1538" spans="1:13">
      <c r="A1538" s="9"/>
      <c r="B1538" s="9"/>
      <c r="C1538" s="10" t="s">
        <v>27</v>
      </c>
      <c r="D1538" s="30"/>
      <c r="E1538" s="10" t="s">
        <v>17</v>
      </c>
      <c r="F1538" s="19">
        <v>-1</v>
      </c>
      <c r="G1538" s="20">
        <v>2.5499999999999998</v>
      </c>
      <c r="H1538" s="20">
        <v>2.4500000000000002</v>
      </c>
      <c r="I1538" s="20">
        <v>0</v>
      </c>
      <c r="J1538" s="16">
        <f>OR(F1538&lt;&gt;0,G1538&lt;&gt;0,H1538&lt;&gt;0,I1538&lt;&gt;0)*(F1538 + (F1538 = 0))*(G1538 + (G1538 = 0))*(H1538 + (H1538 = 0))*(I1538 + (I1538 = 0))</f>
        <v>-6.2480000000000002</v>
      </c>
      <c r="K1538" s="9"/>
      <c r="L1538" s="9"/>
      <c r="M1538" s="9"/>
    </row>
    <row r="1539" spans="1:13">
      <c r="A1539" s="9"/>
      <c r="B1539" s="9"/>
      <c r="C1539" s="10" t="s">
        <v>27</v>
      </c>
      <c r="D1539" s="30"/>
      <c r="E1539" s="10" t="s">
        <v>1260</v>
      </c>
      <c r="F1539" s="19">
        <v>1</v>
      </c>
      <c r="G1539" s="20">
        <v>21.9</v>
      </c>
      <c r="H1539" s="20">
        <v>0.2</v>
      </c>
      <c r="I1539" s="20">
        <v>0</v>
      </c>
      <c r="J1539" s="16">
        <f>OR(F1539&lt;&gt;0,G1539&lt;&gt;0,H1539&lt;&gt;0,I1539&lt;&gt;0)*(F1539 + (F1539 = 0))*(G1539 + (G1539 = 0))*(H1539 + (H1539 = 0))*(I1539 + (I1539 = 0))</f>
        <v>4.38</v>
      </c>
      <c r="K1539" s="9"/>
      <c r="L1539" s="9"/>
      <c r="M1539" s="9"/>
    </row>
    <row r="1540" spans="1:13">
      <c r="A1540" s="9"/>
      <c r="B1540" s="9"/>
      <c r="C1540" s="10" t="s">
        <v>27</v>
      </c>
      <c r="D1540" s="30"/>
      <c r="E1540" s="10" t="s">
        <v>1234</v>
      </c>
      <c r="F1540" s="19">
        <v>1</v>
      </c>
      <c r="G1540" s="20">
        <v>2.0099999999999998</v>
      </c>
      <c r="H1540" s="20">
        <v>0</v>
      </c>
      <c r="I1540" s="20">
        <v>0</v>
      </c>
      <c r="J1540" s="16">
        <f>OR(F1540&lt;&gt;0,G1540&lt;&gt;0,H1540&lt;&gt;0,I1540&lt;&gt;0)*(F1540 + (F1540 = 0))*(G1540 + (G1540 = 0))*(H1540 + (H1540 = 0))*(I1540 + (I1540 = 0))</f>
        <v>2.0099999999999998</v>
      </c>
      <c r="K1540" s="9"/>
      <c r="L1540" s="9"/>
      <c r="M1540" s="9"/>
    </row>
    <row r="1541" spans="1:13">
      <c r="A1541" s="9"/>
      <c r="B1541" s="9"/>
      <c r="C1541" s="10" t="s">
        <v>27</v>
      </c>
      <c r="D1541" s="30"/>
      <c r="E1541" s="10" t="s">
        <v>1261</v>
      </c>
      <c r="F1541" s="19">
        <v>1</v>
      </c>
      <c r="G1541" s="20">
        <v>2.78</v>
      </c>
      <c r="H1541" s="20">
        <v>0</v>
      </c>
      <c r="I1541" s="20">
        <v>0</v>
      </c>
      <c r="J1541" s="16">
        <f>OR(F1541&lt;&gt;0,G1541&lt;&gt;0,H1541&lt;&gt;0,I1541&lt;&gt;0)*(F1541 + (F1541 = 0))*(G1541 + (G1541 = 0))*(H1541 + (H1541 = 0))*(I1541 + (I1541 = 0))</f>
        <v>2.78</v>
      </c>
      <c r="K1541" s="9"/>
      <c r="L1541" s="9"/>
      <c r="M1541" s="9"/>
    </row>
    <row r="1542" spans="1:13">
      <c r="A1542" s="9"/>
      <c r="B1542" s="9"/>
      <c r="C1542" s="9"/>
      <c r="D1542" s="30"/>
      <c r="E1542" s="9"/>
      <c r="F1542" s="9"/>
      <c r="G1542" s="9"/>
      <c r="H1542" s="9"/>
      <c r="I1542" s="9"/>
      <c r="J1542" s="21" t="s">
        <v>1262</v>
      </c>
      <c r="K1542" s="22">
        <f>SUM(J1527:J1541)</f>
        <v>117.60899999999999</v>
      </c>
      <c r="L1542" s="23">
        <v>0</v>
      </c>
      <c r="M1542" s="24">
        <f>ROUND(K1542*L1542,2)</f>
        <v>0</v>
      </c>
    </row>
    <row r="1543" spans="1:13" ht="0.95" customHeight="1">
      <c r="A1543" s="25"/>
      <c r="B1543" s="25"/>
      <c r="C1543" s="25"/>
      <c r="D1543" s="31"/>
      <c r="E1543" s="25"/>
      <c r="F1543" s="25"/>
      <c r="G1543" s="25"/>
      <c r="H1543" s="25"/>
      <c r="I1543" s="25"/>
      <c r="J1543" s="25"/>
      <c r="K1543" s="25"/>
      <c r="L1543" s="25"/>
      <c r="M1543" s="25"/>
    </row>
    <row r="1544" spans="1:13">
      <c r="A1544" s="9"/>
      <c r="B1544" s="9"/>
      <c r="C1544" s="9"/>
      <c r="D1544" s="30"/>
      <c r="E1544" s="9"/>
      <c r="F1544" s="9"/>
      <c r="G1544" s="9"/>
      <c r="H1544" s="9"/>
      <c r="I1544" s="9"/>
      <c r="J1544" s="21" t="s">
        <v>1263</v>
      </c>
      <c r="K1544" s="20">
        <v>1</v>
      </c>
      <c r="L1544" s="24">
        <f>M1490+M1504+M1525</f>
        <v>0</v>
      </c>
      <c r="M1544" s="24">
        <f>ROUND(K1544*L1544,2)</f>
        <v>0</v>
      </c>
    </row>
    <row r="1545" spans="1:13" ht="0.95" customHeight="1">
      <c r="A1545" s="25"/>
      <c r="B1545" s="25"/>
      <c r="C1545" s="25"/>
      <c r="D1545" s="31"/>
      <c r="E1545" s="25"/>
      <c r="F1545" s="25"/>
      <c r="G1545" s="25"/>
      <c r="H1545" s="25"/>
      <c r="I1545" s="25"/>
      <c r="J1545" s="25"/>
      <c r="K1545" s="25"/>
      <c r="L1545" s="25"/>
      <c r="M1545" s="25"/>
    </row>
    <row r="1546" spans="1:13">
      <c r="A1546" s="11" t="s">
        <v>1264</v>
      </c>
      <c r="B1546" s="11" t="s">
        <v>16</v>
      </c>
      <c r="C1546" s="11" t="s">
        <v>17</v>
      </c>
      <c r="D1546" s="29" t="s">
        <v>1265</v>
      </c>
      <c r="E1546" s="12"/>
      <c r="F1546" s="12"/>
      <c r="G1546" s="12"/>
      <c r="H1546" s="12"/>
      <c r="I1546" s="12"/>
      <c r="J1546" s="12"/>
      <c r="K1546" s="13">
        <f>K1561</f>
        <v>1</v>
      </c>
      <c r="L1546" s="14">
        <f>L1561</f>
        <v>0</v>
      </c>
      <c r="M1546" s="14">
        <f>M1561</f>
        <v>0</v>
      </c>
    </row>
    <row r="1547" spans="1:13">
      <c r="A1547" s="9"/>
      <c r="B1547" s="9"/>
      <c r="C1547" s="9"/>
      <c r="D1547" s="18" t="s">
        <v>1265</v>
      </c>
      <c r="E1547" s="9"/>
      <c r="F1547" s="9"/>
      <c r="G1547" s="9"/>
      <c r="H1547" s="9"/>
      <c r="I1547" s="9"/>
      <c r="J1547" s="9"/>
      <c r="K1547" s="9"/>
      <c r="L1547" s="9"/>
      <c r="M1547" s="9"/>
    </row>
    <row r="1548" spans="1:13" ht="22.5">
      <c r="A1548" s="15" t="s">
        <v>1266</v>
      </c>
      <c r="B1548" s="10" t="s">
        <v>23</v>
      </c>
      <c r="C1548" s="10" t="s">
        <v>94</v>
      </c>
      <c r="D1548" s="18" t="s">
        <v>1267</v>
      </c>
      <c r="E1548" s="9"/>
      <c r="F1548" s="9"/>
      <c r="G1548" s="9"/>
      <c r="H1548" s="9"/>
      <c r="I1548" s="9"/>
      <c r="J1548" s="9"/>
      <c r="K1548" s="16">
        <f>K1559</f>
        <v>178.84</v>
      </c>
      <c r="L1548" s="17">
        <f>L1559</f>
        <v>0</v>
      </c>
      <c r="M1548" s="17">
        <f>M1559</f>
        <v>0</v>
      </c>
    </row>
    <row r="1549" spans="1:13">
      <c r="A1549" s="9"/>
      <c r="B1549" s="9"/>
      <c r="C1549" s="9"/>
      <c r="D1549" s="18" t="s">
        <v>1268</v>
      </c>
      <c r="E1549" s="9"/>
      <c r="F1549" s="9"/>
      <c r="G1549" s="9"/>
      <c r="H1549" s="9"/>
      <c r="I1549" s="9"/>
      <c r="J1549" s="9"/>
      <c r="K1549" s="9"/>
      <c r="L1549" s="9"/>
      <c r="M1549" s="9"/>
    </row>
    <row r="1550" spans="1:13">
      <c r="A1550" s="9"/>
      <c r="B1550" s="9"/>
      <c r="C1550" s="10" t="s">
        <v>27</v>
      </c>
      <c r="D1550" s="30"/>
      <c r="E1550" s="10" t="s">
        <v>684</v>
      </c>
      <c r="F1550" s="19"/>
      <c r="G1550" s="20"/>
      <c r="H1550" s="20"/>
      <c r="I1550" s="20"/>
      <c r="J1550" s="16">
        <f>OR(F1550&lt;&gt;0,G1550&lt;&gt;0,H1550&lt;&gt;0,I1550&lt;&gt;0)*(F1550 + (F1550 = 0))*(G1550 + (G1550 = 0))*(H1550 + (H1550 = 0))*(I1550 + (I1550 = 0))</f>
        <v>0</v>
      </c>
      <c r="K1550" s="9"/>
      <c r="L1550" s="9"/>
      <c r="M1550" s="9"/>
    </row>
    <row r="1551" spans="1:13">
      <c r="A1551" s="9"/>
      <c r="B1551" s="9"/>
      <c r="C1551" s="10" t="s">
        <v>27</v>
      </c>
      <c r="D1551" s="30"/>
      <c r="E1551" s="10" t="s">
        <v>685</v>
      </c>
      <c r="F1551" s="19">
        <v>1</v>
      </c>
      <c r="G1551" s="20">
        <v>78.099999999999994</v>
      </c>
      <c r="H1551" s="20">
        <v>0</v>
      </c>
      <c r="I1551" s="20">
        <v>0</v>
      </c>
      <c r="J1551" s="16">
        <f>OR(F1551&lt;&gt;0,G1551&lt;&gt;0,H1551&lt;&gt;0,I1551&lt;&gt;0)*(F1551 + (F1551 = 0))*(G1551 + (G1551 = 0))*(H1551 + (H1551 = 0))*(I1551 + (I1551 = 0))</f>
        <v>78.099999999999994</v>
      </c>
      <c r="K1551" s="9"/>
      <c r="L1551" s="9"/>
      <c r="M1551" s="9"/>
    </row>
    <row r="1552" spans="1:13">
      <c r="A1552" s="9"/>
      <c r="B1552" s="9"/>
      <c r="C1552" s="10" t="s">
        <v>27</v>
      </c>
      <c r="D1552" s="30"/>
      <c r="E1552" s="10" t="s">
        <v>17</v>
      </c>
      <c r="F1552" s="19">
        <v>1</v>
      </c>
      <c r="G1552" s="20">
        <v>1.2</v>
      </c>
      <c r="H1552" s="20">
        <v>0</v>
      </c>
      <c r="I1552" s="20">
        <v>2.85</v>
      </c>
      <c r="J1552" s="16">
        <f>OR(F1552&lt;&gt;0,G1552&lt;&gt;0,H1552&lt;&gt;0,I1552&lt;&gt;0)*(F1552 + (F1552 = 0))*(G1552 + (G1552 = 0))*(H1552 + (H1552 = 0))*(I1552 + (I1552 = 0))</f>
        <v>3.42</v>
      </c>
      <c r="K1552" s="9"/>
      <c r="L1552" s="9"/>
      <c r="M1552" s="9"/>
    </row>
    <row r="1553" spans="1:13">
      <c r="A1553" s="9"/>
      <c r="B1553" s="9"/>
      <c r="C1553" s="10" t="s">
        <v>27</v>
      </c>
      <c r="D1553" s="30"/>
      <c r="E1553" s="10" t="s">
        <v>17</v>
      </c>
      <c r="F1553" s="19">
        <v>-1</v>
      </c>
      <c r="G1553" s="20">
        <v>15.13</v>
      </c>
      <c r="H1553" s="20">
        <v>0</v>
      </c>
      <c r="I1553" s="20">
        <v>0</v>
      </c>
      <c r="J1553" s="16">
        <f>OR(F1553&lt;&gt;0,G1553&lt;&gt;0,H1553&lt;&gt;0,I1553&lt;&gt;0)*(F1553 + (F1553 = 0))*(G1553 + (G1553 = 0))*(H1553 + (H1553 = 0))*(I1553 + (I1553 = 0))</f>
        <v>-15.13</v>
      </c>
      <c r="K1553" s="9"/>
      <c r="L1553" s="9"/>
      <c r="M1553" s="9"/>
    </row>
    <row r="1554" spans="1:13">
      <c r="A1554" s="9"/>
      <c r="B1554" s="9"/>
      <c r="C1554" s="10" t="s">
        <v>27</v>
      </c>
      <c r="D1554" s="30"/>
      <c r="E1554" s="10" t="s">
        <v>686</v>
      </c>
      <c r="F1554" s="19">
        <v>1</v>
      </c>
      <c r="G1554" s="20">
        <v>91.4</v>
      </c>
      <c r="H1554" s="20">
        <v>0</v>
      </c>
      <c r="I1554" s="20">
        <v>0</v>
      </c>
      <c r="J1554" s="16">
        <f>OR(F1554&lt;&gt;0,G1554&lt;&gt;0,H1554&lt;&gt;0,I1554&lt;&gt;0)*(F1554 + (F1554 = 0))*(G1554 + (G1554 = 0))*(H1554 + (H1554 = 0))*(I1554 + (I1554 = 0))</f>
        <v>91.4</v>
      </c>
      <c r="K1554" s="9"/>
      <c r="L1554" s="9"/>
      <c r="M1554" s="9"/>
    </row>
    <row r="1555" spans="1:13">
      <c r="A1555" s="9"/>
      <c r="B1555" s="9"/>
      <c r="C1555" s="10" t="s">
        <v>27</v>
      </c>
      <c r="D1555" s="30"/>
      <c r="E1555" s="10" t="s">
        <v>17</v>
      </c>
      <c r="F1555" s="19">
        <v>-1</v>
      </c>
      <c r="G1555" s="20">
        <v>13.43</v>
      </c>
      <c r="H1555" s="20">
        <v>0</v>
      </c>
      <c r="I1555" s="20">
        <v>0</v>
      </c>
      <c r="J1555" s="16">
        <f>OR(F1555&lt;&gt;0,G1555&lt;&gt;0,H1555&lt;&gt;0,I1555&lt;&gt;0)*(F1555 + (F1555 = 0))*(G1555 + (G1555 = 0))*(H1555 + (H1555 = 0))*(I1555 + (I1555 = 0))</f>
        <v>-13.43</v>
      </c>
      <c r="K1555" s="9"/>
      <c r="L1555" s="9"/>
      <c r="M1555" s="9"/>
    </row>
    <row r="1556" spans="1:13">
      <c r="A1556" s="9"/>
      <c r="B1556" s="9"/>
      <c r="C1556" s="10" t="s">
        <v>27</v>
      </c>
      <c r="D1556" s="30"/>
      <c r="E1556" s="10" t="s">
        <v>687</v>
      </c>
      <c r="F1556" s="19">
        <v>1</v>
      </c>
      <c r="G1556" s="20">
        <v>25.44</v>
      </c>
      <c r="H1556" s="20">
        <v>0</v>
      </c>
      <c r="I1556" s="20">
        <v>0</v>
      </c>
      <c r="J1556" s="16">
        <f>OR(F1556&lt;&gt;0,G1556&lt;&gt;0,H1556&lt;&gt;0,I1556&lt;&gt;0)*(F1556 + (F1556 = 0))*(G1556 + (G1556 = 0))*(H1556 + (H1556 = 0))*(I1556 + (I1556 = 0))</f>
        <v>25.44</v>
      </c>
      <c r="K1556" s="9"/>
      <c r="L1556" s="9"/>
      <c r="M1556" s="9"/>
    </row>
    <row r="1557" spans="1:13">
      <c r="A1557" s="9"/>
      <c r="B1557" s="9"/>
      <c r="C1557" s="10" t="s">
        <v>27</v>
      </c>
      <c r="D1557" s="30"/>
      <c r="E1557" s="10" t="s">
        <v>17</v>
      </c>
      <c r="F1557" s="19">
        <v>-1</v>
      </c>
      <c r="G1557" s="20">
        <v>1.86</v>
      </c>
      <c r="H1557" s="20">
        <v>0</v>
      </c>
      <c r="I1557" s="20">
        <v>0</v>
      </c>
      <c r="J1557" s="16">
        <f>OR(F1557&lt;&gt;0,G1557&lt;&gt;0,H1557&lt;&gt;0,I1557&lt;&gt;0)*(F1557 + (F1557 = 0))*(G1557 + (G1557 = 0))*(H1557 + (H1557 = 0))*(I1557 + (I1557 = 0))</f>
        <v>-1.86</v>
      </c>
      <c r="K1557" s="9"/>
      <c r="L1557" s="9"/>
      <c r="M1557" s="9"/>
    </row>
    <row r="1558" spans="1:13">
      <c r="A1558" s="9"/>
      <c r="B1558" s="9"/>
      <c r="C1558" s="10" t="s">
        <v>27</v>
      </c>
      <c r="D1558" s="30"/>
      <c r="E1558" s="10" t="s">
        <v>688</v>
      </c>
      <c r="F1558" s="19">
        <v>1</v>
      </c>
      <c r="G1558" s="20">
        <v>10.9</v>
      </c>
      <c r="H1558" s="20">
        <v>0</v>
      </c>
      <c r="I1558" s="20">
        <v>0</v>
      </c>
      <c r="J1558" s="16">
        <f>OR(F1558&lt;&gt;0,G1558&lt;&gt;0,H1558&lt;&gt;0,I1558&lt;&gt;0)*(F1558 + (F1558 = 0))*(G1558 + (G1558 = 0))*(H1558 + (H1558 = 0))*(I1558 + (I1558 = 0))</f>
        <v>10.9</v>
      </c>
      <c r="K1558" s="9"/>
      <c r="L1558" s="9"/>
      <c r="M1558" s="9"/>
    </row>
    <row r="1559" spans="1:13">
      <c r="A1559" s="9"/>
      <c r="B1559" s="9"/>
      <c r="C1559" s="9"/>
      <c r="D1559" s="30"/>
      <c r="E1559" s="9"/>
      <c r="F1559" s="9"/>
      <c r="G1559" s="9"/>
      <c r="H1559" s="9"/>
      <c r="I1559" s="9"/>
      <c r="J1559" s="21" t="s">
        <v>1269</v>
      </c>
      <c r="K1559" s="22">
        <f>SUM(J1550:J1558)</f>
        <v>178.84</v>
      </c>
      <c r="L1559" s="23">
        <v>0</v>
      </c>
      <c r="M1559" s="24">
        <f>ROUND(K1559*L1559,2)</f>
        <v>0</v>
      </c>
    </row>
    <row r="1560" spans="1:13" ht="0.95" customHeight="1">
      <c r="A1560" s="25"/>
      <c r="B1560" s="25"/>
      <c r="C1560" s="25"/>
      <c r="D1560" s="31"/>
      <c r="E1560" s="25"/>
      <c r="F1560" s="25"/>
      <c r="G1560" s="25"/>
      <c r="H1560" s="25"/>
      <c r="I1560" s="25"/>
      <c r="J1560" s="25"/>
      <c r="K1560" s="25"/>
      <c r="L1560" s="25"/>
      <c r="M1560" s="25"/>
    </row>
    <row r="1561" spans="1:13">
      <c r="A1561" s="9"/>
      <c r="B1561" s="9"/>
      <c r="C1561" s="9"/>
      <c r="D1561" s="30"/>
      <c r="E1561" s="9"/>
      <c r="F1561" s="9"/>
      <c r="G1561" s="9"/>
      <c r="H1561" s="9"/>
      <c r="I1561" s="9"/>
      <c r="J1561" s="21" t="s">
        <v>1270</v>
      </c>
      <c r="K1561" s="20">
        <v>1</v>
      </c>
      <c r="L1561" s="24">
        <f>M1548</f>
        <v>0</v>
      </c>
      <c r="M1561" s="24">
        <f>ROUND(K1561*L1561,2)</f>
        <v>0</v>
      </c>
    </row>
    <row r="1562" spans="1:13" ht="0.95" customHeight="1">
      <c r="A1562" s="25"/>
      <c r="B1562" s="25"/>
      <c r="C1562" s="25"/>
      <c r="D1562" s="31"/>
      <c r="E1562" s="25"/>
      <c r="F1562" s="25"/>
      <c r="G1562" s="25"/>
      <c r="H1562" s="25"/>
      <c r="I1562" s="25"/>
      <c r="J1562" s="25"/>
      <c r="K1562" s="25"/>
      <c r="L1562" s="25"/>
      <c r="M1562" s="25"/>
    </row>
    <row r="1563" spans="1:13">
      <c r="A1563" s="11" t="s">
        <v>1271</v>
      </c>
      <c r="B1563" s="11" t="s">
        <v>16</v>
      </c>
      <c r="C1563" s="11" t="s">
        <v>17</v>
      </c>
      <c r="D1563" s="29" t="s">
        <v>1272</v>
      </c>
      <c r="E1563" s="12"/>
      <c r="F1563" s="12"/>
      <c r="G1563" s="12"/>
      <c r="H1563" s="12"/>
      <c r="I1563" s="12"/>
      <c r="J1563" s="12"/>
      <c r="K1563" s="13">
        <f>K1591</f>
        <v>1</v>
      </c>
      <c r="L1563" s="14">
        <f>L1591</f>
        <v>0</v>
      </c>
      <c r="M1563" s="14">
        <f>M1591</f>
        <v>0</v>
      </c>
    </row>
    <row r="1564" spans="1:13">
      <c r="A1564" s="15" t="s">
        <v>1273</v>
      </c>
      <c r="B1564" s="10" t="s">
        <v>23</v>
      </c>
      <c r="C1564" s="10" t="s">
        <v>94</v>
      </c>
      <c r="D1564" s="18" t="s">
        <v>1274</v>
      </c>
      <c r="E1564" s="9"/>
      <c r="F1564" s="9"/>
      <c r="G1564" s="9"/>
      <c r="H1564" s="9"/>
      <c r="I1564" s="9"/>
      <c r="J1564" s="9"/>
      <c r="K1564" s="16">
        <f>K1569</f>
        <v>69.5</v>
      </c>
      <c r="L1564" s="17">
        <f>L1569</f>
        <v>0</v>
      </c>
      <c r="M1564" s="17">
        <f>M1569</f>
        <v>0</v>
      </c>
    </row>
    <row r="1565" spans="1:13">
      <c r="A1565" s="9"/>
      <c r="B1565" s="9"/>
      <c r="C1565" s="9"/>
      <c r="D1565" s="18" t="s">
        <v>1275</v>
      </c>
      <c r="E1565" s="9"/>
      <c r="F1565" s="9"/>
      <c r="G1565" s="9"/>
      <c r="H1565" s="9"/>
      <c r="I1565" s="9"/>
      <c r="J1565" s="9"/>
      <c r="K1565" s="9"/>
      <c r="L1565" s="9"/>
      <c r="M1565" s="9"/>
    </row>
    <row r="1566" spans="1:13">
      <c r="A1566" s="9"/>
      <c r="B1566" s="9"/>
      <c r="C1566" s="10" t="s">
        <v>27</v>
      </c>
      <c r="D1566" s="30"/>
      <c r="E1566" s="10" t="s">
        <v>1276</v>
      </c>
      <c r="F1566" s="19"/>
      <c r="G1566" s="23"/>
      <c r="H1566" s="23"/>
      <c r="I1566" s="23"/>
      <c r="J1566" s="17">
        <f>OR(F1566&lt;&gt;0,G1566&lt;&gt;0,H1566&lt;&gt;0,I1566&lt;&gt;0)*(F1566 + (F1566 = 0))*(G1566 + (G1566 = 0))*(H1566 + (H1566 = 0))*(I1566 + (I1566 = 0))</f>
        <v>0</v>
      </c>
      <c r="K1566" s="9"/>
      <c r="L1566" s="9"/>
      <c r="M1566" s="9"/>
    </row>
    <row r="1567" spans="1:13">
      <c r="A1567" s="9"/>
      <c r="B1567" s="9"/>
      <c r="C1567" s="10" t="s">
        <v>27</v>
      </c>
      <c r="D1567" s="30"/>
      <c r="E1567" s="10" t="s">
        <v>228</v>
      </c>
      <c r="F1567" s="19"/>
      <c r="G1567" s="23"/>
      <c r="H1567" s="23"/>
      <c r="I1567" s="23"/>
      <c r="J1567" s="17">
        <f>OR(F1567&lt;&gt;0,G1567&lt;&gt;0,H1567&lt;&gt;0,I1567&lt;&gt;0)*(F1567 + (F1567 = 0))*(G1567 + (G1567 = 0))*(H1567 + (H1567 = 0))*(I1567 + (I1567 = 0))</f>
        <v>0</v>
      </c>
      <c r="K1567" s="9"/>
      <c r="L1567" s="9"/>
      <c r="M1567" s="9"/>
    </row>
    <row r="1568" spans="1:13">
      <c r="A1568" s="9"/>
      <c r="B1568" s="9"/>
      <c r="C1568" s="10" t="s">
        <v>27</v>
      </c>
      <c r="D1568" s="30"/>
      <c r="E1568" s="10" t="s">
        <v>17</v>
      </c>
      <c r="F1568" s="19">
        <v>1</v>
      </c>
      <c r="G1568" s="23">
        <v>69.5</v>
      </c>
      <c r="H1568" s="23">
        <v>0</v>
      </c>
      <c r="I1568" s="23">
        <v>0</v>
      </c>
      <c r="J1568" s="17">
        <f>OR(F1568&lt;&gt;0,G1568&lt;&gt;0,H1568&lt;&gt;0,I1568&lt;&gt;0)*(F1568 + (F1568 = 0))*(G1568 + (G1568 = 0))*(H1568 + (H1568 = 0))*(I1568 + (I1568 = 0))</f>
        <v>69.5</v>
      </c>
      <c r="K1568" s="9"/>
      <c r="L1568" s="9"/>
      <c r="M1568" s="9"/>
    </row>
    <row r="1569" spans="1:13">
      <c r="A1569" s="9"/>
      <c r="B1569" s="9"/>
      <c r="C1569" s="9"/>
      <c r="D1569" s="30"/>
      <c r="E1569" s="9"/>
      <c r="F1569" s="9"/>
      <c r="G1569" s="9"/>
      <c r="H1569" s="9"/>
      <c r="I1569" s="9"/>
      <c r="J1569" s="21" t="s">
        <v>1277</v>
      </c>
      <c r="K1569" s="22">
        <f>SUM(J1566:J1568)</f>
        <v>69.5</v>
      </c>
      <c r="L1569" s="23">
        <v>0</v>
      </c>
      <c r="M1569" s="24">
        <f>ROUND(K1569*L1569,2)</f>
        <v>0</v>
      </c>
    </row>
    <row r="1570" spans="1:13" ht="0.95" customHeight="1">
      <c r="A1570" s="25"/>
      <c r="B1570" s="25"/>
      <c r="C1570" s="25"/>
      <c r="D1570" s="31"/>
      <c r="E1570" s="25"/>
      <c r="F1570" s="25"/>
      <c r="G1570" s="25"/>
      <c r="H1570" s="25"/>
      <c r="I1570" s="25"/>
      <c r="J1570" s="25"/>
      <c r="K1570" s="25"/>
      <c r="L1570" s="25"/>
      <c r="M1570" s="25"/>
    </row>
    <row r="1571" spans="1:13" ht="22.5">
      <c r="A1571" s="15" t="s">
        <v>1278</v>
      </c>
      <c r="B1571" s="10" t="s">
        <v>23</v>
      </c>
      <c r="C1571" s="10" t="s">
        <v>204</v>
      </c>
      <c r="D1571" s="18" t="s">
        <v>1279</v>
      </c>
      <c r="E1571" s="9"/>
      <c r="F1571" s="9"/>
      <c r="G1571" s="9"/>
      <c r="H1571" s="9"/>
      <c r="I1571" s="9"/>
      <c r="J1571" s="9"/>
      <c r="K1571" s="16">
        <f>K1578</f>
        <v>105.21</v>
      </c>
      <c r="L1571" s="17">
        <f>L1578</f>
        <v>0</v>
      </c>
      <c r="M1571" s="17">
        <f>M1578</f>
        <v>0</v>
      </c>
    </row>
    <row r="1572" spans="1:13">
      <c r="A1572" s="9"/>
      <c r="B1572" s="9"/>
      <c r="C1572" s="9"/>
      <c r="D1572" s="18" t="s">
        <v>1280</v>
      </c>
      <c r="E1572" s="9"/>
      <c r="F1572" s="9"/>
      <c r="G1572" s="9"/>
      <c r="H1572" s="9"/>
      <c r="I1572" s="9"/>
      <c r="J1572" s="9"/>
      <c r="K1572" s="9"/>
      <c r="L1572" s="9"/>
      <c r="M1572" s="9"/>
    </row>
    <row r="1573" spans="1:13">
      <c r="A1573" s="9"/>
      <c r="B1573" s="9"/>
      <c r="C1573" s="10" t="s">
        <v>27</v>
      </c>
      <c r="D1573" s="30"/>
      <c r="E1573" s="10" t="s">
        <v>1281</v>
      </c>
      <c r="F1573" s="19"/>
      <c r="G1573" s="23"/>
      <c r="H1573" s="23"/>
      <c r="I1573" s="23"/>
      <c r="J1573" s="17">
        <f>OR(F1573&lt;&gt;0,G1573&lt;&gt;0,H1573&lt;&gt;0,I1573&lt;&gt;0)*(F1573 + (F1573 = 0))*(G1573 + (G1573 = 0))*(H1573 + (H1573 = 0))*(I1573 + (I1573 = 0))</f>
        <v>0</v>
      </c>
      <c r="K1573" s="9"/>
      <c r="L1573" s="9"/>
      <c r="M1573" s="9"/>
    </row>
    <row r="1574" spans="1:13">
      <c r="A1574" s="9"/>
      <c r="B1574" s="9"/>
      <c r="C1574" s="10" t="s">
        <v>27</v>
      </c>
      <c r="D1574" s="30"/>
      <c r="E1574" s="10" t="s">
        <v>227</v>
      </c>
      <c r="F1574" s="19"/>
      <c r="G1574" s="23"/>
      <c r="H1574" s="23"/>
      <c r="I1574" s="23"/>
      <c r="J1574" s="17">
        <f>OR(F1574&lt;&gt;0,G1574&lt;&gt;0,H1574&lt;&gt;0,I1574&lt;&gt;0)*(F1574 + (F1574 = 0))*(G1574 + (G1574 = 0))*(H1574 + (H1574 = 0))*(I1574 + (I1574 = 0))</f>
        <v>0</v>
      </c>
      <c r="K1574" s="9"/>
      <c r="L1574" s="9"/>
      <c r="M1574" s="9"/>
    </row>
    <row r="1575" spans="1:13">
      <c r="A1575" s="9"/>
      <c r="B1575" s="9"/>
      <c r="C1575" s="10" t="s">
        <v>27</v>
      </c>
      <c r="D1575" s="30"/>
      <c r="E1575" s="10" t="s">
        <v>17</v>
      </c>
      <c r="F1575" s="19">
        <v>1</v>
      </c>
      <c r="G1575" s="23">
        <v>93.21</v>
      </c>
      <c r="H1575" s="23">
        <v>0</v>
      </c>
      <c r="I1575" s="23">
        <v>0</v>
      </c>
      <c r="J1575" s="17">
        <f>OR(F1575&lt;&gt;0,G1575&lt;&gt;0,H1575&lt;&gt;0,I1575&lt;&gt;0)*(F1575 + (F1575 = 0))*(G1575 + (G1575 = 0))*(H1575 + (H1575 = 0))*(I1575 + (I1575 = 0))</f>
        <v>93.21</v>
      </c>
      <c r="K1575" s="9"/>
      <c r="L1575" s="9"/>
      <c r="M1575" s="9"/>
    </row>
    <row r="1576" spans="1:13">
      <c r="A1576" s="9"/>
      <c r="B1576" s="9"/>
      <c r="C1576" s="10" t="s">
        <v>27</v>
      </c>
      <c r="D1576" s="30"/>
      <c r="E1576" s="10" t="s">
        <v>228</v>
      </c>
      <c r="F1576" s="19"/>
      <c r="G1576" s="23"/>
      <c r="H1576" s="23"/>
      <c r="I1576" s="23"/>
      <c r="J1576" s="17">
        <f>OR(F1576&lt;&gt;0,G1576&lt;&gt;0,H1576&lt;&gt;0,I1576&lt;&gt;0)*(F1576 + (F1576 = 0))*(G1576 + (G1576 = 0))*(H1576 + (H1576 = 0))*(I1576 + (I1576 = 0))</f>
        <v>0</v>
      </c>
      <c r="K1576" s="9"/>
      <c r="L1576" s="9"/>
      <c r="M1576" s="9"/>
    </row>
    <row r="1577" spans="1:13">
      <c r="A1577" s="9"/>
      <c r="B1577" s="9"/>
      <c r="C1577" s="10" t="s">
        <v>27</v>
      </c>
      <c r="D1577" s="30"/>
      <c r="E1577" s="10" t="s">
        <v>17</v>
      </c>
      <c r="F1577" s="19">
        <v>1</v>
      </c>
      <c r="G1577" s="23">
        <v>12</v>
      </c>
      <c r="H1577" s="23">
        <v>0</v>
      </c>
      <c r="I1577" s="23">
        <v>0</v>
      </c>
      <c r="J1577" s="17">
        <f>OR(F1577&lt;&gt;0,G1577&lt;&gt;0,H1577&lt;&gt;0,I1577&lt;&gt;0)*(F1577 + (F1577 = 0))*(G1577 + (G1577 = 0))*(H1577 + (H1577 = 0))*(I1577 + (I1577 = 0))</f>
        <v>12</v>
      </c>
      <c r="K1577" s="9"/>
      <c r="L1577" s="9"/>
      <c r="M1577" s="9"/>
    </row>
    <row r="1578" spans="1:13">
      <c r="A1578" s="9"/>
      <c r="B1578" s="9"/>
      <c r="C1578" s="9"/>
      <c r="D1578" s="30"/>
      <c r="E1578" s="9"/>
      <c r="F1578" s="9"/>
      <c r="G1578" s="9"/>
      <c r="H1578" s="9"/>
      <c r="I1578" s="9"/>
      <c r="J1578" s="21" t="s">
        <v>1282</v>
      </c>
      <c r="K1578" s="22">
        <f>SUM(J1573:J1577)</f>
        <v>105.21</v>
      </c>
      <c r="L1578" s="23">
        <v>0</v>
      </c>
      <c r="M1578" s="24">
        <f>ROUND(K1578*L1578,2)</f>
        <v>0</v>
      </c>
    </row>
    <row r="1579" spans="1:13" ht="0.95" customHeight="1">
      <c r="A1579" s="25"/>
      <c r="B1579" s="25"/>
      <c r="C1579" s="25"/>
      <c r="D1579" s="31"/>
      <c r="E1579" s="25"/>
      <c r="F1579" s="25"/>
      <c r="G1579" s="25"/>
      <c r="H1579" s="25"/>
      <c r="I1579" s="25"/>
      <c r="J1579" s="25"/>
      <c r="K1579" s="25"/>
      <c r="L1579" s="25"/>
      <c r="M1579" s="25"/>
    </row>
    <row r="1580" spans="1:13">
      <c r="A1580" s="15" t="s">
        <v>1283</v>
      </c>
      <c r="B1580" s="10" t="s">
        <v>23</v>
      </c>
      <c r="C1580" s="10" t="s">
        <v>66</v>
      </c>
      <c r="D1580" s="18" t="s">
        <v>1284</v>
      </c>
      <c r="E1580" s="9"/>
      <c r="F1580" s="9"/>
      <c r="G1580" s="9"/>
      <c r="H1580" s="9"/>
      <c r="I1580" s="9"/>
      <c r="J1580" s="9"/>
      <c r="K1580" s="16">
        <f>K1584</f>
        <v>149.84</v>
      </c>
      <c r="L1580" s="17">
        <f>L1584</f>
        <v>0</v>
      </c>
      <c r="M1580" s="17">
        <f>M1584</f>
        <v>0</v>
      </c>
    </row>
    <row r="1581" spans="1:13">
      <c r="A1581" s="9"/>
      <c r="B1581" s="9"/>
      <c r="C1581" s="9"/>
      <c r="D1581" s="18" t="s">
        <v>1285</v>
      </c>
      <c r="E1581" s="9"/>
      <c r="F1581" s="9"/>
      <c r="G1581" s="9"/>
      <c r="H1581" s="9"/>
      <c r="I1581" s="9"/>
      <c r="J1581" s="9"/>
      <c r="K1581" s="9"/>
      <c r="L1581" s="9"/>
      <c r="M1581" s="9"/>
    </row>
    <row r="1582" spans="1:13">
      <c r="A1582" s="9"/>
      <c r="B1582" s="9"/>
      <c r="C1582" s="10" t="s">
        <v>27</v>
      </c>
      <c r="D1582" s="30"/>
      <c r="E1582" s="10" t="s">
        <v>227</v>
      </c>
      <c r="F1582" s="19">
        <v>1</v>
      </c>
      <c r="G1582" s="23">
        <v>73.239999999999995</v>
      </c>
      <c r="H1582" s="23">
        <v>0</v>
      </c>
      <c r="I1582" s="23">
        <v>0</v>
      </c>
      <c r="J1582" s="17">
        <f>OR(F1582&lt;&gt;0,G1582&lt;&gt;0,H1582&lt;&gt;0,I1582&lt;&gt;0)*(F1582 + (F1582 = 0))*(G1582 + (G1582 = 0))*(H1582 + (H1582 = 0))*(I1582 + (I1582 = 0))</f>
        <v>73.239999999999995</v>
      </c>
      <c r="K1582" s="9"/>
      <c r="L1582" s="9"/>
      <c r="M1582" s="9"/>
    </row>
    <row r="1583" spans="1:13">
      <c r="A1583" s="9"/>
      <c r="B1583" s="9"/>
      <c r="C1583" s="10" t="s">
        <v>27</v>
      </c>
      <c r="D1583" s="30"/>
      <c r="E1583" s="10" t="s">
        <v>228</v>
      </c>
      <c r="F1583" s="19">
        <v>1</v>
      </c>
      <c r="G1583" s="23">
        <v>76.599999999999994</v>
      </c>
      <c r="H1583" s="23">
        <v>0</v>
      </c>
      <c r="I1583" s="23">
        <v>0</v>
      </c>
      <c r="J1583" s="17">
        <f>OR(F1583&lt;&gt;0,G1583&lt;&gt;0,H1583&lt;&gt;0,I1583&lt;&gt;0)*(F1583 + (F1583 = 0))*(G1583 + (G1583 = 0))*(H1583 + (H1583 = 0))*(I1583 + (I1583 = 0))</f>
        <v>76.599999999999994</v>
      </c>
      <c r="K1583" s="9"/>
      <c r="L1583" s="9"/>
      <c r="M1583" s="9"/>
    </row>
    <row r="1584" spans="1:13">
      <c r="A1584" s="9"/>
      <c r="B1584" s="9"/>
      <c r="C1584" s="9"/>
      <c r="D1584" s="30"/>
      <c r="E1584" s="9"/>
      <c r="F1584" s="9"/>
      <c r="G1584" s="9"/>
      <c r="H1584" s="9"/>
      <c r="I1584" s="9"/>
      <c r="J1584" s="21" t="s">
        <v>1286</v>
      </c>
      <c r="K1584" s="22">
        <f>SUM(J1582:J1583)</f>
        <v>149.84</v>
      </c>
      <c r="L1584" s="23">
        <v>0</v>
      </c>
      <c r="M1584" s="24">
        <f>ROUND(K1584*L1584,2)</f>
        <v>0</v>
      </c>
    </row>
    <row r="1585" spans="1:13" ht="0.95" customHeight="1">
      <c r="A1585" s="25"/>
      <c r="B1585" s="25"/>
      <c r="C1585" s="25"/>
      <c r="D1585" s="31"/>
      <c r="E1585" s="25"/>
      <c r="F1585" s="25"/>
      <c r="G1585" s="25"/>
      <c r="H1585" s="25"/>
      <c r="I1585" s="25"/>
      <c r="J1585" s="25"/>
      <c r="K1585" s="25"/>
      <c r="L1585" s="25"/>
      <c r="M1585" s="25"/>
    </row>
    <row r="1586" spans="1:13">
      <c r="A1586" s="15" t="s">
        <v>1287</v>
      </c>
      <c r="B1586" s="10" t="s">
        <v>23</v>
      </c>
      <c r="C1586" s="10" t="s">
        <v>204</v>
      </c>
      <c r="D1586" s="18" t="s">
        <v>1288</v>
      </c>
      <c r="E1586" s="9"/>
      <c r="F1586" s="9"/>
      <c r="G1586" s="9"/>
      <c r="H1586" s="9"/>
      <c r="I1586" s="9"/>
      <c r="J1586" s="9"/>
      <c r="K1586" s="16">
        <f>K1589</f>
        <v>8.16</v>
      </c>
      <c r="L1586" s="17">
        <f>L1589</f>
        <v>0</v>
      </c>
      <c r="M1586" s="17">
        <f>M1589</f>
        <v>0</v>
      </c>
    </row>
    <row r="1587" spans="1:13" ht="33.75">
      <c r="A1587" s="9"/>
      <c r="B1587" s="9"/>
      <c r="C1587" s="9"/>
      <c r="D1587" s="18" t="s">
        <v>1289</v>
      </c>
      <c r="E1587" s="9"/>
      <c r="F1587" s="9"/>
      <c r="G1587" s="9"/>
      <c r="H1587" s="9"/>
      <c r="I1587" s="9"/>
      <c r="J1587" s="9"/>
      <c r="K1587" s="9"/>
      <c r="L1587" s="9"/>
      <c r="M1587" s="9"/>
    </row>
    <row r="1588" spans="1:13">
      <c r="A1588" s="9"/>
      <c r="B1588" s="9"/>
      <c r="C1588" s="10" t="s">
        <v>27</v>
      </c>
      <c r="D1588" s="30"/>
      <c r="E1588" s="10" t="s">
        <v>1290</v>
      </c>
      <c r="F1588" s="19">
        <v>2</v>
      </c>
      <c r="G1588" s="23">
        <v>0</v>
      </c>
      <c r="H1588" s="23">
        <v>0</v>
      </c>
      <c r="I1588" s="23">
        <v>0</v>
      </c>
      <c r="J1588" s="23">
        <v>8.16</v>
      </c>
      <c r="K1588" s="10" t="s">
        <v>1291</v>
      </c>
      <c r="L1588" s="9"/>
      <c r="M1588" s="9"/>
    </row>
    <row r="1589" spans="1:13">
      <c r="A1589" s="9"/>
      <c r="B1589" s="9"/>
      <c r="C1589" s="9"/>
      <c r="D1589" s="30"/>
      <c r="E1589" s="9"/>
      <c r="F1589" s="9"/>
      <c r="G1589" s="9"/>
      <c r="H1589" s="9"/>
      <c r="I1589" s="9"/>
      <c r="J1589" s="21" t="s">
        <v>1292</v>
      </c>
      <c r="K1589" s="22">
        <f>J1588</f>
        <v>8.16</v>
      </c>
      <c r="L1589" s="23">
        <v>0</v>
      </c>
      <c r="M1589" s="24">
        <f>ROUND(K1589*L1589,2)</f>
        <v>0</v>
      </c>
    </row>
    <row r="1590" spans="1:13" ht="0.95" customHeight="1">
      <c r="A1590" s="25"/>
      <c r="B1590" s="25"/>
      <c r="C1590" s="25"/>
      <c r="D1590" s="31"/>
      <c r="E1590" s="25"/>
      <c r="F1590" s="25"/>
      <c r="G1590" s="25"/>
      <c r="H1590" s="25"/>
      <c r="I1590" s="25"/>
      <c r="J1590" s="25"/>
      <c r="K1590" s="25"/>
      <c r="L1590" s="25"/>
      <c r="M1590" s="25"/>
    </row>
    <row r="1591" spans="1:13">
      <c r="A1591" s="9"/>
      <c r="B1591" s="9"/>
      <c r="C1591" s="9"/>
      <c r="D1591" s="30"/>
      <c r="E1591" s="9"/>
      <c r="F1591" s="9"/>
      <c r="G1591" s="9"/>
      <c r="H1591" s="9"/>
      <c r="I1591" s="9"/>
      <c r="J1591" s="21" t="s">
        <v>1293</v>
      </c>
      <c r="K1591" s="20">
        <v>1</v>
      </c>
      <c r="L1591" s="24">
        <f>M1564+M1571+M1580+M1586</f>
        <v>0</v>
      </c>
      <c r="M1591" s="24">
        <f>ROUND(K1591*L1591,2)</f>
        <v>0</v>
      </c>
    </row>
    <row r="1592" spans="1:13" ht="0.95" customHeight="1">
      <c r="A1592" s="25"/>
      <c r="B1592" s="25"/>
      <c r="C1592" s="25"/>
      <c r="D1592" s="31"/>
      <c r="E1592" s="25"/>
      <c r="F1592" s="25"/>
      <c r="G1592" s="25"/>
      <c r="H1592" s="25"/>
      <c r="I1592" s="25"/>
      <c r="J1592" s="25"/>
      <c r="K1592" s="25"/>
      <c r="L1592" s="25"/>
      <c r="M1592" s="25"/>
    </row>
    <row r="1593" spans="1:13">
      <c r="A1593" s="11" t="s">
        <v>1294</v>
      </c>
      <c r="B1593" s="11" t="s">
        <v>16</v>
      </c>
      <c r="C1593" s="11" t="s">
        <v>17</v>
      </c>
      <c r="D1593" s="29" t="s">
        <v>1295</v>
      </c>
      <c r="E1593" s="12"/>
      <c r="F1593" s="12"/>
      <c r="G1593" s="12"/>
      <c r="H1593" s="12"/>
      <c r="I1593" s="12"/>
      <c r="J1593" s="12"/>
      <c r="K1593" s="13">
        <f>K1623</f>
        <v>1</v>
      </c>
      <c r="L1593" s="14">
        <f>L1623</f>
        <v>0</v>
      </c>
      <c r="M1593" s="14">
        <f>M1623</f>
        <v>0</v>
      </c>
    </row>
    <row r="1594" spans="1:13">
      <c r="A1594" s="9"/>
      <c r="B1594" s="9"/>
      <c r="C1594" s="9"/>
      <c r="D1594" s="18" t="s">
        <v>1295</v>
      </c>
      <c r="E1594" s="9"/>
      <c r="F1594" s="9"/>
      <c r="G1594" s="9"/>
      <c r="H1594" s="9"/>
      <c r="I1594" s="9"/>
      <c r="J1594" s="9"/>
      <c r="K1594" s="9"/>
      <c r="L1594" s="9"/>
      <c r="M1594" s="9"/>
    </row>
    <row r="1595" spans="1:13" ht="22.5">
      <c r="A1595" s="15" t="s">
        <v>1296</v>
      </c>
      <c r="B1595" s="10" t="s">
        <v>23</v>
      </c>
      <c r="C1595" s="10" t="s">
        <v>94</v>
      </c>
      <c r="D1595" s="18" t="s">
        <v>1297</v>
      </c>
      <c r="E1595" s="9"/>
      <c r="F1595" s="9"/>
      <c r="G1595" s="9"/>
      <c r="H1595" s="9"/>
      <c r="I1595" s="9"/>
      <c r="J1595" s="9"/>
      <c r="K1595" s="16">
        <f>K1614</f>
        <v>187.30099999999999</v>
      </c>
      <c r="L1595" s="17">
        <f>L1614</f>
        <v>0</v>
      </c>
      <c r="M1595" s="17">
        <f>M1614</f>
        <v>0</v>
      </c>
    </row>
    <row r="1596" spans="1:13">
      <c r="A1596" s="9"/>
      <c r="B1596" s="9"/>
      <c r="C1596" s="9"/>
      <c r="D1596" s="18" t="s">
        <v>1298</v>
      </c>
      <c r="E1596" s="9"/>
      <c r="F1596" s="9"/>
      <c r="G1596" s="9"/>
      <c r="H1596" s="9"/>
      <c r="I1596" s="9"/>
      <c r="J1596" s="9"/>
      <c r="K1596" s="9"/>
      <c r="L1596" s="9"/>
      <c r="M1596" s="9"/>
    </row>
    <row r="1597" spans="1:13">
      <c r="A1597" s="9"/>
      <c r="B1597" s="9"/>
      <c r="C1597" s="10" t="s">
        <v>27</v>
      </c>
      <c r="D1597" s="30"/>
      <c r="E1597" s="10" t="s">
        <v>227</v>
      </c>
      <c r="F1597" s="19">
        <v>1</v>
      </c>
      <c r="G1597" s="20">
        <v>46.15</v>
      </c>
      <c r="H1597" s="20">
        <v>0</v>
      </c>
      <c r="I1597" s="20">
        <v>2.65</v>
      </c>
      <c r="J1597" s="16">
        <f>OR(F1597&lt;&gt;0,G1597&lt;&gt;0,H1597&lt;&gt;0,I1597&lt;&gt;0)*(F1597 + (F1597 = 0))*(G1597 + (G1597 = 0))*(H1597 + (H1597 = 0))*(I1597 + (I1597 = 0))</f>
        <v>122.298</v>
      </c>
      <c r="K1597" s="9"/>
      <c r="L1597" s="9"/>
      <c r="M1597" s="9"/>
    </row>
    <row r="1598" spans="1:13">
      <c r="A1598" s="9"/>
      <c r="B1598" s="9"/>
      <c r="C1598" s="10" t="s">
        <v>27</v>
      </c>
      <c r="D1598" s="30"/>
      <c r="E1598" s="10" t="s">
        <v>17</v>
      </c>
      <c r="F1598" s="19">
        <v>-1</v>
      </c>
      <c r="G1598" s="20">
        <v>3.4</v>
      </c>
      <c r="H1598" s="20">
        <v>0</v>
      </c>
      <c r="I1598" s="20">
        <v>0</v>
      </c>
      <c r="J1598" s="16">
        <f>OR(F1598&lt;&gt;0,G1598&lt;&gt;0,H1598&lt;&gt;0,I1598&lt;&gt;0)*(F1598 + (F1598 = 0))*(G1598 + (G1598 = 0))*(H1598 + (H1598 = 0))*(I1598 + (I1598 = 0))</f>
        <v>-3.4</v>
      </c>
      <c r="K1598" s="9"/>
      <c r="L1598" s="9"/>
      <c r="M1598" s="9"/>
    </row>
    <row r="1599" spans="1:13">
      <c r="A1599" s="9"/>
      <c r="B1599" s="9"/>
      <c r="C1599" s="10" t="s">
        <v>27</v>
      </c>
      <c r="D1599" s="30"/>
      <c r="E1599" s="10" t="s">
        <v>17</v>
      </c>
      <c r="F1599" s="19">
        <v>-1</v>
      </c>
      <c r="G1599" s="20">
        <v>4.12</v>
      </c>
      <c r="H1599" s="20">
        <v>0</v>
      </c>
      <c r="I1599" s="20">
        <v>0</v>
      </c>
      <c r="J1599" s="16">
        <f>OR(F1599&lt;&gt;0,G1599&lt;&gt;0,H1599&lt;&gt;0,I1599&lt;&gt;0)*(F1599 + (F1599 = 0))*(G1599 + (G1599 = 0))*(H1599 + (H1599 = 0))*(I1599 + (I1599 = 0))</f>
        <v>-4.12</v>
      </c>
      <c r="K1599" s="9"/>
      <c r="L1599" s="9"/>
      <c r="M1599" s="9"/>
    </row>
    <row r="1600" spans="1:13">
      <c r="A1600" s="9"/>
      <c r="B1600" s="9"/>
      <c r="C1600" s="10" t="s">
        <v>27</v>
      </c>
      <c r="D1600" s="30"/>
      <c r="E1600" s="10" t="s">
        <v>17</v>
      </c>
      <c r="F1600" s="19">
        <v>-1</v>
      </c>
      <c r="G1600" s="20">
        <v>6</v>
      </c>
      <c r="H1600" s="20">
        <v>0</v>
      </c>
      <c r="I1600" s="20">
        <v>0</v>
      </c>
      <c r="J1600" s="16">
        <f>OR(F1600&lt;&gt;0,G1600&lt;&gt;0,H1600&lt;&gt;0,I1600&lt;&gt;0)*(F1600 + (F1600 = 0))*(G1600 + (G1600 = 0))*(H1600 + (H1600 = 0))*(I1600 + (I1600 = 0))</f>
        <v>-6</v>
      </c>
      <c r="K1600" s="9"/>
      <c r="L1600" s="9"/>
      <c r="M1600" s="9"/>
    </row>
    <row r="1601" spans="1:13">
      <c r="A1601" s="9"/>
      <c r="B1601" s="9"/>
      <c r="C1601" s="10" t="s">
        <v>27</v>
      </c>
      <c r="D1601" s="30"/>
      <c r="E1601" s="10" t="s">
        <v>17</v>
      </c>
      <c r="F1601" s="19">
        <v>-1</v>
      </c>
      <c r="G1601" s="20">
        <v>3.4</v>
      </c>
      <c r="H1601" s="20">
        <v>0</v>
      </c>
      <c r="I1601" s="20">
        <v>0</v>
      </c>
      <c r="J1601" s="16">
        <f>OR(F1601&lt;&gt;0,G1601&lt;&gt;0,H1601&lt;&gt;0,I1601&lt;&gt;0)*(F1601 + (F1601 = 0))*(G1601 + (G1601 = 0))*(H1601 + (H1601 = 0))*(I1601 + (I1601 = 0))</f>
        <v>-3.4</v>
      </c>
      <c r="K1601" s="9"/>
      <c r="L1601" s="9"/>
      <c r="M1601" s="9"/>
    </row>
    <row r="1602" spans="1:13">
      <c r="A1602" s="9"/>
      <c r="B1602" s="9"/>
      <c r="C1602" s="10" t="s">
        <v>27</v>
      </c>
      <c r="D1602" s="30"/>
      <c r="E1602" s="10" t="s">
        <v>17</v>
      </c>
      <c r="F1602" s="19">
        <v>-1</v>
      </c>
      <c r="G1602" s="20">
        <v>3.5</v>
      </c>
      <c r="H1602" s="20">
        <v>0</v>
      </c>
      <c r="I1602" s="20">
        <v>0</v>
      </c>
      <c r="J1602" s="16">
        <f>OR(F1602&lt;&gt;0,G1602&lt;&gt;0,H1602&lt;&gt;0,I1602&lt;&gt;0)*(F1602 + (F1602 = 0))*(G1602 + (G1602 = 0))*(H1602 + (H1602 = 0))*(I1602 + (I1602 = 0))</f>
        <v>-3.5</v>
      </c>
      <c r="K1602" s="9"/>
      <c r="L1602" s="9"/>
      <c r="M1602" s="9"/>
    </row>
    <row r="1603" spans="1:13">
      <c r="A1603" s="9"/>
      <c r="B1603" s="9"/>
      <c r="C1603" s="10" t="s">
        <v>27</v>
      </c>
      <c r="D1603" s="30"/>
      <c r="E1603" s="10" t="s">
        <v>17</v>
      </c>
      <c r="F1603" s="19">
        <v>-1</v>
      </c>
      <c r="G1603" s="20">
        <v>8.17</v>
      </c>
      <c r="H1603" s="20">
        <v>0</v>
      </c>
      <c r="I1603" s="20">
        <v>0</v>
      </c>
      <c r="J1603" s="16">
        <f>OR(F1603&lt;&gt;0,G1603&lt;&gt;0,H1603&lt;&gt;0,I1603&lt;&gt;0)*(F1603 + (F1603 = 0))*(G1603 + (G1603 = 0))*(H1603 + (H1603 = 0))*(I1603 + (I1603 = 0))</f>
        <v>-8.17</v>
      </c>
      <c r="K1603" s="9"/>
      <c r="L1603" s="9"/>
      <c r="M1603" s="9"/>
    </row>
    <row r="1604" spans="1:13">
      <c r="A1604" s="9"/>
      <c r="B1604" s="9"/>
      <c r="C1604" s="10" t="s">
        <v>27</v>
      </c>
      <c r="D1604" s="30"/>
      <c r="E1604" s="10" t="s">
        <v>17</v>
      </c>
      <c r="F1604" s="19">
        <v>-1</v>
      </c>
      <c r="G1604" s="20">
        <v>1.95</v>
      </c>
      <c r="H1604" s="20">
        <v>0</v>
      </c>
      <c r="I1604" s="20">
        <v>0</v>
      </c>
      <c r="J1604" s="16">
        <f>OR(F1604&lt;&gt;0,G1604&lt;&gt;0,H1604&lt;&gt;0,I1604&lt;&gt;0)*(F1604 + (F1604 = 0))*(G1604 + (G1604 = 0))*(H1604 + (H1604 = 0))*(I1604 + (I1604 = 0))</f>
        <v>-1.95</v>
      </c>
      <c r="K1604" s="9"/>
      <c r="L1604" s="9"/>
      <c r="M1604" s="9"/>
    </row>
    <row r="1605" spans="1:13">
      <c r="A1605" s="9"/>
      <c r="B1605" s="9"/>
      <c r="C1605" s="10" t="s">
        <v>27</v>
      </c>
      <c r="D1605" s="30"/>
      <c r="E1605" s="10" t="s">
        <v>228</v>
      </c>
      <c r="F1605" s="19">
        <v>2</v>
      </c>
      <c r="G1605" s="20">
        <v>22.92</v>
      </c>
      <c r="H1605" s="20">
        <v>0</v>
      </c>
      <c r="I1605" s="20">
        <v>0</v>
      </c>
      <c r="J1605" s="16">
        <f>OR(F1605&lt;&gt;0,G1605&lt;&gt;0,H1605&lt;&gt;0,I1605&lt;&gt;0)*(F1605 + (F1605 = 0))*(G1605 + (G1605 = 0))*(H1605 + (H1605 = 0))*(I1605 + (I1605 = 0))</f>
        <v>45.84</v>
      </c>
      <c r="K1605" s="9"/>
      <c r="L1605" s="9"/>
      <c r="M1605" s="9"/>
    </row>
    <row r="1606" spans="1:13">
      <c r="A1606" s="9"/>
      <c r="B1606" s="9"/>
      <c r="C1606" s="10" t="s">
        <v>27</v>
      </c>
      <c r="D1606" s="30"/>
      <c r="E1606" s="10" t="s">
        <v>17</v>
      </c>
      <c r="F1606" s="19">
        <v>1</v>
      </c>
      <c r="G1606" s="20">
        <v>12.18</v>
      </c>
      <c r="H1606" s="20">
        <v>0</v>
      </c>
      <c r="I1606" s="20">
        <v>0</v>
      </c>
      <c r="J1606" s="16">
        <f>OR(F1606&lt;&gt;0,G1606&lt;&gt;0,H1606&lt;&gt;0,I1606&lt;&gt;0)*(F1606 + (F1606 = 0))*(G1606 + (G1606 = 0))*(H1606 + (H1606 = 0))*(I1606 + (I1606 = 0))</f>
        <v>12.18</v>
      </c>
      <c r="K1606" s="9"/>
      <c r="L1606" s="9"/>
      <c r="M1606" s="9"/>
    </row>
    <row r="1607" spans="1:13">
      <c r="A1607" s="9"/>
      <c r="B1607" s="9"/>
      <c r="C1607" s="10" t="s">
        <v>27</v>
      </c>
      <c r="D1607" s="30"/>
      <c r="E1607" s="10" t="s">
        <v>17</v>
      </c>
      <c r="F1607" s="19">
        <v>1</v>
      </c>
      <c r="G1607" s="20">
        <v>19.600000000000001</v>
      </c>
      <c r="H1607" s="20">
        <v>0</v>
      </c>
      <c r="I1607" s="20">
        <v>0</v>
      </c>
      <c r="J1607" s="16">
        <f>OR(F1607&lt;&gt;0,G1607&lt;&gt;0,H1607&lt;&gt;0,I1607&lt;&gt;0)*(F1607 + (F1607 = 0))*(G1607 + (G1607 = 0))*(H1607 + (H1607 = 0))*(I1607 + (I1607 = 0))</f>
        <v>19.600000000000001</v>
      </c>
      <c r="K1607" s="9"/>
      <c r="L1607" s="9"/>
      <c r="M1607" s="9"/>
    </row>
    <row r="1608" spans="1:13">
      <c r="A1608" s="9"/>
      <c r="B1608" s="9"/>
      <c r="C1608" s="10" t="s">
        <v>27</v>
      </c>
      <c r="D1608" s="30"/>
      <c r="E1608" s="10" t="s">
        <v>17</v>
      </c>
      <c r="F1608" s="19">
        <v>-2</v>
      </c>
      <c r="G1608" s="20">
        <v>5.64</v>
      </c>
      <c r="H1608" s="20">
        <v>0</v>
      </c>
      <c r="I1608" s="20">
        <v>0</v>
      </c>
      <c r="J1608" s="16">
        <f>OR(F1608&lt;&gt;0,G1608&lt;&gt;0,H1608&lt;&gt;0,I1608&lt;&gt;0)*(F1608 + (F1608 = 0))*(G1608 + (G1608 = 0))*(H1608 + (H1608 = 0))*(I1608 + (I1608 = 0))</f>
        <v>-11.28</v>
      </c>
      <c r="K1608" s="9"/>
      <c r="L1608" s="9"/>
      <c r="M1608" s="9"/>
    </row>
    <row r="1609" spans="1:13">
      <c r="A1609" s="9"/>
      <c r="B1609" s="9"/>
      <c r="C1609" s="10" t="s">
        <v>27</v>
      </c>
      <c r="D1609" s="30"/>
      <c r="E1609" s="10" t="s">
        <v>17</v>
      </c>
      <c r="F1609" s="19">
        <v>1</v>
      </c>
      <c r="G1609" s="20">
        <v>5.75</v>
      </c>
      <c r="H1609" s="20">
        <v>0</v>
      </c>
      <c r="I1609" s="20">
        <v>1.95</v>
      </c>
      <c r="J1609" s="16">
        <f>OR(F1609&lt;&gt;0,G1609&lt;&gt;0,H1609&lt;&gt;0,I1609&lt;&gt;0)*(F1609 + (F1609 = 0))*(G1609 + (G1609 = 0))*(H1609 + (H1609 = 0))*(I1609 + (I1609 = 0))</f>
        <v>11.212999999999999</v>
      </c>
      <c r="K1609" s="9"/>
      <c r="L1609" s="9"/>
      <c r="M1609" s="9"/>
    </row>
    <row r="1610" spans="1:13">
      <c r="A1610" s="9"/>
      <c r="B1610" s="9"/>
      <c r="C1610" s="10" t="s">
        <v>27</v>
      </c>
      <c r="D1610" s="30"/>
      <c r="E1610" s="10" t="s">
        <v>17</v>
      </c>
      <c r="F1610" s="19">
        <v>1</v>
      </c>
      <c r="G1610" s="20">
        <v>6.5</v>
      </c>
      <c r="H1610" s="20">
        <v>0</v>
      </c>
      <c r="I1610" s="20">
        <v>2.7</v>
      </c>
      <c r="J1610" s="16">
        <f>OR(F1610&lt;&gt;0,G1610&lt;&gt;0,H1610&lt;&gt;0,I1610&lt;&gt;0)*(F1610 + (F1610 = 0))*(G1610 + (G1610 = 0))*(H1610 + (H1610 = 0))*(I1610 + (I1610 = 0))</f>
        <v>17.55</v>
      </c>
      <c r="K1610" s="9"/>
      <c r="L1610" s="9"/>
      <c r="M1610" s="9"/>
    </row>
    <row r="1611" spans="1:13">
      <c r="A1611" s="9"/>
      <c r="B1611" s="9"/>
      <c r="C1611" s="10" t="s">
        <v>27</v>
      </c>
      <c r="D1611" s="30"/>
      <c r="E1611" s="10" t="s">
        <v>17</v>
      </c>
      <c r="F1611" s="19">
        <v>-1</v>
      </c>
      <c r="G1611" s="20">
        <v>2.0299999999999998</v>
      </c>
      <c r="H1611" s="20">
        <v>0</v>
      </c>
      <c r="I1611" s="20">
        <v>0</v>
      </c>
      <c r="J1611" s="16">
        <f>OR(F1611&lt;&gt;0,G1611&lt;&gt;0,H1611&lt;&gt;0,I1611&lt;&gt;0)*(F1611 + (F1611 = 0))*(G1611 + (G1611 = 0))*(H1611 + (H1611 = 0))*(I1611 + (I1611 = 0))</f>
        <v>-2.0299999999999998</v>
      </c>
      <c r="K1611" s="9"/>
      <c r="L1611" s="9"/>
      <c r="M1611" s="9"/>
    </row>
    <row r="1612" spans="1:13">
      <c r="A1612" s="9"/>
      <c r="B1612" s="9"/>
      <c r="C1612" s="10" t="s">
        <v>27</v>
      </c>
      <c r="D1612" s="30"/>
      <c r="E1612" s="10" t="s">
        <v>17</v>
      </c>
      <c r="F1612" s="19">
        <v>-1</v>
      </c>
      <c r="G1612" s="20">
        <v>5.99</v>
      </c>
      <c r="H1612" s="20">
        <v>0</v>
      </c>
      <c r="I1612" s="20">
        <v>0</v>
      </c>
      <c r="J1612" s="16">
        <f>OR(F1612&lt;&gt;0,G1612&lt;&gt;0,H1612&lt;&gt;0,I1612&lt;&gt;0)*(F1612 + (F1612 = 0))*(G1612 + (G1612 = 0))*(H1612 + (H1612 = 0))*(I1612 + (I1612 = 0))</f>
        <v>-5.99</v>
      </c>
      <c r="K1612" s="9"/>
      <c r="L1612" s="9"/>
      <c r="M1612" s="9"/>
    </row>
    <row r="1613" spans="1:13">
      <c r="A1613" s="9"/>
      <c r="B1613" s="9"/>
      <c r="C1613" s="10" t="s">
        <v>27</v>
      </c>
      <c r="D1613" s="30"/>
      <c r="E1613" s="10" t="s">
        <v>17</v>
      </c>
      <c r="F1613" s="19">
        <v>2</v>
      </c>
      <c r="G1613" s="20">
        <v>1.8</v>
      </c>
      <c r="H1613" s="20">
        <v>0</v>
      </c>
      <c r="I1613" s="20">
        <v>2.35</v>
      </c>
      <c r="J1613" s="16">
        <f>OR(F1613&lt;&gt;0,G1613&lt;&gt;0,H1613&lt;&gt;0,I1613&lt;&gt;0)*(F1613 + (F1613 = 0))*(G1613 + (G1613 = 0))*(H1613 + (H1613 = 0))*(I1613 + (I1613 = 0))</f>
        <v>8.4600000000000009</v>
      </c>
      <c r="K1613" s="9"/>
      <c r="L1613" s="9"/>
      <c r="M1613" s="9"/>
    </row>
    <row r="1614" spans="1:13">
      <c r="A1614" s="9"/>
      <c r="B1614" s="9"/>
      <c r="C1614" s="9"/>
      <c r="D1614" s="30"/>
      <c r="E1614" s="9"/>
      <c r="F1614" s="9"/>
      <c r="G1614" s="9"/>
      <c r="H1614" s="9"/>
      <c r="I1614" s="9"/>
      <c r="J1614" s="21" t="s">
        <v>1299</v>
      </c>
      <c r="K1614" s="22">
        <f>SUM(J1597:J1613)</f>
        <v>187.30099999999999</v>
      </c>
      <c r="L1614" s="23">
        <v>0</v>
      </c>
      <c r="M1614" s="24">
        <f>ROUND(K1614*L1614,2)</f>
        <v>0</v>
      </c>
    </row>
    <row r="1615" spans="1:13" ht="0.95" customHeight="1">
      <c r="A1615" s="25"/>
      <c r="B1615" s="25"/>
      <c r="C1615" s="25"/>
      <c r="D1615" s="31"/>
      <c r="E1615" s="25"/>
      <c r="F1615" s="25"/>
      <c r="G1615" s="25"/>
      <c r="H1615" s="25"/>
      <c r="I1615" s="25"/>
      <c r="J1615" s="25"/>
      <c r="K1615" s="25"/>
      <c r="L1615" s="25"/>
      <c r="M1615" s="25"/>
    </row>
    <row r="1616" spans="1:13" ht="22.5">
      <c r="A1616" s="15" t="s">
        <v>1300</v>
      </c>
      <c r="B1616" s="10" t="s">
        <v>23</v>
      </c>
      <c r="C1616" s="10" t="s">
        <v>94</v>
      </c>
      <c r="D1616" s="18" t="s">
        <v>1301</v>
      </c>
      <c r="E1616" s="9"/>
      <c r="F1616" s="9"/>
      <c r="G1616" s="9"/>
      <c r="H1616" s="9"/>
      <c r="I1616" s="9"/>
      <c r="J1616" s="9"/>
      <c r="K1616" s="16">
        <f>K1621</f>
        <v>14.539</v>
      </c>
      <c r="L1616" s="17">
        <f>L1621</f>
        <v>0</v>
      </c>
      <c r="M1616" s="17">
        <f>M1621</f>
        <v>0</v>
      </c>
    </row>
    <row r="1617" spans="1:13">
      <c r="A1617" s="9"/>
      <c r="B1617" s="9"/>
      <c r="C1617" s="9"/>
      <c r="D1617" s="18" t="s">
        <v>1302</v>
      </c>
      <c r="E1617" s="9"/>
      <c r="F1617" s="9"/>
      <c r="G1617" s="9"/>
      <c r="H1617" s="9"/>
      <c r="I1617" s="9"/>
      <c r="J1617" s="9"/>
      <c r="K1617" s="9"/>
      <c r="L1617" s="9"/>
      <c r="M1617" s="9"/>
    </row>
    <row r="1618" spans="1:13">
      <c r="A1618" s="9"/>
      <c r="B1618" s="9"/>
      <c r="C1618" s="10" t="s">
        <v>27</v>
      </c>
      <c r="D1618" s="30"/>
      <c r="E1618" s="10" t="s">
        <v>228</v>
      </c>
      <c r="F1618" s="19">
        <v>1</v>
      </c>
      <c r="G1618" s="20">
        <v>7.9</v>
      </c>
      <c r="H1618" s="20">
        <v>0</v>
      </c>
      <c r="I1618" s="20">
        <v>0</v>
      </c>
      <c r="J1618" s="16">
        <f>OR(F1618&lt;&gt;0,G1618&lt;&gt;0,H1618&lt;&gt;0,I1618&lt;&gt;0)*(F1618 + (F1618 = 0))*(G1618 + (G1618 = 0))*(H1618 + (H1618 = 0))*(I1618 + (I1618 = 0))</f>
        <v>7.9</v>
      </c>
      <c r="K1618" s="9"/>
      <c r="L1618" s="9"/>
      <c r="M1618" s="9"/>
    </row>
    <row r="1619" spans="1:13">
      <c r="A1619" s="9"/>
      <c r="B1619" s="9"/>
      <c r="C1619" s="10" t="s">
        <v>27</v>
      </c>
      <c r="D1619" s="30"/>
      <c r="E1619" s="10" t="s">
        <v>826</v>
      </c>
      <c r="F1619" s="19">
        <v>1</v>
      </c>
      <c r="G1619" s="20">
        <v>1.48</v>
      </c>
      <c r="H1619" s="20">
        <v>0</v>
      </c>
      <c r="I1619" s="20">
        <v>2.65</v>
      </c>
      <c r="J1619" s="16">
        <f>OR(F1619&lt;&gt;0,G1619&lt;&gt;0,H1619&lt;&gt;0,I1619&lt;&gt;0)*(F1619 + (F1619 = 0))*(G1619 + (G1619 = 0))*(H1619 + (H1619 = 0))*(I1619 + (I1619 = 0))</f>
        <v>3.9220000000000002</v>
      </c>
      <c r="K1619" s="9"/>
      <c r="L1619" s="9"/>
      <c r="M1619" s="9"/>
    </row>
    <row r="1620" spans="1:13">
      <c r="A1620" s="9"/>
      <c r="B1620" s="9"/>
      <c r="C1620" s="10" t="s">
        <v>27</v>
      </c>
      <c r="D1620" s="30"/>
      <c r="E1620" s="10" t="s">
        <v>17</v>
      </c>
      <c r="F1620" s="19">
        <v>1</v>
      </c>
      <c r="G1620" s="20">
        <v>2.4700000000000002</v>
      </c>
      <c r="H1620" s="20">
        <v>0</v>
      </c>
      <c r="I1620" s="20">
        <v>1.1000000000000001</v>
      </c>
      <c r="J1620" s="16">
        <f>OR(F1620&lt;&gt;0,G1620&lt;&gt;0,H1620&lt;&gt;0,I1620&lt;&gt;0)*(F1620 + (F1620 = 0))*(G1620 + (G1620 = 0))*(H1620 + (H1620 = 0))*(I1620 + (I1620 = 0))</f>
        <v>2.7170000000000001</v>
      </c>
      <c r="K1620" s="9"/>
      <c r="L1620" s="9"/>
      <c r="M1620" s="9"/>
    </row>
    <row r="1621" spans="1:13">
      <c r="A1621" s="9"/>
      <c r="B1621" s="9"/>
      <c r="C1621" s="9"/>
      <c r="D1621" s="30"/>
      <c r="E1621" s="9"/>
      <c r="F1621" s="9"/>
      <c r="G1621" s="9"/>
      <c r="H1621" s="9"/>
      <c r="I1621" s="9"/>
      <c r="J1621" s="21" t="s">
        <v>1303</v>
      </c>
      <c r="K1621" s="22">
        <f>SUM(J1618:J1620)</f>
        <v>14.539</v>
      </c>
      <c r="L1621" s="23">
        <v>0</v>
      </c>
      <c r="M1621" s="24">
        <f>ROUND(K1621*L1621,2)</f>
        <v>0</v>
      </c>
    </row>
    <row r="1622" spans="1:13" ht="0.95" customHeight="1">
      <c r="A1622" s="25"/>
      <c r="B1622" s="25"/>
      <c r="C1622" s="25"/>
      <c r="D1622" s="31"/>
      <c r="E1622" s="25"/>
      <c r="F1622" s="25"/>
      <c r="G1622" s="25"/>
      <c r="H1622" s="25"/>
      <c r="I1622" s="25"/>
      <c r="J1622" s="25"/>
      <c r="K1622" s="25"/>
      <c r="L1622" s="25"/>
      <c r="M1622" s="25"/>
    </row>
    <row r="1623" spans="1:13">
      <c r="A1623" s="9"/>
      <c r="B1623" s="9"/>
      <c r="C1623" s="9"/>
      <c r="D1623" s="30"/>
      <c r="E1623" s="9"/>
      <c r="F1623" s="9"/>
      <c r="G1623" s="9"/>
      <c r="H1623" s="9"/>
      <c r="I1623" s="9"/>
      <c r="J1623" s="21" t="s">
        <v>1304</v>
      </c>
      <c r="K1623" s="20">
        <v>1</v>
      </c>
      <c r="L1623" s="24">
        <f>M1595+M1616</f>
        <v>0</v>
      </c>
      <c r="M1623" s="24">
        <f>ROUND(K1623*L1623,2)</f>
        <v>0</v>
      </c>
    </row>
    <row r="1624" spans="1:13" ht="0.95" customHeight="1">
      <c r="A1624" s="25"/>
      <c r="B1624" s="25"/>
      <c r="C1624" s="25"/>
      <c r="D1624" s="31"/>
      <c r="E1624" s="25"/>
      <c r="F1624" s="25"/>
      <c r="G1624" s="25"/>
      <c r="H1624" s="25"/>
      <c r="I1624" s="25"/>
      <c r="J1624" s="25"/>
      <c r="K1624" s="25"/>
      <c r="L1624" s="25"/>
      <c r="M1624" s="25"/>
    </row>
    <row r="1625" spans="1:13">
      <c r="A1625" s="11" t="s">
        <v>1305</v>
      </c>
      <c r="B1625" s="11" t="s">
        <v>16</v>
      </c>
      <c r="C1625" s="11" t="s">
        <v>17</v>
      </c>
      <c r="D1625" s="29" t="s">
        <v>1306</v>
      </c>
      <c r="E1625" s="12"/>
      <c r="F1625" s="12"/>
      <c r="G1625" s="12"/>
      <c r="H1625" s="12"/>
      <c r="I1625" s="12"/>
      <c r="J1625" s="12"/>
      <c r="K1625" s="13">
        <f>K1671</f>
        <v>1</v>
      </c>
      <c r="L1625" s="14">
        <f>L1671</f>
        <v>0</v>
      </c>
      <c r="M1625" s="14">
        <f>M1671</f>
        <v>0</v>
      </c>
    </row>
    <row r="1626" spans="1:13" ht="22.5">
      <c r="A1626" s="15" t="s">
        <v>1307</v>
      </c>
      <c r="B1626" s="10" t="s">
        <v>23</v>
      </c>
      <c r="C1626" s="10" t="s">
        <v>94</v>
      </c>
      <c r="D1626" s="18" t="s">
        <v>1308</v>
      </c>
      <c r="E1626" s="9"/>
      <c r="F1626" s="9"/>
      <c r="G1626" s="9"/>
      <c r="H1626" s="9"/>
      <c r="I1626" s="9"/>
      <c r="J1626" s="9"/>
      <c r="K1626" s="16">
        <f>K1629</f>
        <v>7.62</v>
      </c>
      <c r="L1626" s="17">
        <f>L1629</f>
        <v>0</v>
      </c>
      <c r="M1626" s="17">
        <f>M1629</f>
        <v>0</v>
      </c>
    </row>
    <row r="1627" spans="1:13">
      <c r="A1627" s="9"/>
      <c r="B1627" s="9"/>
      <c r="C1627" s="9"/>
      <c r="D1627" s="18" t="s">
        <v>1309</v>
      </c>
      <c r="E1627" s="9"/>
      <c r="F1627" s="9"/>
      <c r="G1627" s="9"/>
      <c r="H1627" s="9"/>
      <c r="I1627" s="9"/>
      <c r="J1627" s="9"/>
      <c r="K1627" s="9"/>
      <c r="L1627" s="9"/>
      <c r="M1627" s="9"/>
    </row>
    <row r="1628" spans="1:13">
      <c r="A1628" s="9"/>
      <c r="B1628" s="9"/>
      <c r="C1628" s="10" t="s">
        <v>27</v>
      </c>
      <c r="D1628" s="30"/>
      <c r="E1628" s="10" t="s">
        <v>1087</v>
      </c>
      <c r="F1628" s="19">
        <v>1</v>
      </c>
      <c r="G1628" s="20">
        <v>7.62</v>
      </c>
      <c r="H1628" s="20">
        <v>0</v>
      </c>
      <c r="I1628" s="20">
        <v>0</v>
      </c>
      <c r="J1628" s="16">
        <f>OR(F1628&lt;&gt;0,G1628&lt;&gt;0,H1628&lt;&gt;0,I1628&lt;&gt;0)*(F1628 + (F1628 = 0))*(G1628 + (G1628 = 0))*(H1628 + (H1628 = 0))*(I1628 + (I1628 = 0))</f>
        <v>7.62</v>
      </c>
      <c r="K1628" s="9"/>
      <c r="L1628" s="9"/>
      <c r="M1628" s="9"/>
    </row>
    <row r="1629" spans="1:13">
      <c r="A1629" s="9"/>
      <c r="B1629" s="9"/>
      <c r="C1629" s="9"/>
      <c r="D1629" s="30"/>
      <c r="E1629" s="9"/>
      <c r="F1629" s="9"/>
      <c r="G1629" s="9"/>
      <c r="H1629" s="9"/>
      <c r="I1629" s="9"/>
      <c r="J1629" s="21" t="s">
        <v>1310</v>
      </c>
      <c r="K1629" s="22">
        <f>J1628</f>
        <v>7.62</v>
      </c>
      <c r="L1629" s="23">
        <v>0</v>
      </c>
      <c r="M1629" s="24">
        <f>ROUND(K1629*L1629,2)</f>
        <v>0</v>
      </c>
    </row>
    <row r="1630" spans="1:13" ht="0.95" customHeight="1">
      <c r="A1630" s="25"/>
      <c r="B1630" s="25"/>
      <c r="C1630" s="25"/>
      <c r="D1630" s="31"/>
      <c r="E1630" s="25"/>
      <c r="F1630" s="25"/>
      <c r="G1630" s="25"/>
      <c r="H1630" s="25"/>
      <c r="I1630" s="25"/>
      <c r="J1630" s="25"/>
      <c r="K1630" s="25"/>
      <c r="L1630" s="25"/>
      <c r="M1630" s="25"/>
    </row>
    <row r="1631" spans="1:13" ht="22.5">
      <c r="A1631" s="15" t="s">
        <v>1311</v>
      </c>
      <c r="B1631" s="10" t="s">
        <v>23</v>
      </c>
      <c r="C1631" s="10" t="s">
        <v>94</v>
      </c>
      <c r="D1631" s="18" t="s">
        <v>1308</v>
      </c>
      <c r="E1631" s="9"/>
      <c r="F1631" s="9"/>
      <c r="G1631" s="9"/>
      <c r="H1631" s="9"/>
      <c r="I1631" s="9"/>
      <c r="J1631" s="9"/>
      <c r="K1631" s="16">
        <f>K1639</f>
        <v>24.33</v>
      </c>
      <c r="L1631" s="17">
        <f>L1639</f>
        <v>0</v>
      </c>
      <c r="M1631" s="17">
        <f>M1639</f>
        <v>0</v>
      </c>
    </row>
    <row r="1632" spans="1:13">
      <c r="A1632" s="9"/>
      <c r="B1632" s="9"/>
      <c r="C1632" s="9"/>
      <c r="D1632" s="18" t="s">
        <v>1312</v>
      </c>
      <c r="E1632" s="9"/>
      <c r="F1632" s="9"/>
      <c r="G1632" s="9"/>
      <c r="H1632" s="9"/>
      <c r="I1632" s="9"/>
      <c r="J1632" s="9"/>
      <c r="K1632" s="9"/>
      <c r="L1632" s="9"/>
      <c r="M1632" s="9"/>
    </row>
    <row r="1633" spans="1:13">
      <c r="A1633" s="9"/>
      <c r="B1633" s="9"/>
      <c r="C1633" s="10" t="s">
        <v>27</v>
      </c>
      <c r="D1633" s="30"/>
      <c r="E1633" s="10" t="s">
        <v>1092</v>
      </c>
      <c r="F1633" s="19"/>
      <c r="G1633" s="20"/>
      <c r="H1633" s="20"/>
      <c r="I1633" s="20"/>
      <c r="J1633" s="16">
        <f>OR(F1633&lt;&gt;0,G1633&lt;&gt;0,H1633&lt;&gt;0,I1633&lt;&gt;0)*(F1633 + (F1633 = 0))*(G1633 + (G1633 = 0))*(H1633 + (H1633 = 0))*(I1633 + (I1633 = 0))</f>
        <v>0</v>
      </c>
      <c r="K1633" s="9"/>
      <c r="L1633" s="9"/>
      <c r="M1633" s="9"/>
    </row>
    <row r="1634" spans="1:13">
      <c r="A1634" s="9"/>
      <c r="B1634" s="9"/>
      <c r="C1634" s="10" t="s">
        <v>27</v>
      </c>
      <c r="D1634" s="30"/>
      <c r="E1634" s="10" t="s">
        <v>616</v>
      </c>
      <c r="F1634" s="19">
        <v>1</v>
      </c>
      <c r="G1634" s="20">
        <v>2.77</v>
      </c>
      <c r="H1634" s="20">
        <v>0</v>
      </c>
      <c r="I1634" s="20">
        <v>0</v>
      </c>
      <c r="J1634" s="16">
        <f>OR(F1634&lt;&gt;0,G1634&lt;&gt;0,H1634&lt;&gt;0,I1634&lt;&gt;0)*(F1634 + (F1634 = 0))*(G1634 + (G1634 = 0))*(H1634 + (H1634 = 0))*(I1634 + (I1634 = 0))</f>
        <v>2.77</v>
      </c>
      <c r="K1634" s="9"/>
      <c r="L1634" s="9"/>
      <c r="M1634" s="9"/>
    </row>
    <row r="1635" spans="1:13">
      <c r="A1635" s="9"/>
      <c r="B1635" s="9"/>
      <c r="C1635" s="10" t="s">
        <v>27</v>
      </c>
      <c r="D1635" s="30"/>
      <c r="E1635" s="10" t="s">
        <v>617</v>
      </c>
      <c r="F1635" s="19">
        <v>1</v>
      </c>
      <c r="G1635" s="20">
        <v>3.27</v>
      </c>
      <c r="H1635" s="20">
        <v>0</v>
      </c>
      <c r="I1635" s="20">
        <v>0</v>
      </c>
      <c r="J1635" s="16">
        <f>OR(F1635&lt;&gt;0,G1635&lt;&gt;0,H1635&lt;&gt;0,I1635&lt;&gt;0)*(F1635 + (F1635 = 0))*(G1635 + (G1635 = 0))*(H1635 + (H1635 = 0))*(I1635 + (I1635 = 0))</f>
        <v>3.27</v>
      </c>
      <c r="K1635" s="9"/>
      <c r="L1635" s="9"/>
      <c r="M1635" s="9"/>
    </row>
    <row r="1636" spans="1:13">
      <c r="A1636" s="9"/>
      <c r="B1636" s="9"/>
      <c r="C1636" s="10" t="s">
        <v>27</v>
      </c>
      <c r="D1636" s="30"/>
      <c r="E1636" s="10" t="s">
        <v>613</v>
      </c>
      <c r="F1636" s="19">
        <v>1</v>
      </c>
      <c r="G1636" s="20">
        <v>13.5</v>
      </c>
      <c r="H1636" s="20">
        <v>0</v>
      </c>
      <c r="I1636" s="20">
        <v>0</v>
      </c>
      <c r="J1636" s="16">
        <f>OR(F1636&lt;&gt;0,G1636&lt;&gt;0,H1636&lt;&gt;0,I1636&lt;&gt;0)*(F1636 + (F1636 = 0))*(G1636 + (G1636 = 0))*(H1636 + (H1636 = 0))*(I1636 + (I1636 = 0))</f>
        <v>13.5</v>
      </c>
      <c r="K1636" s="9"/>
      <c r="L1636" s="9"/>
      <c r="M1636" s="9"/>
    </row>
    <row r="1637" spans="1:13">
      <c r="A1637" s="9"/>
      <c r="B1637" s="9"/>
      <c r="C1637" s="10" t="s">
        <v>27</v>
      </c>
      <c r="D1637" s="30"/>
      <c r="E1637" s="10" t="s">
        <v>1313</v>
      </c>
      <c r="F1637" s="19">
        <v>1</v>
      </c>
      <c r="G1637" s="20">
        <v>2.78</v>
      </c>
      <c r="H1637" s="20">
        <v>0</v>
      </c>
      <c r="I1637" s="20">
        <v>0</v>
      </c>
      <c r="J1637" s="16">
        <f>OR(F1637&lt;&gt;0,G1637&lt;&gt;0,H1637&lt;&gt;0,I1637&lt;&gt;0)*(F1637 + (F1637 = 0))*(G1637 + (G1637 = 0))*(H1637 + (H1637 = 0))*(I1637 + (I1637 = 0))</f>
        <v>2.78</v>
      </c>
      <c r="K1637" s="9"/>
      <c r="L1637" s="9"/>
      <c r="M1637" s="9"/>
    </row>
    <row r="1638" spans="1:13">
      <c r="A1638" s="9"/>
      <c r="B1638" s="9"/>
      <c r="C1638" s="10" t="s">
        <v>27</v>
      </c>
      <c r="D1638" s="30"/>
      <c r="E1638" s="10" t="s">
        <v>1314</v>
      </c>
      <c r="F1638" s="19">
        <v>1</v>
      </c>
      <c r="G1638" s="20">
        <v>2.0099999999999998</v>
      </c>
      <c r="H1638" s="20">
        <v>0</v>
      </c>
      <c r="I1638" s="20">
        <v>0</v>
      </c>
      <c r="J1638" s="16">
        <f>OR(F1638&lt;&gt;0,G1638&lt;&gt;0,H1638&lt;&gt;0,I1638&lt;&gt;0)*(F1638 + (F1638 = 0))*(G1638 + (G1638 = 0))*(H1638 + (H1638 = 0))*(I1638 + (I1638 = 0))</f>
        <v>2.0099999999999998</v>
      </c>
      <c r="K1638" s="9"/>
      <c r="L1638" s="9"/>
      <c r="M1638" s="9"/>
    </row>
    <row r="1639" spans="1:13">
      <c r="A1639" s="9"/>
      <c r="B1639" s="9"/>
      <c r="C1639" s="9"/>
      <c r="D1639" s="30"/>
      <c r="E1639" s="9"/>
      <c r="F1639" s="9"/>
      <c r="G1639" s="9"/>
      <c r="H1639" s="9"/>
      <c r="I1639" s="9"/>
      <c r="J1639" s="21" t="s">
        <v>1315</v>
      </c>
      <c r="K1639" s="22">
        <f>SUM(J1633:J1638)</f>
        <v>24.33</v>
      </c>
      <c r="L1639" s="23">
        <v>0</v>
      </c>
      <c r="M1639" s="24">
        <f>ROUND(K1639*L1639,2)</f>
        <v>0</v>
      </c>
    </row>
    <row r="1640" spans="1:13" ht="0.95" customHeight="1">
      <c r="A1640" s="25"/>
      <c r="B1640" s="25"/>
      <c r="C1640" s="25"/>
      <c r="D1640" s="31"/>
      <c r="E1640" s="25"/>
      <c r="F1640" s="25"/>
      <c r="G1640" s="25"/>
      <c r="H1640" s="25"/>
      <c r="I1640" s="25"/>
      <c r="J1640" s="25"/>
      <c r="K1640" s="25"/>
      <c r="L1640" s="25"/>
      <c r="M1640" s="25"/>
    </row>
    <row r="1641" spans="1:13" ht="45">
      <c r="A1641" s="15" t="s">
        <v>1316</v>
      </c>
      <c r="B1641" s="10" t="s">
        <v>23</v>
      </c>
      <c r="C1641" s="10" t="s">
        <v>94</v>
      </c>
      <c r="D1641" s="18" t="s">
        <v>1317</v>
      </c>
      <c r="E1641" s="9"/>
      <c r="F1641" s="9"/>
      <c r="G1641" s="9"/>
      <c r="H1641" s="9"/>
      <c r="I1641" s="9"/>
      <c r="J1641" s="9"/>
      <c r="K1641" s="16">
        <f>K1646</f>
        <v>10.6</v>
      </c>
      <c r="L1641" s="17">
        <f>L1646</f>
        <v>0</v>
      </c>
      <c r="M1641" s="17">
        <f>M1646</f>
        <v>0</v>
      </c>
    </row>
    <row r="1642" spans="1:13">
      <c r="A1642" s="9"/>
      <c r="B1642" s="9"/>
      <c r="C1642" s="9"/>
      <c r="D1642" s="18" t="s">
        <v>1318</v>
      </c>
      <c r="E1642" s="9"/>
      <c r="F1642" s="9"/>
      <c r="G1642" s="9"/>
      <c r="H1642" s="9"/>
      <c r="I1642" s="9"/>
      <c r="J1642" s="9"/>
      <c r="K1642" s="9"/>
      <c r="L1642" s="9"/>
      <c r="M1642" s="9"/>
    </row>
    <row r="1643" spans="1:13">
      <c r="A1643" s="9"/>
      <c r="B1643" s="9"/>
      <c r="C1643" s="10" t="s">
        <v>27</v>
      </c>
      <c r="D1643" s="30"/>
      <c r="E1643" s="10" t="s">
        <v>1170</v>
      </c>
      <c r="F1643" s="19"/>
      <c r="G1643" s="20"/>
      <c r="H1643" s="20"/>
      <c r="I1643" s="20"/>
      <c r="J1643" s="16">
        <f>OR(F1643&lt;&gt;0,G1643&lt;&gt;0,H1643&lt;&gt;0,I1643&lt;&gt;0)*(F1643 + (F1643 = 0))*(G1643 + (G1643 = 0))*(H1643 + (H1643 = 0))*(I1643 + (I1643 = 0))</f>
        <v>0</v>
      </c>
      <c r="K1643" s="9"/>
      <c r="L1643" s="9"/>
      <c r="M1643" s="9"/>
    </row>
    <row r="1644" spans="1:13">
      <c r="A1644" s="9"/>
      <c r="B1644" s="9"/>
      <c r="C1644" s="10" t="s">
        <v>27</v>
      </c>
      <c r="D1644" s="30"/>
      <c r="E1644" s="10" t="s">
        <v>1094</v>
      </c>
      <c r="F1644" s="19">
        <v>1</v>
      </c>
      <c r="G1644" s="20">
        <v>8.02</v>
      </c>
      <c r="H1644" s="20">
        <v>0</v>
      </c>
      <c r="I1644" s="20">
        <v>0</v>
      </c>
      <c r="J1644" s="16">
        <f>OR(F1644&lt;&gt;0,G1644&lt;&gt;0,H1644&lt;&gt;0,I1644&lt;&gt;0)*(F1644 + (F1644 = 0))*(G1644 + (G1644 = 0))*(H1644 + (H1644 = 0))*(I1644 + (I1644 = 0))</f>
        <v>8.02</v>
      </c>
      <c r="K1644" s="9"/>
      <c r="L1644" s="9"/>
      <c r="M1644" s="9"/>
    </row>
    <row r="1645" spans="1:13">
      <c r="A1645" s="9"/>
      <c r="B1645" s="9"/>
      <c r="C1645" s="10" t="s">
        <v>27</v>
      </c>
      <c r="D1645" s="30"/>
      <c r="E1645" s="10" t="s">
        <v>1095</v>
      </c>
      <c r="F1645" s="19">
        <v>1</v>
      </c>
      <c r="G1645" s="20">
        <v>2.58</v>
      </c>
      <c r="H1645" s="20">
        <v>0</v>
      </c>
      <c r="I1645" s="20">
        <v>0</v>
      </c>
      <c r="J1645" s="16">
        <f>OR(F1645&lt;&gt;0,G1645&lt;&gt;0,H1645&lt;&gt;0,I1645&lt;&gt;0)*(F1645 + (F1645 = 0))*(G1645 + (G1645 = 0))*(H1645 + (H1645 = 0))*(I1645 + (I1645 = 0))</f>
        <v>2.58</v>
      </c>
      <c r="K1645" s="9"/>
      <c r="L1645" s="9"/>
      <c r="M1645" s="9"/>
    </row>
    <row r="1646" spans="1:13">
      <c r="A1646" s="9"/>
      <c r="B1646" s="9"/>
      <c r="C1646" s="9"/>
      <c r="D1646" s="30"/>
      <c r="E1646" s="9"/>
      <c r="F1646" s="9"/>
      <c r="G1646" s="9"/>
      <c r="H1646" s="9"/>
      <c r="I1646" s="9"/>
      <c r="J1646" s="21" t="s">
        <v>1319</v>
      </c>
      <c r="K1646" s="22">
        <f>SUM(J1643:J1645)</f>
        <v>10.6</v>
      </c>
      <c r="L1646" s="23">
        <v>0</v>
      </c>
      <c r="M1646" s="24">
        <f>ROUND(K1646*L1646,2)</f>
        <v>0</v>
      </c>
    </row>
    <row r="1647" spans="1:13" ht="0.95" customHeight="1">
      <c r="A1647" s="25"/>
      <c r="B1647" s="25"/>
      <c r="C1647" s="25"/>
      <c r="D1647" s="31"/>
      <c r="E1647" s="25"/>
      <c r="F1647" s="25"/>
      <c r="G1647" s="25"/>
      <c r="H1647" s="25"/>
      <c r="I1647" s="25"/>
      <c r="J1647" s="25"/>
      <c r="K1647" s="25"/>
      <c r="L1647" s="25"/>
      <c r="M1647" s="25"/>
    </row>
    <row r="1648" spans="1:13" ht="22.5">
      <c r="A1648" s="15" t="s">
        <v>1320</v>
      </c>
      <c r="B1648" s="10" t="s">
        <v>23</v>
      </c>
      <c r="C1648" s="10" t="s">
        <v>94</v>
      </c>
      <c r="D1648" s="18" t="s">
        <v>1308</v>
      </c>
      <c r="E1648" s="9"/>
      <c r="F1648" s="9"/>
      <c r="G1648" s="9"/>
      <c r="H1648" s="9"/>
      <c r="I1648" s="9"/>
      <c r="J1648" s="9"/>
      <c r="K1648" s="16">
        <f>K1656</f>
        <v>93.953999999999994</v>
      </c>
      <c r="L1648" s="17">
        <f>L1656</f>
        <v>0</v>
      </c>
      <c r="M1648" s="17">
        <f>M1656</f>
        <v>0</v>
      </c>
    </row>
    <row r="1649" spans="1:13">
      <c r="A1649" s="9"/>
      <c r="B1649" s="9"/>
      <c r="C1649" s="9"/>
      <c r="D1649" s="18" t="s">
        <v>1321</v>
      </c>
      <c r="E1649" s="9"/>
      <c r="F1649" s="9"/>
      <c r="G1649" s="9"/>
      <c r="H1649" s="9"/>
      <c r="I1649" s="9"/>
      <c r="J1649" s="9"/>
      <c r="K1649" s="9"/>
      <c r="L1649" s="9"/>
      <c r="M1649" s="9"/>
    </row>
    <row r="1650" spans="1:13">
      <c r="A1650" s="9"/>
      <c r="B1650" s="9"/>
      <c r="C1650" s="10" t="s">
        <v>27</v>
      </c>
      <c r="D1650" s="30"/>
      <c r="E1650" s="10" t="s">
        <v>1100</v>
      </c>
      <c r="F1650" s="19"/>
      <c r="G1650" s="20"/>
      <c r="H1650" s="20"/>
      <c r="I1650" s="20"/>
      <c r="J1650" s="16">
        <f>OR(F1650&lt;&gt;0,G1650&lt;&gt;0,H1650&lt;&gt;0,I1650&lt;&gt;0)*(F1650 + (F1650 = 0))*(G1650 + (G1650 = 0))*(H1650 + (H1650 = 0))*(I1650 + (I1650 = 0))</f>
        <v>0</v>
      </c>
      <c r="K1650" s="9"/>
      <c r="L1650" s="9"/>
      <c r="M1650" s="9"/>
    </row>
    <row r="1651" spans="1:13">
      <c r="A1651" s="9"/>
      <c r="B1651" s="9"/>
      <c r="C1651" s="10" t="s">
        <v>27</v>
      </c>
      <c r="D1651" s="30"/>
      <c r="E1651" s="10" t="s">
        <v>1101</v>
      </c>
      <c r="F1651" s="19">
        <v>1</v>
      </c>
      <c r="G1651" s="20">
        <v>6.5</v>
      </c>
      <c r="H1651" s="20">
        <v>6.25</v>
      </c>
      <c r="I1651" s="20">
        <v>0</v>
      </c>
      <c r="J1651" s="16">
        <f>OR(F1651&lt;&gt;0,G1651&lt;&gt;0,H1651&lt;&gt;0,I1651&lt;&gt;0)*(F1651 + (F1651 = 0))*(G1651 + (G1651 = 0))*(H1651 + (H1651 = 0))*(I1651 + (I1651 = 0))</f>
        <v>40.625</v>
      </c>
      <c r="K1651" s="9"/>
      <c r="L1651" s="9"/>
      <c r="M1651" s="9"/>
    </row>
    <row r="1652" spans="1:13">
      <c r="A1652" s="9"/>
      <c r="B1652" s="9"/>
      <c r="C1652" s="10" t="s">
        <v>27</v>
      </c>
      <c r="D1652" s="30"/>
      <c r="E1652" s="10" t="s">
        <v>17</v>
      </c>
      <c r="F1652" s="19">
        <v>1</v>
      </c>
      <c r="G1652" s="20">
        <v>6.5</v>
      </c>
      <c r="H1652" s="20">
        <v>6.25</v>
      </c>
      <c r="I1652" s="20">
        <v>0</v>
      </c>
      <c r="J1652" s="16">
        <f>OR(F1652&lt;&gt;0,G1652&lt;&gt;0,H1652&lt;&gt;0,I1652&lt;&gt;0)*(F1652 + (F1652 = 0))*(G1652 + (G1652 = 0))*(H1652 + (H1652 = 0))*(I1652 + (I1652 = 0))</f>
        <v>40.625</v>
      </c>
      <c r="K1652" s="9"/>
      <c r="L1652" s="9"/>
      <c r="M1652" s="9"/>
    </row>
    <row r="1653" spans="1:13">
      <c r="A1653" s="9"/>
      <c r="B1653" s="9"/>
      <c r="C1653" s="10" t="s">
        <v>27</v>
      </c>
      <c r="D1653" s="30"/>
      <c r="E1653" s="10" t="s">
        <v>17</v>
      </c>
      <c r="F1653" s="19">
        <v>1</v>
      </c>
      <c r="G1653" s="20">
        <v>5.6</v>
      </c>
      <c r="H1653" s="20">
        <v>4.1500000000000004</v>
      </c>
      <c r="I1653" s="20">
        <v>0</v>
      </c>
      <c r="J1653" s="16">
        <f>OR(F1653&lt;&gt;0,G1653&lt;&gt;0,H1653&lt;&gt;0,I1653&lt;&gt;0)*(F1653 + (F1653 = 0))*(G1653 + (G1653 = 0))*(H1653 + (H1653 = 0))*(I1653 + (I1653 = 0))</f>
        <v>23.24</v>
      </c>
      <c r="K1653" s="9"/>
      <c r="L1653" s="9"/>
      <c r="M1653" s="9"/>
    </row>
    <row r="1654" spans="1:13">
      <c r="A1654" s="9"/>
      <c r="B1654" s="9"/>
      <c r="C1654" s="10" t="s">
        <v>27</v>
      </c>
      <c r="D1654" s="30"/>
      <c r="E1654" s="10" t="s">
        <v>1322</v>
      </c>
      <c r="F1654" s="19">
        <v>-1</v>
      </c>
      <c r="G1654" s="20">
        <v>1.75</v>
      </c>
      <c r="H1654" s="20">
        <v>2.4500000000000002</v>
      </c>
      <c r="I1654" s="20">
        <v>0</v>
      </c>
      <c r="J1654" s="16">
        <f>OR(F1654&lt;&gt;0,G1654&lt;&gt;0,H1654&lt;&gt;0,I1654&lt;&gt;0)*(F1654 + (F1654 = 0))*(G1654 + (G1654 = 0))*(H1654 + (H1654 = 0))*(I1654 + (I1654 = 0))</f>
        <v>-4.2880000000000003</v>
      </c>
      <c r="K1654" s="9"/>
      <c r="L1654" s="9"/>
      <c r="M1654" s="9"/>
    </row>
    <row r="1655" spans="1:13">
      <c r="A1655" s="9"/>
      <c r="B1655" s="9"/>
      <c r="C1655" s="10" t="s">
        <v>27</v>
      </c>
      <c r="D1655" s="30"/>
      <c r="E1655" s="10" t="s">
        <v>1322</v>
      </c>
      <c r="F1655" s="19">
        <v>-1</v>
      </c>
      <c r="G1655" s="20">
        <v>2.5499999999999998</v>
      </c>
      <c r="H1655" s="20">
        <v>2.4500000000000002</v>
      </c>
      <c r="I1655" s="20">
        <v>0</v>
      </c>
      <c r="J1655" s="16">
        <f>OR(F1655&lt;&gt;0,G1655&lt;&gt;0,H1655&lt;&gt;0,I1655&lt;&gt;0)*(F1655 + (F1655 = 0))*(G1655 + (G1655 = 0))*(H1655 + (H1655 = 0))*(I1655 + (I1655 = 0))</f>
        <v>-6.2480000000000002</v>
      </c>
      <c r="K1655" s="9"/>
      <c r="L1655" s="9"/>
      <c r="M1655" s="9"/>
    </row>
    <row r="1656" spans="1:13">
      <c r="A1656" s="9"/>
      <c r="B1656" s="9"/>
      <c r="C1656" s="9"/>
      <c r="D1656" s="30"/>
      <c r="E1656" s="9"/>
      <c r="F1656" s="9"/>
      <c r="G1656" s="9"/>
      <c r="H1656" s="9"/>
      <c r="I1656" s="9"/>
      <c r="J1656" s="21" t="s">
        <v>1323</v>
      </c>
      <c r="K1656" s="22">
        <f>SUM(J1650:J1655)</f>
        <v>93.953999999999994</v>
      </c>
      <c r="L1656" s="23">
        <v>0</v>
      </c>
      <c r="M1656" s="24">
        <f>ROUND(K1656*L1656,2)</f>
        <v>0</v>
      </c>
    </row>
    <row r="1657" spans="1:13" ht="0.95" customHeight="1">
      <c r="A1657" s="25"/>
      <c r="B1657" s="25"/>
      <c r="C1657" s="25"/>
      <c r="D1657" s="31"/>
      <c r="E1657" s="25"/>
      <c r="F1657" s="25"/>
      <c r="G1657" s="25"/>
      <c r="H1657" s="25"/>
      <c r="I1657" s="25"/>
      <c r="J1657" s="25"/>
      <c r="K1657" s="25"/>
      <c r="L1657" s="25"/>
      <c r="M1657" s="25"/>
    </row>
    <row r="1658" spans="1:13" ht="33.75">
      <c r="A1658" s="15" t="s">
        <v>1324</v>
      </c>
      <c r="B1658" s="10" t="s">
        <v>23</v>
      </c>
      <c r="C1658" s="10" t="s">
        <v>66</v>
      </c>
      <c r="D1658" s="18" t="s">
        <v>1325</v>
      </c>
      <c r="E1658" s="9"/>
      <c r="F1658" s="9"/>
      <c r="G1658" s="9"/>
      <c r="H1658" s="9"/>
      <c r="I1658" s="9"/>
      <c r="J1658" s="9"/>
      <c r="K1658" s="16">
        <f>K1664</f>
        <v>25.78</v>
      </c>
      <c r="L1658" s="17">
        <f>L1664</f>
        <v>0</v>
      </c>
      <c r="M1658" s="17">
        <f>M1664</f>
        <v>0</v>
      </c>
    </row>
    <row r="1659" spans="1:13">
      <c r="A1659" s="9"/>
      <c r="B1659" s="9"/>
      <c r="C1659" s="9"/>
      <c r="D1659" s="18" t="s">
        <v>1326</v>
      </c>
      <c r="E1659" s="9"/>
      <c r="F1659" s="9"/>
      <c r="G1659" s="9"/>
      <c r="H1659" s="9"/>
      <c r="I1659" s="9"/>
      <c r="J1659" s="9"/>
      <c r="K1659" s="9"/>
      <c r="L1659" s="9"/>
      <c r="M1659" s="9"/>
    </row>
    <row r="1660" spans="1:13">
      <c r="A1660" s="9"/>
      <c r="B1660" s="9"/>
      <c r="C1660" s="10" t="s">
        <v>27</v>
      </c>
      <c r="D1660" s="30"/>
      <c r="E1660" s="10" t="s">
        <v>17</v>
      </c>
      <c r="F1660" s="19">
        <v>1</v>
      </c>
      <c r="G1660" s="20">
        <v>5.95</v>
      </c>
      <c r="H1660" s="20">
        <v>0</v>
      </c>
      <c r="I1660" s="20">
        <v>0</v>
      </c>
      <c r="J1660" s="16">
        <f>OR(F1660&lt;&gt;0,G1660&lt;&gt;0,H1660&lt;&gt;0,I1660&lt;&gt;0)*(F1660 + (F1660 = 0))*(G1660 + (G1660 = 0))*(H1660 + (H1660 = 0))*(I1660 + (I1660 = 0))</f>
        <v>5.95</v>
      </c>
      <c r="K1660" s="9"/>
      <c r="L1660" s="9"/>
      <c r="M1660" s="9"/>
    </row>
    <row r="1661" spans="1:13">
      <c r="A1661" s="9"/>
      <c r="B1661" s="9"/>
      <c r="C1661" s="10" t="s">
        <v>27</v>
      </c>
      <c r="D1661" s="30"/>
      <c r="E1661" s="10" t="s">
        <v>17</v>
      </c>
      <c r="F1661" s="19">
        <v>1</v>
      </c>
      <c r="G1661" s="20">
        <v>3.55</v>
      </c>
      <c r="H1661" s="20">
        <v>0</v>
      </c>
      <c r="I1661" s="20">
        <v>0</v>
      </c>
      <c r="J1661" s="16">
        <f>OR(F1661&lt;&gt;0,G1661&lt;&gt;0,H1661&lt;&gt;0,I1661&lt;&gt;0)*(F1661 + (F1661 = 0))*(G1661 + (G1661 = 0))*(H1661 + (H1661 = 0))*(I1661 + (I1661 = 0))</f>
        <v>3.55</v>
      </c>
      <c r="K1661" s="9"/>
      <c r="L1661" s="9"/>
      <c r="M1661" s="9"/>
    </row>
    <row r="1662" spans="1:13">
      <c r="A1662" s="9"/>
      <c r="B1662" s="9"/>
      <c r="C1662" s="10" t="s">
        <v>27</v>
      </c>
      <c r="D1662" s="30"/>
      <c r="E1662" s="10" t="s">
        <v>17</v>
      </c>
      <c r="F1662" s="19">
        <v>1</v>
      </c>
      <c r="G1662" s="20">
        <v>12.4</v>
      </c>
      <c r="H1662" s="20">
        <v>0</v>
      </c>
      <c r="I1662" s="20">
        <v>0</v>
      </c>
      <c r="J1662" s="16">
        <f>OR(F1662&lt;&gt;0,G1662&lt;&gt;0,H1662&lt;&gt;0,I1662&lt;&gt;0)*(F1662 + (F1662 = 0))*(G1662 + (G1662 = 0))*(H1662 + (H1662 = 0))*(I1662 + (I1662 = 0))</f>
        <v>12.4</v>
      </c>
      <c r="K1662" s="9"/>
      <c r="L1662" s="9"/>
      <c r="M1662" s="9"/>
    </row>
    <row r="1663" spans="1:13">
      <c r="A1663" s="9"/>
      <c r="B1663" s="9"/>
      <c r="C1663" s="10" t="s">
        <v>27</v>
      </c>
      <c r="D1663" s="30"/>
      <c r="E1663" s="10" t="s">
        <v>17</v>
      </c>
      <c r="F1663" s="19">
        <v>1</v>
      </c>
      <c r="G1663" s="20">
        <v>3.88</v>
      </c>
      <c r="H1663" s="20">
        <v>0</v>
      </c>
      <c r="I1663" s="20">
        <v>0</v>
      </c>
      <c r="J1663" s="16">
        <f>OR(F1663&lt;&gt;0,G1663&lt;&gt;0,H1663&lt;&gt;0,I1663&lt;&gt;0)*(F1663 + (F1663 = 0))*(G1663 + (G1663 = 0))*(H1663 + (H1663 = 0))*(I1663 + (I1663 = 0))</f>
        <v>3.88</v>
      </c>
      <c r="K1663" s="9"/>
      <c r="L1663" s="9"/>
      <c r="M1663" s="9"/>
    </row>
    <row r="1664" spans="1:13">
      <c r="A1664" s="9"/>
      <c r="B1664" s="9"/>
      <c r="C1664" s="9"/>
      <c r="D1664" s="30"/>
      <c r="E1664" s="9"/>
      <c r="F1664" s="9"/>
      <c r="G1664" s="9"/>
      <c r="H1664" s="9"/>
      <c r="I1664" s="9"/>
      <c r="J1664" s="21" t="s">
        <v>1327</v>
      </c>
      <c r="K1664" s="22">
        <f>SUM(J1660:J1663)</f>
        <v>25.78</v>
      </c>
      <c r="L1664" s="23">
        <v>0</v>
      </c>
      <c r="M1664" s="24">
        <f>ROUND(K1664*L1664,2)</f>
        <v>0</v>
      </c>
    </row>
    <row r="1665" spans="1:13" ht="0.95" customHeight="1">
      <c r="A1665" s="25"/>
      <c r="B1665" s="25"/>
      <c r="C1665" s="25"/>
      <c r="D1665" s="31"/>
      <c r="E1665" s="25"/>
      <c r="F1665" s="25"/>
      <c r="G1665" s="25"/>
      <c r="H1665" s="25"/>
      <c r="I1665" s="25"/>
      <c r="J1665" s="25"/>
      <c r="K1665" s="25"/>
      <c r="L1665" s="25"/>
      <c r="M1665" s="25"/>
    </row>
    <row r="1666" spans="1:13" ht="22.5">
      <c r="A1666" s="15" t="s">
        <v>1328</v>
      </c>
      <c r="B1666" s="10" t="s">
        <v>23</v>
      </c>
      <c r="C1666" s="10" t="s">
        <v>204</v>
      </c>
      <c r="D1666" s="18" t="s">
        <v>1329</v>
      </c>
      <c r="E1666" s="9"/>
      <c r="F1666" s="9"/>
      <c r="G1666" s="9"/>
      <c r="H1666" s="9"/>
      <c r="I1666" s="9"/>
      <c r="J1666" s="9"/>
      <c r="K1666" s="16">
        <f>K1669</f>
        <v>31.43</v>
      </c>
      <c r="L1666" s="17">
        <f>L1669</f>
        <v>0</v>
      </c>
      <c r="M1666" s="17">
        <f>M1669</f>
        <v>0</v>
      </c>
    </row>
    <row r="1667" spans="1:13">
      <c r="A1667" s="9"/>
      <c r="B1667" s="9"/>
      <c r="C1667" s="9"/>
      <c r="D1667" s="18" t="s">
        <v>1330</v>
      </c>
      <c r="E1667" s="9"/>
      <c r="F1667" s="9"/>
      <c r="G1667" s="9"/>
      <c r="H1667" s="9"/>
      <c r="I1667" s="9"/>
      <c r="J1667" s="9"/>
      <c r="K1667" s="9"/>
      <c r="L1667" s="9"/>
      <c r="M1667" s="9"/>
    </row>
    <row r="1668" spans="1:13">
      <c r="A1668" s="9"/>
      <c r="B1668" s="9"/>
      <c r="C1668" s="10" t="s">
        <v>27</v>
      </c>
      <c r="D1668" s="30"/>
      <c r="E1668" s="10" t="s">
        <v>1331</v>
      </c>
      <c r="F1668" s="19">
        <v>1</v>
      </c>
      <c r="G1668" s="23">
        <v>6.35</v>
      </c>
      <c r="H1668" s="23">
        <v>4.95</v>
      </c>
      <c r="I1668" s="23">
        <v>0</v>
      </c>
      <c r="J1668" s="17">
        <f>OR(F1668&lt;&gt;0,G1668&lt;&gt;0,H1668&lt;&gt;0,I1668&lt;&gt;0)*(F1668 + (F1668 = 0))*(G1668 + (G1668 = 0))*(H1668 + (H1668 = 0))*(I1668 + (I1668 = 0))</f>
        <v>31.43</v>
      </c>
      <c r="K1668" s="9"/>
      <c r="L1668" s="9"/>
      <c r="M1668" s="9"/>
    </row>
    <row r="1669" spans="1:13">
      <c r="A1669" s="9"/>
      <c r="B1669" s="9"/>
      <c r="C1669" s="9"/>
      <c r="D1669" s="30"/>
      <c r="E1669" s="9"/>
      <c r="F1669" s="9"/>
      <c r="G1669" s="9"/>
      <c r="H1669" s="9"/>
      <c r="I1669" s="9"/>
      <c r="J1669" s="21" t="s">
        <v>1332</v>
      </c>
      <c r="K1669" s="22">
        <f>J1668</f>
        <v>31.43</v>
      </c>
      <c r="L1669" s="23">
        <v>0</v>
      </c>
      <c r="M1669" s="24">
        <f>ROUND(K1669*L1669,2)</f>
        <v>0</v>
      </c>
    </row>
    <row r="1670" spans="1:13" ht="0.95" customHeight="1">
      <c r="A1670" s="25"/>
      <c r="B1670" s="25"/>
      <c r="C1670" s="25"/>
      <c r="D1670" s="31"/>
      <c r="E1670" s="25"/>
      <c r="F1670" s="25"/>
      <c r="G1670" s="25"/>
      <c r="H1670" s="25"/>
      <c r="I1670" s="25"/>
      <c r="J1670" s="25"/>
      <c r="K1670" s="25"/>
      <c r="L1670" s="25"/>
      <c r="M1670" s="25"/>
    </row>
    <row r="1671" spans="1:13">
      <c r="A1671" s="9"/>
      <c r="B1671" s="9"/>
      <c r="C1671" s="9"/>
      <c r="D1671" s="30"/>
      <c r="E1671" s="9"/>
      <c r="F1671" s="9"/>
      <c r="G1671" s="9"/>
      <c r="H1671" s="9"/>
      <c r="I1671" s="9"/>
      <c r="J1671" s="21" t="s">
        <v>1333</v>
      </c>
      <c r="K1671" s="20">
        <v>1</v>
      </c>
      <c r="L1671" s="24">
        <f>M1626+M1631+M1641+M1648+M1658+M1666</f>
        <v>0</v>
      </c>
      <c r="M1671" s="24">
        <f>ROUND(K1671*L1671,2)</f>
        <v>0</v>
      </c>
    </row>
    <row r="1672" spans="1:13" ht="0.95" customHeight="1">
      <c r="A1672" s="25"/>
      <c r="B1672" s="25"/>
      <c r="C1672" s="25"/>
      <c r="D1672" s="31"/>
      <c r="E1672" s="25"/>
      <c r="F1672" s="25"/>
      <c r="G1672" s="25"/>
      <c r="H1672" s="25"/>
      <c r="I1672" s="25"/>
      <c r="J1672" s="25"/>
      <c r="K1672" s="25"/>
      <c r="L1672" s="25"/>
      <c r="M1672" s="25"/>
    </row>
    <row r="1673" spans="1:13">
      <c r="A1673" s="9"/>
      <c r="B1673" s="9"/>
      <c r="C1673" s="9"/>
      <c r="D1673" s="30"/>
      <c r="E1673" s="9"/>
      <c r="F1673" s="9"/>
      <c r="G1673" s="9"/>
      <c r="H1673" s="9"/>
      <c r="I1673" s="9"/>
      <c r="J1673" s="21" t="s">
        <v>1334</v>
      </c>
      <c r="K1673" s="26">
        <v>1</v>
      </c>
      <c r="L1673" s="24">
        <f>M1462+M1476+M1489+M1546+M1563+M1593+M1625</f>
        <v>0</v>
      </c>
      <c r="M1673" s="24">
        <f>ROUND(K1673*L1673,2)</f>
        <v>0</v>
      </c>
    </row>
    <row r="1674" spans="1:13" ht="0.95" customHeight="1">
      <c r="A1674" s="25"/>
      <c r="B1674" s="25"/>
      <c r="C1674" s="25"/>
      <c r="D1674" s="31"/>
      <c r="E1674" s="25"/>
      <c r="F1674" s="25"/>
      <c r="G1674" s="25"/>
      <c r="H1674" s="25"/>
      <c r="I1674" s="25"/>
      <c r="J1674" s="25"/>
      <c r="K1674" s="25"/>
      <c r="L1674" s="25"/>
      <c r="M1674" s="25"/>
    </row>
    <row r="1675" spans="1:13">
      <c r="A1675" s="5" t="s">
        <v>1335</v>
      </c>
      <c r="B1675" s="5" t="s">
        <v>16</v>
      </c>
      <c r="C1675" s="5" t="s">
        <v>17</v>
      </c>
      <c r="D1675" s="28" t="s">
        <v>1336</v>
      </c>
      <c r="E1675" s="6"/>
      <c r="F1675" s="6"/>
      <c r="G1675" s="6"/>
      <c r="H1675" s="6"/>
      <c r="I1675" s="6"/>
      <c r="J1675" s="6"/>
      <c r="K1675" s="7">
        <f>K1724</f>
        <v>1</v>
      </c>
      <c r="L1675" s="8">
        <f>L1724</f>
        <v>0</v>
      </c>
      <c r="M1675" s="8">
        <f>M1724</f>
        <v>0</v>
      </c>
    </row>
    <row r="1676" spans="1:13">
      <c r="A1676" s="11" t="s">
        <v>1337</v>
      </c>
      <c r="B1676" s="11" t="s">
        <v>16</v>
      </c>
      <c r="C1676" s="11" t="s">
        <v>17</v>
      </c>
      <c r="D1676" s="29" t="s">
        <v>1338</v>
      </c>
      <c r="E1676" s="12"/>
      <c r="F1676" s="12"/>
      <c r="G1676" s="12"/>
      <c r="H1676" s="12"/>
      <c r="I1676" s="12"/>
      <c r="J1676" s="12"/>
      <c r="K1676" s="13">
        <f>K1692</f>
        <v>1</v>
      </c>
      <c r="L1676" s="14">
        <f>L1692</f>
        <v>0</v>
      </c>
      <c r="M1676" s="14">
        <f>M1692</f>
        <v>0</v>
      </c>
    </row>
    <row r="1677" spans="1:13" ht="22.5">
      <c r="A1677" s="15" t="s">
        <v>1339</v>
      </c>
      <c r="B1677" s="10" t="s">
        <v>23</v>
      </c>
      <c r="C1677" s="10" t="s">
        <v>4</v>
      </c>
      <c r="D1677" s="18" t="s">
        <v>1340</v>
      </c>
      <c r="E1677" s="9"/>
      <c r="F1677" s="9"/>
      <c r="G1677" s="9"/>
      <c r="H1677" s="9"/>
      <c r="I1677" s="9"/>
      <c r="J1677" s="9"/>
      <c r="K1677" s="16">
        <f>K1680</f>
        <v>1</v>
      </c>
      <c r="L1677" s="17">
        <f>L1680</f>
        <v>0</v>
      </c>
      <c r="M1677" s="17">
        <f>M1680</f>
        <v>0</v>
      </c>
    </row>
    <row r="1678" spans="1:13">
      <c r="A1678" s="9"/>
      <c r="B1678" s="9"/>
      <c r="C1678" s="9"/>
      <c r="D1678" s="18" t="s">
        <v>1341</v>
      </c>
      <c r="E1678" s="9"/>
      <c r="F1678" s="9"/>
      <c r="G1678" s="9"/>
      <c r="H1678" s="9"/>
      <c r="I1678" s="9"/>
      <c r="J1678" s="9"/>
      <c r="K1678" s="9"/>
      <c r="L1678" s="9"/>
      <c r="M1678" s="9"/>
    </row>
    <row r="1679" spans="1:13">
      <c r="A1679" s="9"/>
      <c r="B1679" s="9"/>
      <c r="C1679" s="10" t="s">
        <v>27</v>
      </c>
      <c r="D1679" s="30"/>
      <c r="E1679" s="10" t="s">
        <v>1342</v>
      </c>
      <c r="F1679" s="19">
        <v>1</v>
      </c>
      <c r="G1679" s="20">
        <v>0</v>
      </c>
      <c r="H1679" s="20">
        <v>0</v>
      </c>
      <c r="I1679" s="20">
        <v>0</v>
      </c>
      <c r="J1679" s="16">
        <f>OR(F1679&lt;&gt;0,G1679&lt;&gt;0,H1679&lt;&gt;0,I1679&lt;&gt;0)*(F1679 + (F1679 = 0))*(G1679 + (G1679 = 0))*(H1679 + (H1679 = 0))*(I1679 + (I1679 = 0))</f>
        <v>1</v>
      </c>
      <c r="K1679" s="9"/>
      <c r="L1679" s="9"/>
      <c r="M1679" s="9"/>
    </row>
    <row r="1680" spans="1:13">
      <c r="A1680" s="9"/>
      <c r="B1680" s="9"/>
      <c r="C1680" s="9"/>
      <c r="D1680" s="30"/>
      <c r="E1680" s="9"/>
      <c r="F1680" s="9"/>
      <c r="G1680" s="9"/>
      <c r="H1680" s="9"/>
      <c r="I1680" s="9"/>
      <c r="J1680" s="21" t="s">
        <v>1343</v>
      </c>
      <c r="K1680" s="22">
        <f>J1679</f>
        <v>1</v>
      </c>
      <c r="L1680" s="23">
        <v>0</v>
      </c>
      <c r="M1680" s="24">
        <f>ROUND(K1680*L1680,2)</f>
        <v>0</v>
      </c>
    </row>
    <row r="1681" spans="1:13" ht="0.95" customHeight="1">
      <c r="A1681" s="25"/>
      <c r="B1681" s="25"/>
      <c r="C1681" s="25"/>
      <c r="D1681" s="31"/>
      <c r="E1681" s="25"/>
      <c r="F1681" s="25"/>
      <c r="G1681" s="25"/>
      <c r="H1681" s="25"/>
      <c r="I1681" s="25"/>
      <c r="J1681" s="25"/>
      <c r="K1681" s="25"/>
      <c r="L1681" s="25"/>
      <c r="M1681" s="25"/>
    </row>
    <row r="1682" spans="1:13" ht="22.5">
      <c r="A1682" s="15" t="s">
        <v>1344</v>
      </c>
      <c r="B1682" s="10" t="s">
        <v>23</v>
      </c>
      <c r="C1682" s="10" t="s">
        <v>4</v>
      </c>
      <c r="D1682" s="18" t="s">
        <v>1345</v>
      </c>
      <c r="E1682" s="9"/>
      <c r="F1682" s="9"/>
      <c r="G1682" s="9"/>
      <c r="H1682" s="9"/>
      <c r="I1682" s="9"/>
      <c r="J1682" s="9"/>
      <c r="K1682" s="16">
        <f>K1685</f>
        <v>1</v>
      </c>
      <c r="L1682" s="17">
        <f>L1685</f>
        <v>0</v>
      </c>
      <c r="M1682" s="17">
        <f>M1685</f>
        <v>0</v>
      </c>
    </row>
    <row r="1683" spans="1:13">
      <c r="A1683" s="9"/>
      <c r="B1683" s="9"/>
      <c r="C1683" s="9"/>
      <c r="D1683" s="18" t="s">
        <v>1346</v>
      </c>
      <c r="E1683" s="9"/>
      <c r="F1683" s="9"/>
      <c r="G1683" s="9"/>
      <c r="H1683" s="9"/>
      <c r="I1683" s="9"/>
      <c r="J1683" s="9"/>
      <c r="K1683" s="9"/>
      <c r="L1683" s="9"/>
      <c r="M1683" s="9"/>
    </row>
    <row r="1684" spans="1:13">
      <c r="A1684" s="9"/>
      <c r="B1684" s="9"/>
      <c r="C1684" s="10" t="s">
        <v>27</v>
      </c>
      <c r="D1684" s="30"/>
      <c r="E1684" s="10" t="s">
        <v>1235</v>
      </c>
      <c r="F1684" s="19">
        <v>1</v>
      </c>
      <c r="G1684" s="20">
        <v>0</v>
      </c>
      <c r="H1684" s="20">
        <v>0</v>
      </c>
      <c r="I1684" s="20">
        <v>0</v>
      </c>
      <c r="J1684" s="16">
        <f>OR(F1684&lt;&gt;0,G1684&lt;&gt;0,H1684&lt;&gt;0,I1684&lt;&gt;0)*(F1684 + (F1684 = 0))*(G1684 + (G1684 = 0))*(H1684 + (H1684 = 0))*(I1684 + (I1684 = 0))</f>
        <v>1</v>
      </c>
      <c r="K1684" s="9"/>
      <c r="L1684" s="9"/>
      <c r="M1684" s="9"/>
    </row>
    <row r="1685" spans="1:13">
      <c r="A1685" s="9"/>
      <c r="B1685" s="9"/>
      <c r="C1685" s="9"/>
      <c r="D1685" s="30"/>
      <c r="E1685" s="9"/>
      <c r="F1685" s="9"/>
      <c r="G1685" s="9"/>
      <c r="H1685" s="9"/>
      <c r="I1685" s="9"/>
      <c r="J1685" s="21" t="s">
        <v>1347</v>
      </c>
      <c r="K1685" s="22">
        <f>J1684</f>
        <v>1</v>
      </c>
      <c r="L1685" s="23">
        <v>0</v>
      </c>
      <c r="M1685" s="24">
        <f>ROUND(K1685*L1685,2)</f>
        <v>0</v>
      </c>
    </row>
    <row r="1686" spans="1:13" ht="0.95" customHeight="1">
      <c r="A1686" s="25"/>
      <c r="B1686" s="25"/>
      <c r="C1686" s="25"/>
      <c r="D1686" s="31"/>
      <c r="E1686" s="25"/>
      <c r="F1686" s="25"/>
      <c r="G1686" s="25"/>
      <c r="H1686" s="25"/>
      <c r="I1686" s="25"/>
      <c r="J1686" s="25"/>
      <c r="K1686" s="25"/>
      <c r="L1686" s="25"/>
      <c r="M1686" s="25"/>
    </row>
    <row r="1687" spans="1:13" ht="22.5">
      <c r="A1687" s="15" t="s">
        <v>1348</v>
      </c>
      <c r="B1687" s="10" t="s">
        <v>23</v>
      </c>
      <c r="C1687" s="10" t="s">
        <v>4</v>
      </c>
      <c r="D1687" s="18" t="s">
        <v>1349</v>
      </c>
      <c r="E1687" s="9"/>
      <c r="F1687" s="9"/>
      <c r="G1687" s="9"/>
      <c r="H1687" s="9"/>
      <c r="I1687" s="9"/>
      <c r="J1687" s="9"/>
      <c r="K1687" s="16">
        <f>K1690</f>
        <v>1</v>
      </c>
      <c r="L1687" s="17">
        <f>L1690</f>
        <v>0</v>
      </c>
      <c r="M1687" s="17">
        <f>M1690</f>
        <v>0</v>
      </c>
    </row>
    <row r="1688" spans="1:13">
      <c r="A1688" s="9"/>
      <c r="B1688" s="9"/>
      <c r="C1688" s="9"/>
      <c r="D1688" s="18" t="s">
        <v>1350</v>
      </c>
      <c r="E1688" s="9"/>
      <c r="F1688" s="9"/>
      <c r="G1688" s="9"/>
      <c r="H1688" s="9"/>
      <c r="I1688" s="9"/>
      <c r="J1688" s="9"/>
      <c r="K1688" s="9"/>
      <c r="L1688" s="9"/>
      <c r="M1688" s="9"/>
    </row>
    <row r="1689" spans="1:13">
      <c r="A1689" s="9"/>
      <c r="B1689" s="9"/>
      <c r="C1689" s="10" t="s">
        <v>27</v>
      </c>
      <c r="D1689" s="30"/>
      <c r="E1689" s="10" t="s">
        <v>1351</v>
      </c>
      <c r="F1689" s="19">
        <v>1</v>
      </c>
      <c r="G1689" s="20">
        <v>0</v>
      </c>
      <c r="H1689" s="20">
        <v>0</v>
      </c>
      <c r="I1689" s="20">
        <v>0</v>
      </c>
      <c r="J1689" s="16">
        <f>OR(F1689&lt;&gt;0,G1689&lt;&gt;0,H1689&lt;&gt;0,I1689&lt;&gt;0)*(F1689 + (F1689 = 0))*(G1689 + (G1689 = 0))*(H1689 + (H1689 = 0))*(I1689 + (I1689 = 0))</f>
        <v>1</v>
      </c>
      <c r="K1689" s="9"/>
      <c r="L1689" s="9"/>
      <c r="M1689" s="9"/>
    </row>
    <row r="1690" spans="1:13">
      <c r="A1690" s="9"/>
      <c r="B1690" s="9"/>
      <c r="C1690" s="9"/>
      <c r="D1690" s="30"/>
      <c r="E1690" s="9"/>
      <c r="F1690" s="9"/>
      <c r="G1690" s="9"/>
      <c r="H1690" s="9"/>
      <c r="I1690" s="9"/>
      <c r="J1690" s="21" t="s">
        <v>1352</v>
      </c>
      <c r="K1690" s="22">
        <f>J1689</f>
        <v>1</v>
      </c>
      <c r="L1690" s="23">
        <v>0</v>
      </c>
      <c r="M1690" s="24">
        <f>ROUND(K1690*L1690,2)</f>
        <v>0</v>
      </c>
    </row>
    <row r="1691" spans="1:13" ht="0.95" customHeight="1">
      <c r="A1691" s="25"/>
      <c r="B1691" s="25"/>
      <c r="C1691" s="25"/>
      <c r="D1691" s="31"/>
      <c r="E1691" s="25"/>
      <c r="F1691" s="25"/>
      <c r="G1691" s="25"/>
      <c r="H1691" s="25"/>
      <c r="I1691" s="25"/>
      <c r="J1691" s="25"/>
      <c r="K1691" s="25"/>
      <c r="L1691" s="25"/>
      <c r="M1691" s="25"/>
    </row>
    <row r="1692" spans="1:13">
      <c r="A1692" s="9"/>
      <c r="B1692" s="9"/>
      <c r="C1692" s="9"/>
      <c r="D1692" s="30"/>
      <c r="E1692" s="9"/>
      <c r="F1692" s="9"/>
      <c r="G1692" s="9"/>
      <c r="H1692" s="9"/>
      <c r="I1692" s="9"/>
      <c r="J1692" s="21" t="s">
        <v>1353</v>
      </c>
      <c r="K1692" s="20">
        <v>1</v>
      </c>
      <c r="L1692" s="24">
        <f>M1677+M1682+M1687</f>
        <v>0</v>
      </c>
      <c r="M1692" s="24">
        <f>ROUND(K1692*L1692,2)</f>
        <v>0</v>
      </c>
    </row>
    <row r="1693" spans="1:13" ht="0.95" customHeight="1">
      <c r="A1693" s="25"/>
      <c r="B1693" s="25"/>
      <c r="C1693" s="25"/>
      <c r="D1693" s="31"/>
      <c r="E1693" s="25"/>
      <c r="F1693" s="25"/>
      <c r="G1693" s="25"/>
      <c r="H1693" s="25"/>
      <c r="I1693" s="25"/>
      <c r="J1693" s="25"/>
      <c r="K1693" s="25"/>
      <c r="L1693" s="25"/>
      <c r="M1693" s="25"/>
    </row>
    <row r="1694" spans="1:13">
      <c r="A1694" s="11" t="s">
        <v>1354</v>
      </c>
      <c r="B1694" s="11" t="s">
        <v>16</v>
      </c>
      <c r="C1694" s="11" t="s">
        <v>17</v>
      </c>
      <c r="D1694" s="29" t="s">
        <v>1355</v>
      </c>
      <c r="E1694" s="12"/>
      <c r="F1694" s="12"/>
      <c r="G1694" s="12"/>
      <c r="H1694" s="12"/>
      <c r="I1694" s="12"/>
      <c r="J1694" s="12"/>
      <c r="K1694" s="13">
        <f>K1714</f>
        <v>1</v>
      </c>
      <c r="L1694" s="14">
        <f>L1714</f>
        <v>0</v>
      </c>
      <c r="M1694" s="14">
        <f>M1714</f>
        <v>0</v>
      </c>
    </row>
    <row r="1695" spans="1:13" ht="22.5">
      <c r="A1695" s="15" t="s">
        <v>1356</v>
      </c>
      <c r="B1695" s="10" t="s">
        <v>23</v>
      </c>
      <c r="C1695" s="10" t="s">
        <v>4</v>
      </c>
      <c r="D1695" s="18" t="s">
        <v>1357</v>
      </c>
      <c r="E1695" s="9"/>
      <c r="F1695" s="9"/>
      <c r="G1695" s="9"/>
      <c r="H1695" s="9"/>
      <c r="I1695" s="9"/>
      <c r="J1695" s="9"/>
      <c r="K1695" s="20">
        <v>1</v>
      </c>
      <c r="L1695" s="23">
        <v>0</v>
      </c>
      <c r="M1695" s="17">
        <f>ROUND(K1695*L1695,2)</f>
        <v>0</v>
      </c>
    </row>
    <row r="1696" spans="1:13">
      <c r="A1696" s="9"/>
      <c r="B1696" s="9"/>
      <c r="C1696" s="9"/>
      <c r="D1696" s="18" t="s">
        <v>1358</v>
      </c>
      <c r="E1696" s="9"/>
      <c r="F1696" s="9"/>
      <c r="G1696" s="9"/>
      <c r="H1696" s="9"/>
      <c r="I1696" s="9"/>
      <c r="J1696" s="9"/>
      <c r="K1696" s="9"/>
      <c r="L1696" s="9"/>
      <c r="M1696" s="9"/>
    </row>
    <row r="1697" spans="1:13">
      <c r="A1697" s="15" t="s">
        <v>1359</v>
      </c>
      <c r="B1697" s="10" t="s">
        <v>23</v>
      </c>
      <c r="C1697" s="10" t="s">
        <v>4</v>
      </c>
      <c r="D1697" s="18" t="s">
        <v>1360</v>
      </c>
      <c r="E1697" s="9"/>
      <c r="F1697" s="9"/>
      <c r="G1697" s="9"/>
      <c r="H1697" s="9"/>
      <c r="I1697" s="9"/>
      <c r="J1697" s="9"/>
      <c r="K1697" s="20">
        <v>1</v>
      </c>
      <c r="L1697" s="23">
        <v>0</v>
      </c>
      <c r="M1697" s="17">
        <f>ROUND(K1697*L1697,2)</f>
        <v>0</v>
      </c>
    </row>
    <row r="1698" spans="1:13">
      <c r="A1698" s="9"/>
      <c r="B1698" s="9"/>
      <c r="C1698" s="9"/>
      <c r="D1698" s="18" t="s">
        <v>1361</v>
      </c>
      <c r="E1698" s="9"/>
      <c r="F1698" s="9"/>
      <c r="G1698" s="9"/>
      <c r="H1698" s="9"/>
      <c r="I1698" s="9"/>
      <c r="J1698" s="9"/>
      <c r="K1698" s="9"/>
      <c r="L1698" s="9"/>
      <c r="M1698" s="9"/>
    </row>
    <row r="1699" spans="1:13">
      <c r="A1699" s="15" t="s">
        <v>1362</v>
      </c>
      <c r="B1699" s="10" t="s">
        <v>23</v>
      </c>
      <c r="C1699" s="10" t="s">
        <v>4</v>
      </c>
      <c r="D1699" s="18" t="s">
        <v>1363</v>
      </c>
      <c r="E1699" s="9"/>
      <c r="F1699" s="9"/>
      <c r="G1699" s="9"/>
      <c r="H1699" s="9"/>
      <c r="I1699" s="9"/>
      <c r="J1699" s="9"/>
      <c r="K1699" s="20">
        <v>1</v>
      </c>
      <c r="L1699" s="23">
        <v>0</v>
      </c>
      <c r="M1699" s="17">
        <f>ROUND(K1699*L1699,2)</f>
        <v>0</v>
      </c>
    </row>
    <row r="1700" spans="1:13">
      <c r="A1700" s="9"/>
      <c r="B1700" s="9"/>
      <c r="C1700" s="9"/>
      <c r="D1700" s="18" t="s">
        <v>1364</v>
      </c>
      <c r="E1700" s="9"/>
      <c r="F1700" s="9"/>
      <c r="G1700" s="9"/>
      <c r="H1700" s="9"/>
      <c r="I1700" s="9"/>
      <c r="J1700" s="9"/>
      <c r="K1700" s="9"/>
      <c r="L1700" s="9"/>
      <c r="M1700" s="9"/>
    </row>
    <row r="1701" spans="1:13" ht="22.5">
      <c r="A1701" s="15" t="s">
        <v>1365</v>
      </c>
      <c r="B1701" s="10" t="s">
        <v>23</v>
      </c>
      <c r="C1701" s="10" t="s">
        <v>204</v>
      </c>
      <c r="D1701" s="18" t="s">
        <v>1366</v>
      </c>
      <c r="E1701" s="9"/>
      <c r="F1701" s="9"/>
      <c r="G1701" s="9"/>
      <c r="H1701" s="9"/>
      <c r="I1701" s="9"/>
      <c r="J1701" s="9"/>
      <c r="K1701" s="16">
        <f>K1707</f>
        <v>5.8849999999999998</v>
      </c>
      <c r="L1701" s="17">
        <f>L1707</f>
        <v>0</v>
      </c>
      <c r="M1701" s="17">
        <f>M1707</f>
        <v>0</v>
      </c>
    </row>
    <row r="1702" spans="1:13">
      <c r="A1702" s="9"/>
      <c r="B1702" s="9"/>
      <c r="C1702" s="9"/>
      <c r="D1702" s="18" t="s">
        <v>1367</v>
      </c>
      <c r="E1702" s="9"/>
      <c r="F1702" s="9"/>
      <c r="G1702" s="9"/>
      <c r="H1702" s="9"/>
      <c r="I1702" s="9"/>
      <c r="J1702" s="9"/>
      <c r="K1702" s="9"/>
      <c r="L1702" s="9"/>
      <c r="M1702" s="9"/>
    </row>
    <row r="1703" spans="1:13">
      <c r="A1703" s="9"/>
      <c r="B1703" s="9"/>
      <c r="C1703" s="10" t="s">
        <v>27</v>
      </c>
      <c r="D1703" s="30"/>
      <c r="E1703" s="10" t="s">
        <v>1368</v>
      </c>
      <c r="F1703" s="19">
        <v>1</v>
      </c>
      <c r="G1703" s="20">
        <v>3.4</v>
      </c>
      <c r="H1703" s="20">
        <v>0.6</v>
      </c>
      <c r="I1703" s="20">
        <v>0</v>
      </c>
      <c r="J1703" s="16">
        <f>OR(F1703&lt;&gt;0,G1703&lt;&gt;0,H1703&lt;&gt;0,I1703&lt;&gt;0)*(F1703 + (F1703 = 0))*(G1703 + (G1703 = 0))*(H1703 + (H1703 = 0))*(I1703 + (I1703 = 0))</f>
        <v>2.04</v>
      </c>
      <c r="K1703" s="9"/>
      <c r="L1703" s="9"/>
      <c r="M1703" s="9"/>
    </row>
    <row r="1704" spans="1:13">
      <c r="A1704" s="9"/>
      <c r="B1704" s="9"/>
      <c r="C1704" s="10" t="s">
        <v>27</v>
      </c>
      <c r="D1704" s="30"/>
      <c r="E1704" s="10" t="s">
        <v>1369</v>
      </c>
      <c r="F1704" s="19">
        <v>1</v>
      </c>
      <c r="G1704" s="20">
        <v>2.1</v>
      </c>
      <c r="H1704" s="20">
        <v>1.3</v>
      </c>
      <c r="I1704" s="20">
        <v>0</v>
      </c>
      <c r="J1704" s="16">
        <f>OR(F1704&lt;&gt;0,G1704&lt;&gt;0,H1704&lt;&gt;0,I1704&lt;&gt;0)*(F1704 + (F1704 = 0))*(G1704 + (G1704 = 0))*(H1704 + (H1704 = 0))*(I1704 + (I1704 = 0))</f>
        <v>2.73</v>
      </c>
      <c r="K1704" s="9"/>
      <c r="L1704" s="9"/>
      <c r="M1704" s="9"/>
    </row>
    <row r="1705" spans="1:13">
      <c r="A1705" s="9"/>
      <c r="B1705" s="9"/>
      <c r="C1705" s="10" t="s">
        <v>27</v>
      </c>
      <c r="D1705" s="30"/>
      <c r="E1705" s="10" t="s">
        <v>1370</v>
      </c>
      <c r="F1705" s="19">
        <v>1</v>
      </c>
      <c r="G1705" s="20">
        <v>1.35</v>
      </c>
      <c r="H1705" s="20">
        <v>0.5</v>
      </c>
      <c r="I1705" s="20">
        <v>0</v>
      </c>
      <c r="J1705" s="16">
        <f>OR(F1705&lt;&gt;0,G1705&lt;&gt;0,H1705&lt;&gt;0,I1705&lt;&gt;0)*(F1705 + (F1705 = 0))*(G1705 + (G1705 = 0))*(H1705 + (H1705 = 0))*(I1705 + (I1705 = 0))</f>
        <v>0.67500000000000004</v>
      </c>
      <c r="K1705" s="9"/>
      <c r="L1705" s="9"/>
      <c r="M1705" s="9"/>
    </row>
    <row r="1706" spans="1:13">
      <c r="A1706" s="9"/>
      <c r="B1706" s="9"/>
      <c r="C1706" s="10" t="s">
        <v>27</v>
      </c>
      <c r="D1706" s="30"/>
      <c r="E1706" s="10" t="s">
        <v>1371</v>
      </c>
      <c r="F1706" s="19">
        <v>1</v>
      </c>
      <c r="G1706" s="20">
        <v>0.8</v>
      </c>
      <c r="H1706" s="20">
        <v>0.55000000000000004</v>
      </c>
      <c r="I1706" s="20">
        <v>0</v>
      </c>
      <c r="J1706" s="16">
        <f>OR(F1706&lt;&gt;0,G1706&lt;&gt;0,H1706&lt;&gt;0,I1706&lt;&gt;0)*(F1706 + (F1706 = 0))*(G1706 + (G1706 = 0))*(H1706 + (H1706 = 0))*(I1706 + (I1706 = 0))</f>
        <v>0.44</v>
      </c>
      <c r="K1706" s="9"/>
      <c r="L1706" s="9"/>
      <c r="M1706" s="9"/>
    </row>
    <row r="1707" spans="1:13">
      <c r="A1707" s="9"/>
      <c r="B1707" s="9"/>
      <c r="C1707" s="9"/>
      <c r="D1707" s="30"/>
      <c r="E1707" s="9"/>
      <c r="F1707" s="9"/>
      <c r="G1707" s="9"/>
      <c r="H1707" s="9"/>
      <c r="I1707" s="9"/>
      <c r="J1707" s="21" t="s">
        <v>1372</v>
      </c>
      <c r="K1707" s="22">
        <f>SUM(J1703:J1706)</f>
        <v>5.8849999999999998</v>
      </c>
      <c r="L1707" s="23">
        <v>0</v>
      </c>
      <c r="M1707" s="24">
        <f>ROUND(K1707*L1707,2)</f>
        <v>0</v>
      </c>
    </row>
    <row r="1708" spans="1:13" ht="0.95" customHeight="1">
      <c r="A1708" s="25"/>
      <c r="B1708" s="25"/>
      <c r="C1708" s="25"/>
      <c r="D1708" s="31"/>
      <c r="E1708" s="25"/>
      <c r="F1708" s="25"/>
      <c r="G1708" s="25"/>
      <c r="H1708" s="25"/>
      <c r="I1708" s="25"/>
      <c r="J1708" s="25"/>
      <c r="K1708" s="25"/>
      <c r="L1708" s="25"/>
      <c r="M1708" s="25"/>
    </row>
    <row r="1709" spans="1:13">
      <c r="A1709" s="15" t="s">
        <v>1373</v>
      </c>
      <c r="B1709" s="10" t="s">
        <v>23</v>
      </c>
      <c r="C1709" s="10" t="s">
        <v>4</v>
      </c>
      <c r="D1709" s="18" t="s">
        <v>1374</v>
      </c>
      <c r="E1709" s="9"/>
      <c r="F1709" s="9"/>
      <c r="G1709" s="9"/>
      <c r="H1709" s="9"/>
      <c r="I1709" s="9"/>
      <c r="J1709" s="9"/>
      <c r="K1709" s="16">
        <f>K1712</f>
        <v>1</v>
      </c>
      <c r="L1709" s="17">
        <f>L1712</f>
        <v>0</v>
      </c>
      <c r="M1709" s="17">
        <f>M1712</f>
        <v>0</v>
      </c>
    </row>
    <row r="1710" spans="1:13">
      <c r="A1710" s="9"/>
      <c r="B1710" s="9"/>
      <c r="C1710" s="9"/>
      <c r="D1710" s="18" t="s">
        <v>1375</v>
      </c>
      <c r="E1710" s="9"/>
      <c r="F1710" s="9"/>
      <c r="G1710" s="9"/>
      <c r="H1710" s="9"/>
      <c r="I1710" s="9"/>
      <c r="J1710" s="9"/>
      <c r="K1710" s="9"/>
      <c r="L1710" s="9"/>
      <c r="M1710" s="9"/>
    </row>
    <row r="1711" spans="1:13">
      <c r="A1711" s="9"/>
      <c r="B1711" s="9"/>
      <c r="C1711" s="10" t="s">
        <v>27</v>
      </c>
      <c r="D1711" s="30"/>
      <c r="E1711" s="10" t="s">
        <v>17</v>
      </c>
      <c r="F1711" s="19">
        <v>1</v>
      </c>
      <c r="G1711" s="23">
        <v>0</v>
      </c>
      <c r="H1711" s="23">
        <v>0</v>
      </c>
      <c r="I1711" s="23">
        <v>0</v>
      </c>
      <c r="J1711" s="17">
        <f>OR(F1711&lt;&gt;0,G1711&lt;&gt;0,H1711&lt;&gt;0,I1711&lt;&gt;0)*(F1711 + (F1711 = 0))*(G1711 + (G1711 = 0))*(H1711 + (H1711 = 0))*(I1711 + (I1711 = 0))</f>
        <v>1</v>
      </c>
      <c r="K1711" s="9"/>
      <c r="L1711" s="9"/>
      <c r="M1711" s="9"/>
    </row>
    <row r="1712" spans="1:13">
      <c r="A1712" s="9"/>
      <c r="B1712" s="9"/>
      <c r="C1712" s="9"/>
      <c r="D1712" s="30"/>
      <c r="E1712" s="9"/>
      <c r="F1712" s="9"/>
      <c r="G1712" s="9"/>
      <c r="H1712" s="9"/>
      <c r="I1712" s="9"/>
      <c r="J1712" s="21" t="s">
        <v>1376</v>
      </c>
      <c r="K1712" s="22">
        <f>J1711</f>
        <v>1</v>
      </c>
      <c r="L1712" s="23">
        <v>0</v>
      </c>
      <c r="M1712" s="24">
        <f>ROUND(K1712*L1712,2)</f>
        <v>0</v>
      </c>
    </row>
    <row r="1713" spans="1:13" ht="0.95" customHeight="1">
      <c r="A1713" s="25"/>
      <c r="B1713" s="25"/>
      <c r="C1713" s="25"/>
      <c r="D1713" s="31"/>
      <c r="E1713" s="25"/>
      <c r="F1713" s="25"/>
      <c r="G1713" s="25"/>
      <c r="H1713" s="25"/>
      <c r="I1713" s="25"/>
      <c r="J1713" s="25"/>
      <c r="K1713" s="25"/>
      <c r="L1713" s="25"/>
      <c r="M1713" s="25"/>
    </row>
    <row r="1714" spans="1:13">
      <c r="A1714" s="9"/>
      <c r="B1714" s="9"/>
      <c r="C1714" s="9"/>
      <c r="D1714" s="30"/>
      <c r="E1714" s="9"/>
      <c r="F1714" s="9"/>
      <c r="G1714" s="9"/>
      <c r="H1714" s="9"/>
      <c r="I1714" s="9"/>
      <c r="J1714" s="21" t="s">
        <v>1377</v>
      </c>
      <c r="K1714" s="20">
        <v>1</v>
      </c>
      <c r="L1714" s="24">
        <f>M1695+M1697+M1699+M1701+M1709</f>
        <v>0</v>
      </c>
      <c r="M1714" s="24">
        <f>ROUND(K1714*L1714,2)</f>
        <v>0</v>
      </c>
    </row>
    <row r="1715" spans="1:13" ht="0.95" customHeight="1">
      <c r="A1715" s="25"/>
      <c r="B1715" s="25"/>
      <c r="C1715" s="25"/>
      <c r="D1715" s="31"/>
      <c r="E1715" s="25"/>
      <c r="F1715" s="25"/>
      <c r="G1715" s="25"/>
      <c r="H1715" s="25"/>
      <c r="I1715" s="25"/>
      <c r="J1715" s="25"/>
      <c r="K1715" s="25"/>
      <c r="L1715" s="25"/>
      <c r="M1715" s="25"/>
    </row>
    <row r="1716" spans="1:13">
      <c r="A1716" s="11" t="s">
        <v>1378</v>
      </c>
      <c r="B1716" s="11" t="s">
        <v>16</v>
      </c>
      <c r="C1716" s="11" t="s">
        <v>17</v>
      </c>
      <c r="D1716" s="29" t="s">
        <v>1379</v>
      </c>
      <c r="E1716" s="12"/>
      <c r="F1716" s="12"/>
      <c r="G1716" s="12"/>
      <c r="H1716" s="12"/>
      <c r="I1716" s="12"/>
      <c r="J1716" s="12"/>
      <c r="K1716" s="13">
        <f>K1722</f>
        <v>1</v>
      </c>
      <c r="L1716" s="14">
        <f>L1722</f>
        <v>0</v>
      </c>
      <c r="M1716" s="14">
        <f>M1722</f>
        <v>0</v>
      </c>
    </row>
    <row r="1717" spans="1:13">
      <c r="A1717" s="15" t="s">
        <v>1380</v>
      </c>
      <c r="B1717" s="10" t="s">
        <v>23</v>
      </c>
      <c r="C1717" s="10" t="s">
        <v>17</v>
      </c>
      <c r="D1717" s="18" t="s">
        <v>1381</v>
      </c>
      <c r="E1717" s="9"/>
      <c r="F1717" s="9"/>
      <c r="G1717" s="9"/>
      <c r="H1717" s="9"/>
      <c r="I1717" s="9"/>
      <c r="J1717" s="9"/>
      <c r="K1717" s="16">
        <f>K1720</f>
        <v>1</v>
      </c>
      <c r="L1717" s="17">
        <f>L1720</f>
        <v>0</v>
      </c>
      <c r="M1717" s="17">
        <f>M1720</f>
        <v>0</v>
      </c>
    </row>
    <row r="1718" spans="1:13">
      <c r="A1718" s="9"/>
      <c r="B1718" s="9"/>
      <c r="C1718" s="9"/>
      <c r="D1718" s="18" t="s">
        <v>1382</v>
      </c>
      <c r="E1718" s="9"/>
      <c r="F1718" s="9"/>
      <c r="G1718" s="9"/>
      <c r="H1718" s="9"/>
      <c r="I1718" s="9"/>
      <c r="J1718" s="9"/>
      <c r="K1718" s="9"/>
      <c r="L1718" s="9"/>
      <c r="M1718" s="9"/>
    </row>
    <row r="1719" spans="1:13">
      <c r="A1719" s="9"/>
      <c r="B1719" s="9"/>
      <c r="C1719" s="10" t="s">
        <v>27</v>
      </c>
      <c r="D1719" s="30"/>
      <c r="E1719" s="10" t="s">
        <v>17</v>
      </c>
      <c r="F1719" s="19">
        <v>1</v>
      </c>
      <c r="G1719" s="23">
        <v>0</v>
      </c>
      <c r="H1719" s="23">
        <v>0</v>
      </c>
      <c r="I1719" s="23">
        <v>0</v>
      </c>
      <c r="J1719" s="17">
        <f>OR(F1719&lt;&gt;0,G1719&lt;&gt;0,H1719&lt;&gt;0,I1719&lt;&gt;0)*(F1719 + (F1719 = 0))*(G1719 + (G1719 = 0))*(H1719 + (H1719 = 0))*(I1719 + (I1719 = 0))</f>
        <v>1</v>
      </c>
      <c r="K1719" s="9"/>
      <c r="L1719" s="9"/>
      <c r="M1719" s="9"/>
    </row>
    <row r="1720" spans="1:13">
      <c r="A1720" s="9"/>
      <c r="B1720" s="9"/>
      <c r="C1720" s="9"/>
      <c r="D1720" s="30"/>
      <c r="E1720" s="9"/>
      <c r="F1720" s="9"/>
      <c r="G1720" s="9"/>
      <c r="H1720" s="9"/>
      <c r="I1720" s="9"/>
      <c r="J1720" s="21" t="s">
        <v>1383</v>
      </c>
      <c r="K1720" s="22">
        <f>J1719</f>
        <v>1</v>
      </c>
      <c r="L1720" s="23">
        <v>0</v>
      </c>
      <c r="M1720" s="24">
        <f>ROUND(K1720*L1720,2)</f>
        <v>0</v>
      </c>
    </row>
    <row r="1721" spans="1:13" ht="0.95" customHeight="1">
      <c r="A1721" s="25"/>
      <c r="B1721" s="25"/>
      <c r="C1721" s="25"/>
      <c r="D1721" s="31"/>
      <c r="E1721" s="25"/>
      <c r="F1721" s="25"/>
      <c r="G1721" s="25"/>
      <c r="H1721" s="25"/>
      <c r="I1721" s="25"/>
      <c r="J1721" s="25"/>
      <c r="K1721" s="25"/>
      <c r="L1721" s="25"/>
      <c r="M1721" s="25"/>
    </row>
    <row r="1722" spans="1:13">
      <c r="A1722" s="9"/>
      <c r="B1722" s="9"/>
      <c r="C1722" s="9"/>
      <c r="D1722" s="30"/>
      <c r="E1722" s="9"/>
      <c r="F1722" s="9"/>
      <c r="G1722" s="9"/>
      <c r="H1722" s="9"/>
      <c r="I1722" s="9"/>
      <c r="J1722" s="21" t="s">
        <v>1384</v>
      </c>
      <c r="K1722" s="20">
        <v>1</v>
      </c>
      <c r="L1722" s="24">
        <f>M1717</f>
        <v>0</v>
      </c>
      <c r="M1722" s="24">
        <f>ROUND(K1722*L1722,2)</f>
        <v>0</v>
      </c>
    </row>
    <row r="1723" spans="1:13" ht="0.95" customHeight="1">
      <c r="A1723" s="25"/>
      <c r="B1723" s="25"/>
      <c r="C1723" s="25"/>
      <c r="D1723" s="31"/>
      <c r="E1723" s="25"/>
      <c r="F1723" s="25"/>
      <c r="G1723" s="25"/>
      <c r="H1723" s="25"/>
      <c r="I1723" s="25"/>
      <c r="J1723" s="25"/>
      <c r="K1723" s="25"/>
      <c r="L1723" s="25"/>
      <c r="M1723" s="25"/>
    </row>
    <row r="1724" spans="1:13">
      <c r="A1724" s="9"/>
      <c r="B1724" s="9"/>
      <c r="C1724" s="9"/>
      <c r="D1724" s="30"/>
      <c r="E1724" s="9"/>
      <c r="F1724" s="9"/>
      <c r="G1724" s="9"/>
      <c r="H1724" s="9"/>
      <c r="I1724" s="9"/>
      <c r="J1724" s="21" t="s">
        <v>1385</v>
      </c>
      <c r="K1724" s="26">
        <v>1</v>
      </c>
      <c r="L1724" s="24">
        <f>M1676+M1694+M1716</f>
        <v>0</v>
      </c>
      <c r="M1724" s="24">
        <f>ROUND(K1724*L1724,2)</f>
        <v>0</v>
      </c>
    </row>
    <row r="1725" spans="1:13" ht="0.95" customHeight="1">
      <c r="A1725" s="25"/>
      <c r="B1725" s="25"/>
      <c r="C1725" s="25"/>
      <c r="D1725" s="31"/>
      <c r="E1725" s="25"/>
      <c r="F1725" s="25"/>
      <c r="G1725" s="25"/>
      <c r="H1725" s="25"/>
      <c r="I1725" s="25"/>
      <c r="J1725" s="25"/>
      <c r="K1725" s="25"/>
      <c r="L1725" s="25"/>
      <c r="M1725" s="25"/>
    </row>
    <row r="1726" spans="1:13">
      <c r="A1726" s="5" t="s">
        <v>1386</v>
      </c>
      <c r="B1726" s="5" t="s">
        <v>16</v>
      </c>
      <c r="C1726" s="5" t="s">
        <v>17</v>
      </c>
      <c r="D1726" s="28" t="s">
        <v>1387</v>
      </c>
      <c r="E1726" s="6"/>
      <c r="F1726" s="6"/>
      <c r="G1726" s="6"/>
      <c r="H1726" s="6"/>
      <c r="I1726" s="6"/>
      <c r="J1726" s="6"/>
      <c r="K1726" s="7">
        <f>K1798</f>
        <v>1</v>
      </c>
      <c r="L1726" s="8">
        <f>L1798</f>
        <v>0</v>
      </c>
      <c r="M1726" s="8">
        <f>M1798</f>
        <v>0</v>
      </c>
    </row>
    <row r="1727" spans="1:13">
      <c r="A1727" s="11" t="s">
        <v>1388</v>
      </c>
      <c r="B1727" s="11" t="s">
        <v>16</v>
      </c>
      <c r="C1727" s="11" t="s">
        <v>17</v>
      </c>
      <c r="D1727" s="29" t="s">
        <v>1389</v>
      </c>
      <c r="E1727" s="12"/>
      <c r="F1727" s="12"/>
      <c r="G1727" s="12"/>
      <c r="H1727" s="12"/>
      <c r="I1727" s="12"/>
      <c r="J1727" s="12"/>
      <c r="K1727" s="13">
        <f>K1764</f>
        <v>1</v>
      </c>
      <c r="L1727" s="14">
        <f>L1764</f>
        <v>0</v>
      </c>
      <c r="M1727" s="14">
        <f>M1764</f>
        <v>0</v>
      </c>
    </row>
    <row r="1728" spans="1:13">
      <c r="A1728" s="9"/>
      <c r="B1728" s="9"/>
      <c r="C1728" s="9"/>
      <c r="D1728" s="18" t="s">
        <v>1389</v>
      </c>
      <c r="E1728" s="9"/>
      <c r="F1728" s="9"/>
      <c r="G1728" s="9"/>
      <c r="H1728" s="9"/>
      <c r="I1728" s="9"/>
      <c r="J1728" s="9"/>
      <c r="K1728" s="9"/>
      <c r="L1728" s="9"/>
      <c r="M1728" s="9"/>
    </row>
    <row r="1729" spans="1:13" ht="33.75">
      <c r="A1729" s="15" t="s">
        <v>1390</v>
      </c>
      <c r="B1729" s="10" t="s">
        <v>23</v>
      </c>
      <c r="C1729" s="10" t="s">
        <v>24</v>
      </c>
      <c r="D1729" s="18" t="s">
        <v>1391</v>
      </c>
      <c r="E1729" s="9"/>
      <c r="F1729" s="9"/>
      <c r="G1729" s="9"/>
      <c r="H1729" s="9"/>
      <c r="I1729" s="9"/>
      <c r="J1729" s="9"/>
      <c r="K1729" s="16">
        <f>K1735</f>
        <v>8.5150000000000006</v>
      </c>
      <c r="L1729" s="17">
        <f>L1735</f>
        <v>0</v>
      </c>
      <c r="M1729" s="17">
        <f>M1735</f>
        <v>0</v>
      </c>
    </row>
    <row r="1730" spans="1:13">
      <c r="A1730" s="9"/>
      <c r="B1730" s="9"/>
      <c r="C1730" s="9"/>
      <c r="D1730" s="18" t="s">
        <v>1392</v>
      </c>
      <c r="E1730" s="9"/>
      <c r="F1730" s="9"/>
      <c r="G1730" s="9"/>
      <c r="H1730" s="9"/>
      <c r="I1730" s="9"/>
      <c r="J1730" s="9"/>
      <c r="K1730" s="9"/>
      <c r="L1730" s="9"/>
      <c r="M1730" s="9"/>
    </row>
    <row r="1731" spans="1:13">
      <c r="A1731" s="9"/>
      <c r="B1731" s="9"/>
      <c r="C1731" s="10" t="s">
        <v>27</v>
      </c>
      <c r="D1731" s="30"/>
      <c r="E1731" s="10" t="s">
        <v>1393</v>
      </c>
      <c r="F1731" s="19">
        <v>1</v>
      </c>
      <c r="G1731" s="20">
        <v>5.0999999999999996</v>
      </c>
      <c r="H1731" s="20">
        <v>0.2</v>
      </c>
      <c r="I1731" s="20">
        <v>1.65</v>
      </c>
      <c r="J1731" s="16">
        <f>OR(F1731&lt;&gt;0,G1731&lt;&gt;0,H1731&lt;&gt;0,I1731&lt;&gt;0)*(F1731 + (F1731 = 0))*(G1731 + (G1731 = 0))*(H1731 + (H1731 = 0))*(I1731 + (I1731 = 0))</f>
        <v>1.6830000000000001</v>
      </c>
      <c r="K1731" s="9"/>
      <c r="L1731" s="9"/>
      <c r="M1731" s="9"/>
    </row>
    <row r="1732" spans="1:13">
      <c r="A1732" s="9"/>
      <c r="B1732" s="9"/>
      <c r="C1732" s="10" t="s">
        <v>27</v>
      </c>
      <c r="D1732" s="30"/>
      <c r="E1732" s="10" t="s">
        <v>17</v>
      </c>
      <c r="F1732" s="19">
        <v>1</v>
      </c>
      <c r="G1732" s="20">
        <v>5.65</v>
      </c>
      <c r="H1732" s="20">
        <v>0.2</v>
      </c>
      <c r="I1732" s="20">
        <v>1.55</v>
      </c>
      <c r="J1732" s="16">
        <f>OR(F1732&lt;&gt;0,G1732&lt;&gt;0,H1732&lt;&gt;0,I1732&lt;&gt;0)*(F1732 + (F1732 = 0))*(G1732 + (G1732 = 0))*(H1732 + (H1732 = 0))*(I1732 + (I1732 = 0))</f>
        <v>1.752</v>
      </c>
      <c r="K1732" s="9"/>
      <c r="L1732" s="9"/>
      <c r="M1732" s="9"/>
    </row>
    <row r="1733" spans="1:13">
      <c r="A1733" s="9"/>
      <c r="B1733" s="9"/>
      <c r="C1733" s="10" t="s">
        <v>27</v>
      </c>
      <c r="D1733" s="30"/>
      <c r="E1733" s="10" t="s">
        <v>17</v>
      </c>
      <c r="F1733" s="19">
        <v>1</v>
      </c>
      <c r="G1733" s="20">
        <v>1.5</v>
      </c>
      <c r="H1733" s="20">
        <v>0.2</v>
      </c>
      <c r="I1733" s="20">
        <v>0.6</v>
      </c>
      <c r="J1733" s="16">
        <f>OR(F1733&lt;&gt;0,G1733&lt;&gt;0,H1733&lt;&gt;0,I1733&lt;&gt;0)*(F1733 + (F1733 = 0))*(G1733 + (G1733 = 0))*(H1733 + (H1733 = 0))*(I1733 + (I1733 = 0))</f>
        <v>0.18</v>
      </c>
      <c r="K1733" s="9"/>
      <c r="L1733" s="9"/>
      <c r="M1733" s="9"/>
    </row>
    <row r="1734" spans="1:13">
      <c r="A1734" s="9"/>
      <c r="B1734" s="9"/>
      <c r="C1734" s="10" t="s">
        <v>27</v>
      </c>
      <c r="D1734" s="30"/>
      <c r="E1734" s="10" t="s">
        <v>1394</v>
      </c>
      <c r="F1734" s="19">
        <v>1</v>
      </c>
      <c r="G1734" s="20">
        <v>12.25</v>
      </c>
      <c r="H1734" s="20">
        <v>1</v>
      </c>
      <c r="I1734" s="20">
        <v>0.4</v>
      </c>
      <c r="J1734" s="16">
        <f>OR(F1734&lt;&gt;0,G1734&lt;&gt;0,H1734&lt;&gt;0,I1734&lt;&gt;0)*(F1734 + (F1734 = 0))*(G1734 + (G1734 = 0))*(H1734 + (H1734 = 0))*(I1734 + (I1734 = 0))</f>
        <v>4.9000000000000004</v>
      </c>
      <c r="K1734" s="9"/>
      <c r="L1734" s="9"/>
      <c r="M1734" s="9"/>
    </row>
    <row r="1735" spans="1:13">
      <c r="A1735" s="9"/>
      <c r="B1735" s="9"/>
      <c r="C1735" s="9"/>
      <c r="D1735" s="30"/>
      <c r="E1735" s="9"/>
      <c r="F1735" s="9"/>
      <c r="G1735" s="9"/>
      <c r="H1735" s="9"/>
      <c r="I1735" s="9"/>
      <c r="J1735" s="21" t="s">
        <v>1395</v>
      </c>
      <c r="K1735" s="22">
        <f>SUM(J1731:J1734)</f>
        <v>8.5150000000000006</v>
      </c>
      <c r="L1735" s="23">
        <v>0</v>
      </c>
      <c r="M1735" s="24">
        <f>ROUND(K1735*L1735,2)</f>
        <v>0</v>
      </c>
    </row>
    <row r="1736" spans="1:13" ht="0.95" customHeight="1">
      <c r="A1736" s="25"/>
      <c r="B1736" s="25"/>
      <c r="C1736" s="25"/>
      <c r="D1736" s="31"/>
      <c r="E1736" s="25"/>
      <c r="F1736" s="25"/>
      <c r="G1736" s="25"/>
      <c r="H1736" s="25"/>
      <c r="I1736" s="25"/>
      <c r="J1736" s="25"/>
      <c r="K1736" s="25"/>
      <c r="L1736" s="25"/>
      <c r="M1736" s="25"/>
    </row>
    <row r="1737" spans="1:13" ht="33.75">
      <c r="A1737" s="15" t="s">
        <v>1396</v>
      </c>
      <c r="B1737" s="10" t="s">
        <v>23</v>
      </c>
      <c r="C1737" s="10" t="s">
        <v>24</v>
      </c>
      <c r="D1737" s="18" t="s">
        <v>1397</v>
      </c>
      <c r="E1737" s="9"/>
      <c r="F1737" s="9"/>
      <c r="G1737" s="9"/>
      <c r="H1737" s="9"/>
      <c r="I1737" s="9"/>
      <c r="J1737" s="9"/>
      <c r="K1737" s="16">
        <f>K1743</f>
        <v>17.937999999999999</v>
      </c>
      <c r="L1737" s="17">
        <f>L1743</f>
        <v>0</v>
      </c>
      <c r="M1737" s="17">
        <f>M1743</f>
        <v>0</v>
      </c>
    </row>
    <row r="1738" spans="1:13">
      <c r="A1738" s="9"/>
      <c r="B1738" s="9"/>
      <c r="C1738" s="9"/>
      <c r="D1738" s="18" t="s">
        <v>1398</v>
      </c>
      <c r="E1738" s="9"/>
      <c r="F1738" s="9"/>
      <c r="G1738" s="9"/>
      <c r="H1738" s="9"/>
      <c r="I1738" s="9"/>
      <c r="J1738" s="9"/>
      <c r="K1738" s="9"/>
      <c r="L1738" s="9"/>
      <c r="M1738" s="9"/>
    </row>
    <row r="1739" spans="1:13">
      <c r="A1739" s="9"/>
      <c r="B1739" s="9"/>
      <c r="C1739" s="10" t="s">
        <v>27</v>
      </c>
      <c r="D1739" s="30"/>
      <c r="E1739" s="10" t="s">
        <v>1399</v>
      </c>
      <c r="F1739" s="19">
        <v>1</v>
      </c>
      <c r="G1739" s="20">
        <v>8.4</v>
      </c>
      <c r="H1739" s="20">
        <v>0.2</v>
      </c>
      <c r="I1739" s="20">
        <v>1.8</v>
      </c>
      <c r="J1739" s="16">
        <f>OR(F1739&lt;&gt;0,G1739&lt;&gt;0,H1739&lt;&gt;0,I1739&lt;&gt;0)*(F1739 + (F1739 = 0))*(G1739 + (G1739 = 0))*(H1739 + (H1739 = 0))*(I1739 + (I1739 = 0))</f>
        <v>3.024</v>
      </c>
      <c r="K1739" s="9"/>
      <c r="L1739" s="9"/>
      <c r="M1739" s="9"/>
    </row>
    <row r="1740" spans="1:13">
      <c r="A1740" s="9"/>
      <c r="B1740" s="9"/>
      <c r="C1740" s="10" t="s">
        <v>27</v>
      </c>
      <c r="D1740" s="30"/>
      <c r="E1740" s="10" t="s">
        <v>1400</v>
      </c>
      <c r="F1740" s="19">
        <v>1</v>
      </c>
      <c r="G1740" s="20">
        <v>6.2</v>
      </c>
      <c r="H1740" s="20">
        <v>0.2</v>
      </c>
      <c r="I1740" s="20">
        <v>2.15</v>
      </c>
      <c r="J1740" s="16">
        <f>OR(F1740&lt;&gt;0,G1740&lt;&gt;0,H1740&lt;&gt;0,I1740&lt;&gt;0)*(F1740 + (F1740 = 0))*(G1740 + (G1740 = 0))*(H1740 + (H1740 = 0))*(I1740 + (I1740 = 0))</f>
        <v>2.6659999999999999</v>
      </c>
      <c r="K1740" s="9"/>
      <c r="L1740" s="9"/>
      <c r="M1740" s="9"/>
    </row>
    <row r="1741" spans="1:13">
      <c r="A1741" s="9"/>
      <c r="B1741" s="9"/>
      <c r="C1741" s="10" t="s">
        <v>27</v>
      </c>
      <c r="D1741" s="30"/>
      <c r="E1741" s="10" t="s">
        <v>17</v>
      </c>
      <c r="F1741" s="19">
        <v>1</v>
      </c>
      <c r="G1741" s="20">
        <v>7.2</v>
      </c>
      <c r="H1741" s="20">
        <v>0.2</v>
      </c>
      <c r="I1741" s="20">
        <v>2.4500000000000002</v>
      </c>
      <c r="J1741" s="16">
        <f>OR(F1741&lt;&gt;0,G1741&lt;&gt;0,H1741&lt;&gt;0,I1741&lt;&gt;0)*(F1741 + (F1741 = 0))*(G1741 + (G1741 = 0))*(H1741 + (H1741 = 0))*(I1741 + (I1741 = 0))</f>
        <v>3.528</v>
      </c>
      <c r="K1741" s="9"/>
      <c r="L1741" s="9"/>
      <c r="M1741" s="9"/>
    </row>
    <row r="1742" spans="1:13">
      <c r="A1742" s="9"/>
      <c r="B1742" s="9"/>
      <c r="C1742" s="10" t="s">
        <v>27</v>
      </c>
      <c r="D1742" s="30"/>
      <c r="E1742" s="10" t="s">
        <v>1394</v>
      </c>
      <c r="F1742" s="19">
        <v>1</v>
      </c>
      <c r="G1742" s="20">
        <v>21.8</v>
      </c>
      <c r="H1742" s="20">
        <v>1</v>
      </c>
      <c r="I1742" s="20">
        <v>0.4</v>
      </c>
      <c r="J1742" s="16">
        <f>OR(F1742&lt;&gt;0,G1742&lt;&gt;0,H1742&lt;&gt;0,I1742&lt;&gt;0)*(F1742 + (F1742 = 0))*(G1742 + (G1742 = 0))*(H1742 + (H1742 = 0))*(I1742 + (I1742 = 0))</f>
        <v>8.7200000000000006</v>
      </c>
      <c r="K1742" s="9"/>
      <c r="L1742" s="9"/>
      <c r="M1742" s="9"/>
    </row>
    <row r="1743" spans="1:13">
      <c r="A1743" s="9"/>
      <c r="B1743" s="9"/>
      <c r="C1743" s="9"/>
      <c r="D1743" s="30"/>
      <c r="E1743" s="9"/>
      <c r="F1743" s="9"/>
      <c r="G1743" s="9"/>
      <c r="H1743" s="9"/>
      <c r="I1743" s="9"/>
      <c r="J1743" s="21" t="s">
        <v>1401</v>
      </c>
      <c r="K1743" s="22">
        <f>SUM(J1739:J1742)</f>
        <v>17.937999999999999</v>
      </c>
      <c r="L1743" s="23">
        <v>0</v>
      </c>
      <c r="M1743" s="24">
        <f>ROUND(K1743*L1743,2)</f>
        <v>0</v>
      </c>
    </row>
    <row r="1744" spans="1:13" ht="0.95" customHeight="1">
      <c r="A1744" s="25"/>
      <c r="B1744" s="25"/>
      <c r="C1744" s="25"/>
      <c r="D1744" s="31"/>
      <c r="E1744" s="25"/>
      <c r="F1744" s="25"/>
      <c r="G1744" s="25"/>
      <c r="H1744" s="25"/>
      <c r="I1744" s="25"/>
      <c r="J1744" s="25"/>
      <c r="K1744" s="25"/>
      <c r="L1744" s="25"/>
      <c r="M1744" s="25"/>
    </row>
    <row r="1745" spans="1:13">
      <c r="A1745" s="15" t="s">
        <v>1402</v>
      </c>
      <c r="B1745" s="10" t="s">
        <v>23</v>
      </c>
      <c r="C1745" s="10" t="s">
        <v>24</v>
      </c>
      <c r="D1745" s="18" t="s">
        <v>1403</v>
      </c>
      <c r="E1745" s="9"/>
      <c r="F1745" s="9"/>
      <c r="G1745" s="9"/>
      <c r="H1745" s="9"/>
      <c r="I1745" s="9"/>
      <c r="J1745" s="9"/>
      <c r="K1745" s="16">
        <f>K1755</f>
        <v>12.382999999999999</v>
      </c>
      <c r="L1745" s="17">
        <f>L1755</f>
        <v>0</v>
      </c>
      <c r="M1745" s="17">
        <f>M1755</f>
        <v>0</v>
      </c>
    </row>
    <row r="1746" spans="1:13">
      <c r="A1746" s="9"/>
      <c r="B1746" s="9"/>
      <c r="C1746" s="9"/>
      <c r="D1746" s="18" t="s">
        <v>1404</v>
      </c>
      <c r="E1746" s="9"/>
      <c r="F1746" s="9"/>
      <c r="G1746" s="9"/>
      <c r="H1746" s="9"/>
      <c r="I1746" s="9"/>
      <c r="J1746" s="9"/>
      <c r="K1746" s="9"/>
      <c r="L1746" s="9"/>
      <c r="M1746" s="9"/>
    </row>
    <row r="1747" spans="1:13">
      <c r="A1747" s="9"/>
      <c r="B1747" s="9"/>
      <c r="C1747" s="10" t="s">
        <v>27</v>
      </c>
      <c r="D1747" s="30"/>
      <c r="E1747" s="10" t="s">
        <v>1405</v>
      </c>
      <c r="F1747" s="19">
        <v>7</v>
      </c>
      <c r="G1747" s="20">
        <v>2.37</v>
      </c>
      <c r="H1747" s="20">
        <v>0.2</v>
      </c>
      <c r="I1747" s="20">
        <v>0.65</v>
      </c>
      <c r="J1747" s="16">
        <f>OR(F1747&lt;&gt;0,G1747&lt;&gt;0,H1747&lt;&gt;0,I1747&lt;&gt;0)*(F1747 + (F1747 = 0))*(G1747 + (G1747 = 0))*(H1747 + (H1747 = 0))*(I1747 + (I1747 = 0))</f>
        <v>2.157</v>
      </c>
      <c r="K1747" s="9"/>
      <c r="L1747" s="9"/>
      <c r="M1747" s="9"/>
    </row>
    <row r="1748" spans="1:13">
      <c r="A1748" s="9"/>
      <c r="B1748" s="9"/>
      <c r="C1748" s="10" t="s">
        <v>27</v>
      </c>
      <c r="D1748" s="30"/>
      <c r="E1748" s="10" t="s">
        <v>17</v>
      </c>
      <c r="F1748" s="19">
        <v>2</v>
      </c>
      <c r="G1748" s="20">
        <v>5.42</v>
      </c>
      <c r="H1748" s="20">
        <v>0.2</v>
      </c>
      <c r="I1748" s="20">
        <v>0.65</v>
      </c>
      <c r="J1748" s="16">
        <f>OR(F1748&lt;&gt;0,G1748&lt;&gt;0,H1748&lt;&gt;0,I1748&lt;&gt;0)*(F1748 + (F1748 = 0))*(G1748 + (G1748 = 0))*(H1748 + (H1748 = 0))*(I1748 + (I1748 = 0))</f>
        <v>1.409</v>
      </c>
      <c r="K1748" s="9"/>
      <c r="L1748" s="9"/>
      <c r="M1748" s="9"/>
    </row>
    <row r="1749" spans="1:13">
      <c r="A1749" s="9"/>
      <c r="B1749" s="9"/>
      <c r="C1749" s="10" t="s">
        <v>27</v>
      </c>
      <c r="D1749" s="30"/>
      <c r="E1749" s="10" t="s">
        <v>17</v>
      </c>
      <c r="F1749" s="19">
        <v>4</v>
      </c>
      <c r="G1749" s="20">
        <v>2.75</v>
      </c>
      <c r="H1749" s="20">
        <v>0.2</v>
      </c>
      <c r="I1749" s="20">
        <v>0.56000000000000005</v>
      </c>
      <c r="J1749" s="16">
        <f>OR(F1749&lt;&gt;0,G1749&lt;&gt;0,H1749&lt;&gt;0,I1749&lt;&gt;0)*(F1749 + (F1749 = 0))*(G1749 + (G1749 = 0))*(H1749 + (H1749 = 0))*(I1749 + (I1749 = 0))</f>
        <v>1.232</v>
      </c>
      <c r="K1749" s="9"/>
      <c r="L1749" s="9"/>
      <c r="M1749" s="9"/>
    </row>
    <row r="1750" spans="1:13">
      <c r="A1750" s="9"/>
      <c r="B1750" s="9"/>
      <c r="C1750" s="10" t="s">
        <v>27</v>
      </c>
      <c r="D1750" s="30"/>
      <c r="E1750" s="10" t="s">
        <v>17</v>
      </c>
      <c r="F1750" s="19">
        <v>1</v>
      </c>
      <c r="G1750" s="20">
        <v>6.5</v>
      </c>
      <c r="H1750" s="20">
        <v>0.2</v>
      </c>
      <c r="I1750" s="20">
        <v>0.65</v>
      </c>
      <c r="J1750" s="16">
        <f>OR(F1750&lt;&gt;0,G1750&lt;&gt;0,H1750&lt;&gt;0,I1750&lt;&gt;0)*(F1750 + (F1750 = 0))*(G1750 + (G1750 = 0))*(H1750 + (H1750 = 0))*(I1750 + (I1750 = 0))</f>
        <v>0.84499999999999997</v>
      </c>
      <c r="K1750" s="9"/>
      <c r="L1750" s="9"/>
      <c r="M1750" s="9"/>
    </row>
    <row r="1751" spans="1:13">
      <c r="A1751" s="9"/>
      <c r="B1751" s="9"/>
      <c r="C1751" s="10" t="s">
        <v>27</v>
      </c>
      <c r="D1751" s="30"/>
      <c r="E1751" s="10" t="s">
        <v>1394</v>
      </c>
      <c r="F1751" s="19">
        <v>7</v>
      </c>
      <c r="G1751" s="20">
        <v>2.37</v>
      </c>
      <c r="H1751" s="20">
        <v>0.5</v>
      </c>
      <c r="I1751" s="20">
        <v>0.3</v>
      </c>
      <c r="J1751" s="16">
        <f>OR(F1751&lt;&gt;0,G1751&lt;&gt;0,H1751&lt;&gt;0,I1751&lt;&gt;0)*(F1751 + (F1751 = 0))*(G1751 + (G1751 = 0))*(H1751 + (H1751 = 0))*(I1751 + (I1751 = 0))</f>
        <v>2.4889999999999999</v>
      </c>
      <c r="K1751" s="9"/>
      <c r="L1751" s="9"/>
      <c r="M1751" s="9"/>
    </row>
    <row r="1752" spans="1:13">
      <c r="A1752" s="9"/>
      <c r="B1752" s="9"/>
      <c r="C1752" s="10" t="s">
        <v>27</v>
      </c>
      <c r="D1752" s="30"/>
      <c r="E1752" s="10" t="s">
        <v>17</v>
      </c>
      <c r="F1752" s="19">
        <v>2</v>
      </c>
      <c r="G1752" s="20">
        <v>5.42</v>
      </c>
      <c r="H1752" s="20">
        <v>0.5</v>
      </c>
      <c r="I1752" s="20">
        <v>0.3</v>
      </c>
      <c r="J1752" s="16">
        <f>OR(F1752&lt;&gt;0,G1752&lt;&gt;0,H1752&lt;&gt;0,I1752&lt;&gt;0)*(F1752 + (F1752 = 0))*(G1752 + (G1752 = 0))*(H1752 + (H1752 = 0))*(I1752 + (I1752 = 0))</f>
        <v>1.6259999999999999</v>
      </c>
      <c r="K1752" s="9"/>
      <c r="L1752" s="9"/>
      <c r="M1752" s="9"/>
    </row>
    <row r="1753" spans="1:13">
      <c r="A1753" s="9"/>
      <c r="B1753" s="9"/>
      <c r="C1753" s="10" t="s">
        <v>27</v>
      </c>
      <c r="D1753" s="30"/>
      <c r="E1753" s="10" t="s">
        <v>17</v>
      </c>
      <c r="F1753" s="19">
        <v>4</v>
      </c>
      <c r="G1753" s="20">
        <v>2.75</v>
      </c>
      <c r="H1753" s="20">
        <v>0.5</v>
      </c>
      <c r="I1753" s="20">
        <v>0.3</v>
      </c>
      <c r="J1753" s="16">
        <f>OR(F1753&lt;&gt;0,G1753&lt;&gt;0,H1753&lt;&gt;0,I1753&lt;&gt;0)*(F1753 + (F1753 = 0))*(G1753 + (G1753 = 0))*(H1753 + (H1753 = 0))*(I1753 + (I1753 = 0))</f>
        <v>1.65</v>
      </c>
      <c r="K1753" s="9"/>
      <c r="L1753" s="9"/>
      <c r="M1753" s="9"/>
    </row>
    <row r="1754" spans="1:13">
      <c r="A1754" s="9"/>
      <c r="B1754" s="9"/>
      <c r="C1754" s="10" t="s">
        <v>27</v>
      </c>
      <c r="D1754" s="30"/>
      <c r="E1754" s="10" t="s">
        <v>17</v>
      </c>
      <c r="F1754" s="19">
        <v>1</v>
      </c>
      <c r="G1754" s="20">
        <v>6.5</v>
      </c>
      <c r="H1754" s="20">
        <v>0.5</v>
      </c>
      <c r="I1754" s="20">
        <v>0.3</v>
      </c>
      <c r="J1754" s="16">
        <f>OR(F1754&lt;&gt;0,G1754&lt;&gt;0,H1754&lt;&gt;0,I1754&lt;&gt;0)*(F1754 + (F1754 = 0))*(G1754 + (G1754 = 0))*(H1754 + (H1754 = 0))*(I1754 + (I1754 = 0))</f>
        <v>0.97499999999999998</v>
      </c>
      <c r="K1754" s="9"/>
      <c r="L1754" s="9"/>
      <c r="M1754" s="9"/>
    </row>
    <row r="1755" spans="1:13">
      <c r="A1755" s="9"/>
      <c r="B1755" s="9"/>
      <c r="C1755" s="9"/>
      <c r="D1755" s="30"/>
      <c r="E1755" s="9"/>
      <c r="F1755" s="9"/>
      <c r="G1755" s="9"/>
      <c r="H1755" s="9"/>
      <c r="I1755" s="9"/>
      <c r="J1755" s="21" t="s">
        <v>1406</v>
      </c>
      <c r="K1755" s="22">
        <f>SUM(J1747:J1754)</f>
        <v>12.382999999999999</v>
      </c>
      <c r="L1755" s="23">
        <v>0</v>
      </c>
      <c r="M1755" s="24">
        <f>ROUND(K1755*L1755,2)</f>
        <v>0</v>
      </c>
    </row>
    <row r="1756" spans="1:13" ht="0.95" customHeight="1">
      <c r="A1756" s="25"/>
      <c r="B1756" s="25"/>
      <c r="C1756" s="25"/>
      <c r="D1756" s="31"/>
      <c r="E1756" s="25"/>
      <c r="F1756" s="25"/>
      <c r="G1756" s="25"/>
      <c r="H1756" s="25"/>
      <c r="I1756" s="25"/>
      <c r="J1756" s="25"/>
      <c r="K1756" s="25"/>
      <c r="L1756" s="25"/>
      <c r="M1756" s="25"/>
    </row>
    <row r="1757" spans="1:13">
      <c r="A1757" s="15" t="s">
        <v>1407</v>
      </c>
      <c r="B1757" s="10" t="s">
        <v>23</v>
      </c>
      <c r="C1757" s="10" t="s">
        <v>24</v>
      </c>
      <c r="D1757" s="18" t="s">
        <v>1408</v>
      </c>
      <c r="E1757" s="9"/>
      <c r="F1757" s="9"/>
      <c r="G1757" s="9"/>
      <c r="H1757" s="9"/>
      <c r="I1757" s="9"/>
      <c r="J1757" s="9"/>
      <c r="K1757" s="16">
        <f>K1762</f>
        <v>7.8620000000000001</v>
      </c>
      <c r="L1757" s="17">
        <f>L1762</f>
        <v>0</v>
      </c>
      <c r="M1757" s="17">
        <f>M1762</f>
        <v>0</v>
      </c>
    </row>
    <row r="1758" spans="1:13">
      <c r="A1758" s="9"/>
      <c r="B1758" s="9"/>
      <c r="C1758" s="9"/>
      <c r="D1758" s="18" t="s">
        <v>1409</v>
      </c>
      <c r="E1758" s="9"/>
      <c r="F1758" s="9"/>
      <c r="G1758" s="9"/>
      <c r="H1758" s="9"/>
      <c r="I1758" s="9"/>
      <c r="J1758" s="9"/>
      <c r="K1758" s="9"/>
      <c r="L1758" s="9"/>
      <c r="M1758" s="9"/>
    </row>
    <row r="1759" spans="1:13">
      <c r="A1759" s="9"/>
      <c r="B1759" s="9"/>
      <c r="C1759" s="10" t="s">
        <v>27</v>
      </c>
      <c r="D1759" s="30"/>
      <c r="E1759" s="10" t="s">
        <v>1405</v>
      </c>
      <c r="F1759" s="19">
        <v>7</v>
      </c>
      <c r="G1759" s="20">
        <v>3.45</v>
      </c>
      <c r="H1759" s="20">
        <v>0.19</v>
      </c>
      <c r="I1759" s="20">
        <v>0</v>
      </c>
      <c r="J1759" s="16">
        <f>OR(F1759&lt;&gt;0,G1759&lt;&gt;0,H1759&lt;&gt;0,I1759&lt;&gt;0)*(F1759 + (F1759 = 0))*(G1759 + (G1759 = 0))*(H1759 + (H1759 = 0))*(I1759 + (I1759 = 0))</f>
        <v>4.5890000000000004</v>
      </c>
      <c r="K1759" s="9"/>
      <c r="L1759" s="9"/>
      <c r="M1759" s="9"/>
    </row>
    <row r="1760" spans="1:13">
      <c r="A1760" s="9"/>
      <c r="B1760" s="9"/>
      <c r="C1760" s="10" t="s">
        <v>27</v>
      </c>
      <c r="D1760" s="30"/>
      <c r="E1760" s="10" t="s">
        <v>17</v>
      </c>
      <c r="F1760" s="19">
        <v>2</v>
      </c>
      <c r="G1760" s="20">
        <v>5.42</v>
      </c>
      <c r="H1760" s="20">
        <v>0.17</v>
      </c>
      <c r="I1760" s="20">
        <v>0</v>
      </c>
      <c r="J1760" s="16">
        <f>OR(F1760&lt;&gt;0,G1760&lt;&gt;0,H1760&lt;&gt;0,I1760&lt;&gt;0)*(F1760 + (F1760 = 0))*(G1760 + (G1760 = 0))*(H1760 + (H1760 = 0))*(I1760 + (I1760 = 0))</f>
        <v>1.843</v>
      </c>
      <c r="K1760" s="9"/>
      <c r="L1760" s="9"/>
      <c r="M1760" s="9"/>
    </row>
    <row r="1761" spans="1:13">
      <c r="A1761" s="9"/>
      <c r="B1761" s="9"/>
      <c r="C1761" s="10" t="s">
        <v>27</v>
      </c>
      <c r="D1761" s="30"/>
      <c r="E1761" s="10" t="s">
        <v>17</v>
      </c>
      <c r="F1761" s="19">
        <v>4</v>
      </c>
      <c r="G1761" s="20">
        <v>2.75</v>
      </c>
      <c r="H1761" s="20">
        <v>0.13</v>
      </c>
      <c r="I1761" s="20">
        <v>0</v>
      </c>
      <c r="J1761" s="16">
        <f>OR(F1761&lt;&gt;0,G1761&lt;&gt;0,H1761&lt;&gt;0,I1761&lt;&gt;0)*(F1761 + (F1761 = 0))*(G1761 + (G1761 = 0))*(H1761 + (H1761 = 0))*(I1761 + (I1761 = 0))</f>
        <v>1.43</v>
      </c>
      <c r="K1761" s="9"/>
      <c r="L1761" s="9"/>
      <c r="M1761" s="9"/>
    </row>
    <row r="1762" spans="1:13">
      <c r="A1762" s="9"/>
      <c r="B1762" s="9"/>
      <c r="C1762" s="9"/>
      <c r="D1762" s="30"/>
      <c r="E1762" s="9"/>
      <c r="F1762" s="9"/>
      <c r="G1762" s="9"/>
      <c r="H1762" s="9"/>
      <c r="I1762" s="9"/>
      <c r="J1762" s="21" t="s">
        <v>1410</v>
      </c>
      <c r="K1762" s="22">
        <f>SUM(J1759:J1761)</f>
        <v>7.8620000000000001</v>
      </c>
      <c r="L1762" s="23">
        <v>0</v>
      </c>
      <c r="M1762" s="24">
        <f>ROUND(K1762*L1762,2)</f>
        <v>0</v>
      </c>
    </row>
    <row r="1763" spans="1:13" ht="0.95" customHeight="1">
      <c r="A1763" s="25"/>
      <c r="B1763" s="25"/>
      <c r="C1763" s="25"/>
      <c r="D1763" s="31"/>
      <c r="E1763" s="25"/>
      <c r="F1763" s="25"/>
      <c r="G1763" s="25"/>
      <c r="H1763" s="25"/>
      <c r="I1763" s="25"/>
      <c r="J1763" s="25"/>
      <c r="K1763" s="25"/>
      <c r="L1763" s="25"/>
      <c r="M1763" s="25"/>
    </row>
    <row r="1764" spans="1:13">
      <c r="A1764" s="9"/>
      <c r="B1764" s="9"/>
      <c r="C1764" s="9"/>
      <c r="D1764" s="30"/>
      <c r="E1764" s="9"/>
      <c r="F1764" s="9"/>
      <c r="G1764" s="9"/>
      <c r="H1764" s="9"/>
      <c r="I1764" s="9"/>
      <c r="J1764" s="21" t="s">
        <v>1411</v>
      </c>
      <c r="K1764" s="20">
        <v>1</v>
      </c>
      <c r="L1764" s="24">
        <f>M1729+M1737+M1745+M1757</f>
        <v>0</v>
      </c>
      <c r="M1764" s="24">
        <f>ROUND(K1764*L1764,2)</f>
        <v>0</v>
      </c>
    </row>
    <row r="1765" spans="1:13" ht="0.95" customHeight="1">
      <c r="A1765" s="25"/>
      <c r="B1765" s="25"/>
      <c r="C1765" s="25"/>
      <c r="D1765" s="31"/>
      <c r="E1765" s="25"/>
      <c r="F1765" s="25"/>
      <c r="G1765" s="25"/>
      <c r="H1765" s="25"/>
      <c r="I1765" s="25"/>
      <c r="J1765" s="25"/>
      <c r="K1765" s="25"/>
      <c r="L1765" s="25"/>
      <c r="M1765" s="25"/>
    </row>
    <row r="1766" spans="1:13">
      <c r="A1766" s="11" t="s">
        <v>1412</v>
      </c>
      <c r="B1766" s="11" t="s">
        <v>16</v>
      </c>
      <c r="C1766" s="11" t="s">
        <v>17</v>
      </c>
      <c r="D1766" s="29" t="s">
        <v>1413</v>
      </c>
      <c r="E1766" s="12"/>
      <c r="F1766" s="12"/>
      <c r="G1766" s="12"/>
      <c r="H1766" s="12"/>
      <c r="I1766" s="12"/>
      <c r="J1766" s="12"/>
      <c r="K1766" s="13">
        <f>K1776</f>
        <v>1</v>
      </c>
      <c r="L1766" s="14">
        <f>L1776</f>
        <v>0</v>
      </c>
      <c r="M1766" s="14">
        <f>M1776</f>
        <v>0</v>
      </c>
    </row>
    <row r="1767" spans="1:13">
      <c r="A1767" s="9"/>
      <c r="B1767" s="9"/>
      <c r="C1767" s="9"/>
      <c r="D1767" s="18" t="s">
        <v>1413</v>
      </c>
      <c r="E1767" s="9"/>
      <c r="F1767" s="9"/>
      <c r="G1767" s="9"/>
      <c r="H1767" s="9"/>
      <c r="I1767" s="9"/>
      <c r="J1767" s="9"/>
      <c r="K1767" s="9"/>
      <c r="L1767" s="9"/>
      <c r="M1767" s="9"/>
    </row>
    <row r="1768" spans="1:13" ht="33.75">
      <c r="A1768" s="15" t="s">
        <v>1414</v>
      </c>
      <c r="B1768" s="10" t="s">
        <v>23</v>
      </c>
      <c r="C1768" s="10" t="s">
        <v>66</v>
      </c>
      <c r="D1768" s="18" t="s">
        <v>1415</v>
      </c>
      <c r="E1768" s="9"/>
      <c r="F1768" s="9"/>
      <c r="G1768" s="9"/>
      <c r="H1768" s="9"/>
      <c r="I1768" s="9"/>
      <c r="J1768" s="9"/>
      <c r="K1768" s="16">
        <f>K1774</f>
        <v>20</v>
      </c>
      <c r="L1768" s="17">
        <f>L1774</f>
        <v>0</v>
      </c>
      <c r="M1768" s="17">
        <f>M1774</f>
        <v>0</v>
      </c>
    </row>
    <row r="1769" spans="1:13" ht="67.5">
      <c r="A1769" s="9"/>
      <c r="B1769" s="9"/>
      <c r="C1769" s="9"/>
      <c r="D1769" s="18" t="s">
        <v>1416</v>
      </c>
      <c r="E1769" s="9"/>
      <c r="F1769" s="9"/>
      <c r="G1769" s="9"/>
      <c r="H1769" s="9"/>
      <c r="I1769" s="9"/>
      <c r="J1769" s="9"/>
      <c r="K1769" s="9"/>
      <c r="L1769" s="9"/>
      <c r="M1769" s="9"/>
    </row>
    <row r="1770" spans="1:13">
      <c r="A1770" s="9"/>
      <c r="B1770" s="9"/>
      <c r="C1770" s="10" t="s">
        <v>27</v>
      </c>
      <c r="D1770" s="30"/>
      <c r="E1770" s="10" t="s">
        <v>184</v>
      </c>
      <c r="F1770" s="19">
        <v>7</v>
      </c>
      <c r="G1770" s="20">
        <v>1</v>
      </c>
      <c r="H1770" s="20">
        <v>0</v>
      </c>
      <c r="I1770" s="20">
        <v>0</v>
      </c>
      <c r="J1770" s="16">
        <f>OR(F1770&lt;&gt;0,G1770&lt;&gt;0,H1770&lt;&gt;0,I1770&lt;&gt;0)*(F1770 + (F1770 = 0))*(G1770 + (G1770 = 0))*(H1770 + (H1770 = 0))*(I1770 + (I1770 = 0))</f>
        <v>7</v>
      </c>
      <c r="K1770" s="9"/>
      <c r="L1770" s="9"/>
      <c r="M1770" s="9"/>
    </row>
    <row r="1771" spans="1:13">
      <c r="A1771" s="9"/>
      <c r="B1771" s="9"/>
      <c r="C1771" s="10" t="s">
        <v>27</v>
      </c>
      <c r="D1771" s="30"/>
      <c r="E1771" s="10" t="s">
        <v>17</v>
      </c>
      <c r="F1771" s="19">
        <v>3</v>
      </c>
      <c r="G1771" s="20">
        <v>1</v>
      </c>
      <c r="H1771" s="20">
        <v>0</v>
      </c>
      <c r="I1771" s="20">
        <v>0</v>
      </c>
      <c r="J1771" s="16">
        <f>OR(F1771&lt;&gt;0,G1771&lt;&gt;0,H1771&lt;&gt;0,I1771&lt;&gt;0)*(F1771 + (F1771 = 0))*(G1771 + (G1771 = 0))*(H1771 + (H1771 = 0))*(I1771 + (I1771 = 0))</f>
        <v>3</v>
      </c>
      <c r="K1771" s="9"/>
      <c r="L1771" s="9"/>
      <c r="M1771" s="9"/>
    </row>
    <row r="1772" spans="1:13">
      <c r="A1772" s="9"/>
      <c r="B1772" s="9"/>
      <c r="C1772" s="10" t="s">
        <v>27</v>
      </c>
      <c r="D1772" s="30"/>
      <c r="E1772" s="10" t="s">
        <v>17</v>
      </c>
      <c r="F1772" s="19">
        <v>4</v>
      </c>
      <c r="G1772" s="20">
        <v>1</v>
      </c>
      <c r="H1772" s="20">
        <v>0</v>
      </c>
      <c r="I1772" s="20">
        <v>0</v>
      </c>
      <c r="J1772" s="16">
        <f>OR(F1772&lt;&gt;0,G1772&lt;&gt;0,H1772&lt;&gt;0,I1772&lt;&gt;0)*(F1772 + (F1772 = 0))*(G1772 + (G1772 = 0))*(H1772 + (H1772 = 0))*(I1772 + (I1772 = 0))</f>
        <v>4</v>
      </c>
      <c r="K1772" s="9"/>
      <c r="L1772" s="9"/>
      <c r="M1772" s="9"/>
    </row>
    <row r="1773" spans="1:13">
      <c r="A1773" s="9"/>
      <c r="B1773" s="9"/>
      <c r="C1773" s="10" t="s">
        <v>27</v>
      </c>
      <c r="D1773" s="30"/>
      <c r="E1773" s="10" t="s">
        <v>17</v>
      </c>
      <c r="F1773" s="19">
        <v>6</v>
      </c>
      <c r="G1773" s="20">
        <v>1</v>
      </c>
      <c r="H1773" s="20">
        <v>0</v>
      </c>
      <c r="I1773" s="20">
        <v>0</v>
      </c>
      <c r="J1773" s="16">
        <f>OR(F1773&lt;&gt;0,G1773&lt;&gt;0,H1773&lt;&gt;0,I1773&lt;&gt;0)*(F1773 + (F1773 = 0))*(G1773 + (G1773 = 0))*(H1773 + (H1773 = 0))*(I1773 + (I1773 = 0))</f>
        <v>6</v>
      </c>
      <c r="K1773" s="9"/>
      <c r="L1773" s="9"/>
      <c r="M1773" s="9"/>
    </row>
    <row r="1774" spans="1:13">
      <c r="A1774" s="9"/>
      <c r="B1774" s="9"/>
      <c r="C1774" s="9"/>
      <c r="D1774" s="30"/>
      <c r="E1774" s="9"/>
      <c r="F1774" s="9"/>
      <c r="G1774" s="9"/>
      <c r="H1774" s="9"/>
      <c r="I1774" s="9"/>
      <c r="J1774" s="21" t="s">
        <v>1417</v>
      </c>
      <c r="K1774" s="22">
        <f>SUM(J1770:J1773)</f>
        <v>20</v>
      </c>
      <c r="L1774" s="23">
        <v>0</v>
      </c>
      <c r="M1774" s="24">
        <f>ROUND(K1774*L1774,2)</f>
        <v>0</v>
      </c>
    </row>
    <row r="1775" spans="1:13" ht="0.95" customHeight="1">
      <c r="A1775" s="25"/>
      <c r="B1775" s="25"/>
      <c r="C1775" s="25"/>
      <c r="D1775" s="31"/>
      <c r="E1775" s="25"/>
      <c r="F1775" s="25"/>
      <c r="G1775" s="25"/>
      <c r="H1775" s="25"/>
      <c r="I1775" s="25"/>
      <c r="J1775" s="25"/>
      <c r="K1775" s="25"/>
      <c r="L1775" s="25"/>
      <c r="M1775" s="25"/>
    </row>
    <row r="1776" spans="1:13">
      <c r="A1776" s="9"/>
      <c r="B1776" s="9"/>
      <c r="C1776" s="9"/>
      <c r="D1776" s="30"/>
      <c r="E1776" s="9"/>
      <c r="F1776" s="9"/>
      <c r="G1776" s="9"/>
      <c r="H1776" s="9"/>
      <c r="I1776" s="9"/>
      <c r="J1776" s="21" t="s">
        <v>1418</v>
      </c>
      <c r="K1776" s="20">
        <v>1</v>
      </c>
      <c r="L1776" s="24">
        <f>M1768</f>
        <v>0</v>
      </c>
      <c r="M1776" s="24">
        <f>ROUND(K1776*L1776,2)</f>
        <v>0</v>
      </c>
    </row>
    <row r="1777" spans="1:13" ht="0.95" customHeight="1">
      <c r="A1777" s="25"/>
      <c r="B1777" s="25"/>
      <c r="C1777" s="25"/>
      <c r="D1777" s="31"/>
      <c r="E1777" s="25"/>
      <c r="F1777" s="25"/>
      <c r="G1777" s="25"/>
      <c r="H1777" s="25"/>
      <c r="I1777" s="25"/>
      <c r="J1777" s="25"/>
      <c r="K1777" s="25"/>
      <c r="L1777" s="25"/>
      <c r="M1777" s="25"/>
    </row>
    <row r="1778" spans="1:13">
      <c r="A1778" s="11" t="s">
        <v>1419</v>
      </c>
      <c r="B1778" s="11" t="s">
        <v>16</v>
      </c>
      <c r="C1778" s="11" t="s">
        <v>17</v>
      </c>
      <c r="D1778" s="29" t="s">
        <v>1420</v>
      </c>
      <c r="E1778" s="12"/>
      <c r="F1778" s="12"/>
      <c r="G1778" s="12"/>
      <c r="H1778" s="12"/>
      <c r="I1778" s="12"/>
      <c r="J1778" s="12"/>
      <c r="K1778" s="13">
        <f>K1796</f>
        <v>1</v>
      </c>
      <c r="L1778" s="14">
        <f>L1796</f>
        <v>0</v>
      </c>
      <c r="M1778" s="14">
        <f>M1796</f>
        <v>0</v>
      </c>
    </row>
    <row r="1779" spans="1:13" ht="22.5">
      <c r="A1779" s="15" t="s">
        <v>1421</v>
      </c>
      <c r="B1779" s="10" t="s">
        <v>23</v>
      </c>
      <c r="C1779" s="10" t="s">
        <v>66</v>
      </c>
      <c r="D1779" s="18" t="s">
        <v>268</v>
      </c>
      <c r="E1779" s="9"/>
      <c r="F1779" s="9"/>
      <c r="G1779" s="9"/>
      <c r="H1779" s="9"/>
      <c r="I1779" s="9"/>
      <c r="J1779" s="9"/>
      <c r="K1779" s="16">
        <f>K1784</f>
        <v>19.600000000000001</v>
      </c>
      <c r="L1779" s="17">
        <f>L1784</f>
        <v>0</v>
      </c>
      <c r="M1779" s="17">
        <f>M1784</f>
        <v>0</v>
      </c>
    </row>
    <row r="1780" spans="1:13">
      <c r="A1780" s="9"/>
      <c r="B1780" s="9"/>
      <c r="C1780" s="9"/>
      <c r="D1780" s="18" t="s">
        <v>1422</v>
      </c>
      <c r="E1780" s="9"/>
      <c r="F1780" s="9"/>
      <c r="G1780" s="9"/>
      <c r="H1780" s="9"/>
      <c r="I1780" s="9"/>
      <c r="J1780" s="9"/>
      <c r="K1780" s="9"/>
      <c r="L1780" s="9"/>
      <c r="M1780" s="9"/>
    </row>
    <row r="1781" spans="1:13">
      <c r="A1781" s="9"/>
      <c r="B1781" s="9"/>
      <c r="C1781" s="10" t="s">
        <v>27</v>
      </c>
      <c r="D1781" s="30"/>
      <c r="E1781" s="10" t="s">
        <v>1423</v>
      </c>
      <c r="F1781" s="19">
        <v>1</v>
      </c>
      <c r="G1781" s="20">
        <v>8.85</v>
      </c>
      <c r="H1781" s="20">
        <v>0</v>
      </c>
      <c r="I1781" s="20">
        <v>0</v>
      </c>
      <c r="J1781" s="16">
        <f>OR(F1781&lt;&gt;0,G1781&lt;&gt;0,H1781&lt;&gt;0,I1781&lt;&gt;0)*(F1781 + (F1781 = 0))*(G1781 + (G1781 = 0))*(H1781 + (H1781 = 0))*(I1781 + (I1781 = 0))</f>
        <v>8.85</v>
      </c>
      <c r="K1781" s="9"/>
      <c r="L1781" s="9"/>
      <c r="M1781" s="9"/>
    </row>
    <row r="1782" spans="1:13">
      <c r="A1782" s="9"/>
      <c r="B1782" s="9"/>
      <c r="C1782" s="10" t="s">
        <v>27</v>
      </c>
      <c r="D1782" s="30"/>
      <c r="E1782" s="10" t="s">
        <v>17</v>
      </c>
      <c r="F1782" s="19">
        <v>1</v>
      </c>
      <c r="G1782" s="20">
        <v>5.3</v>
      </c>
      <c r="H1782" s="20">
        <v>0</v>
      </c>
      <c r="I1782" s="20">
        <v>0</v>
      </c>
      <c r="J1782" s="16">
        <f>OR(F1782&lt;&gt;0,G1782&lt;&gt;0,H1782&lt;&gt;0,I1782&lt;&gt;0)*(F1782 + (F1782 = 0))*(G1782 + (G1782 = 0))*(H1782 + (H1782 = 0))*(I1782 + (I1782 = 0))</f>
        <v>5.3</v>
      </c>
      <c r="K1782" s="9"/>
      <c r="L1782" s="9"/>
      <c r="M1782" s="9"/>
    </row>
    <row r="1783" spans="1:13">
      <c r="A1783" s="9"/>
      <c r="B1783" s="9"/>
      <c r="C1783" s="10" t="s">
        <v>27</v>
      </c>
      <c r="D1783" s="30"/>
      <c r="E1783" s="10" t="s">
        <v>17</v>
      </c>
      <c r="F1783" s="19">
        <v>1</v>
      </c>
      <c r="G1783" s="20">
        <v>5.45</v>
      </c>
      <c r="H1783" s="20">
        <v>0</v>
      </c>
      <c r="I1783" s="20">
        <v>0</v>
      </c>
      <c r="J1783" s="16">
        <f>OR(F1783&lt;&gt;0,G1783&lt;&gt;0,H1783&lt;&gt;0,I1783&lt;&gt;0)*(F1783 + (F1783 = 0))*(G1783 + (G1783 = 0))*(H1783 + (H1783 = 0))*(I1783 + (I1783 = 0))</f>
        <v>5.45</v>
      </c>
      <c r="K1783" s="9"/>
      <c r="L1783" s="9"/>
      <c r="M1783" s="9"/>
    </row>
    <row r="1784" spans="1:13">
      <c r="A1784" s="9"/>
      <c r="B1784" s="9"/>
      <c r="C1784" s="9"/>
      <c r="D1784" s="30"/>
      <c r="E1784" s="9"/>
      <c r="F1784" s="9"/>
      <c r="G1784" s="9"/>
      <c r="H1784" s="9"/>
      <c r="I1784" s="9"/>
      <c r="J1784" s="21" t="s">
        <v>1424</v>
      </c>
      <c r="K1784" s="22">
        <f>SUM(J1781:J1783)</f>
        <v>19.600000000000001</v>
      </c>
      <c r="L1784" s="23">
        <v>0</v>
      </c>
      <c r="M1784" s="24">
        <f>ROUND(K1784*L1784,2)</f>
        <v>0</v>
      </c>
    </row>
    <row r="1785" spans="1:13" ht="0.95" customHeight="1">
      <c r="A1785" s="25"/>
      <c r="B1785" s="25"/>
      <c r="C1785" s="25"/>
      <c r="D1785" s="31"/>
      <c r="E1785" s="25"/>
      <c r="F1785" s="25"/>
      <c r="G1785" s="25"/>
      <c r="H1785" s="25"/>
      <c r="I1785" s="25"/>
      <c r="J1785" s="25"/>
      <c r="K1785" s="25"/>
      <c r="L1785" s="25"/>
      <c r="M1785" s="25"/>
    </row>
    <row r="1786" spans="1:13">
      <c r="A1786" s="15" t="s">
        <v>1425</v>
      </c>
      <c r="B1786" s="10" t="s">
        <v>23</v>
      </c>
      <c r="C1786" s="10" t="s">
        <v>4</v>
      </c>
      <c r="D1786" s="18" t="s">
        <v>1426</v>
      </c>
      <c r="E1786" s="9"/>
      <c r="F1786" s="9"/>
      <c r="G1786" s="9"/>
      <c r="H1786" s="9"/>
      <c r="I1786" s="9"/>
      <c r="J1786" s="9"/>
      <c r="K1786" s="16">
        <f>K1789</f>
        <v>1</v>
      </c>
      <c r="L1786" s="17">
        <f>L1789</f>
        <v>0</v>
      </c>
      <c r="M1786" s="17">
        <f>M1789</f>
        <v>0</v>
      </c>
    </row>
    <row r="1787" spans="1:13">
      <c r="A1787" s="9"/>
      <c r="B1787" s="9"/>
      <c r="C1787" s="9"/>
      <c r="D1787" s="18" t="s">
        <v>1427</v>
      </c>
      <c r="E1787" s="9"/>
      <c r="F1787" s="9"/>
      <c r="G1787" s="9"/>
      <c r="H1787" s="9"/>
      <c r="I1787" s="9"/>
      <c r="J1787" s="9"/>
      <c r="K1787" s="9"/>
      <c r="L1787" s="9"/>
      <c r="M1787" s="9"/>
    </row>
    <row r="1788" spans="1:13">
      <c r="A1788" s="9"/>
      <c r="B1788" s="9"/>
      <c r="C1788" s="10" t="s">
        <v>27</v>
      </c>
      <c r="D1788" s="30"/>
      <c r="E1788" s="10" t="s">
        <v>1428</v>
      </c>
      <c r="F1788" s="19">
        <v>1</v>
      </c>
      <c r="G1788" s="20">
        <v>0</v>
      </c>
      <c r="H1788" s="20">
        <v>0</v>
      </c>
      <c r="I1788" s="20">
        <v>0</v>
      </c>
      <c r="J1788" s="16">
        <f>OR(F1788&lt;&gt;0,G1788&lt;&gt;0,H1788&lt;&gt;0,I1788&lt;&gt;0)*(F1788 + (F1788 = 0))*(G1788 + (G1788 = 0))*(H1788 + (H1788 = 0))*(I1788 + (I1788 = 0))</f>
        <v>1</v>
      </c>
      <c r="K1788" s="9"/>
      <c r="L1788" s="9"/>
      <c r="M1788" s="9"/>
    </row>
    <row r="1789" spans="1:13">
      <c r="A1789" s="9"/>
      <c r="B1789" s="9"/>
      <c r="C1789" s="9"/>
      <c r="D1789" s="30"/>
      <c r="E1789" s="9"/>
      <c r="F1789" s="9"/>
      <c r="G1789" s="9"/>
      <c r="H1789" s="9"/>
      <c r="I1789" s="9"/>
      <c r="J1789" s="21" t="s">
        <v>1429</v>
      </c>
      <c r="K1789" s="22">
        <f>J1788</f>
        <v>1</v>
      </c>
      <c r="L1789" s="23">
        <v>0</v>
      </c>
      <c r="M1789" s="24">
        <f>ROUND(K1789*L1789,2)</f>
        <v>0</v>
      </c>
    </row>
    <row r="1790" spans="1:13" ht="0.95" customHeight="1">
      <c r="A1790" s="25"/>
      <c r="B1790" s="25"/>
      <c r="C1790" s="25"/>
      <c r="D1790" s="31"/>
      <c r="E1790" s="25"/>
      <c r="F1790" s="25"/>
      <c r="G1790" s="25"/>
      <c r="H1790" s="25"/>
      <c r="I1790" s="25"/>
      <c r="J1790" s="25"/>
      <c r="K1790" s="25"/>
      <c r="L1790" s="25"/>
      <c r="M1790" s="25"/>
    </row>
    <row r="1791" spans="1:13">
      <c r="A1791" s="15" t="s">
        <v>1430</v>
      </c>
      <c r="B1791" s="10" t="s">
        <v>23</v>
      </c>
      <c r="C1791" s="10" t="s">
        <v>4</v>
      </c>
      <c r="D1791" s="18" t="s">
        <v>1431</v>
      </c>
      <c r="E1791" s="9"/>
      <c r="F1791" s="9"/>
      <c r="G1791" s="9"/>
      <c r="H1791" s="9"/>
      <c r="I1791" s="9"/>
      <c r="J1791" s="9"/>
      <c r="K1791" s="16">
        <f>K1794</f>
        <v>1</v>
      </c>
      <c r="L1791" s="17">
        <f>L1794</f>
        <v>0</v>
      </c>
      <c r="M1791" s="17">
        <f>M1794</f>
        <v>0</v>
      </c>
    </row>
    <row r="1792" spans="1:13">
      <c r="A1792" s="9"/>
      <c r="B1792" s="9"/>
      <c r="C1792" s="9"/>
      <c r="D1792" s="18" t="s">
        <v>1432</v>
      </c>
      <c r="E1792" s="9"/>
      <c r="F1792" s="9"/>
      <c r="G1792" s="9"/>
      <c r="H1792" s="9"/>
      <c r="I1792" s="9"/>
      <c r="J1792" s="9"/>
      <c r="K1792" s="9"/>
      <c r="L1792" s="9"/>
      <c r="M1792" s="9"/>
    </row>
    <row r="1793" spans="1:13">
      <c r="A1793" s="9"/>
      <c r="B1793" s="9"/>
      <c r="C1793" s="10" t="s">
        <v>27</v>
      </c>
      <c r="D1793" s="30"/>
      <c r="E1793" s="10" t="s">
        <v>1433</v>
      </c>
      <c r="F1793" s="19">
        <v>1</v>
      </c>
      <c r="G1793" s="20">
        <v>0</v>
      </c>
      <c r="H1793" s="20">
        <v>0</v>
      </c>
      <c r="I1793" s="20">
        <v>0</v>
      </c>
      <c r="J1793" s="16">
        <f>OR(F1793&lt;&gt;0,G1793&lt;&gt;0,H1793&lt;&gt;0,I1793&lt;&gt;0)*(F1793 + (F1793 = 0))*(G1793 + (G1793 = 0))*(H1793 + (H1793 = 0))*(I1793 + (I1793 = 0))</f>
        <v>1</v>
      </c>
      <c r="K1793" s="9"/>
      <c r="L1793" s="9"/>
      <c r="M1793" s="9"/>
    </row>
    <row r="1794" spans="1:13">
      <c r="A1794" s="9"/>
      <c r="B1794" s="9"/>
      <c r="C1794" s="9"/>
      <c r="D1794" s="30"/>
      <c r="E1794" s="9"/>
      <c r="F1794" s="9"/>
      <c r="G1794" s="9"/>
      <c r="H1794" s="9"/>
      <c r="I1794" s="9"/>
      <c r="J1794" s="21" t="s">
        <v>1434</v>
      </c>
      <c r="K1794" s="22">
        <f>J1793</f>
        <v>1</v>
      </c>
      <c r="L1794" s="23">
        <v>0</v>
      </c>
      <c r="M1794" s="24">
        <f>ROUND(K1794*L1794,2)</f>
        <v>0</v>
      </c>
    </row>
    <row r="1795" spans="1:13" ht="0.95" customHeight="1">
      <c r="A1795" s="25"/>
      <c r="B1795" s="25"/>
      <c r="C1795" s="25"/>
      <c r="D1795" s="31"/>
      <c r="E1795" s="25"/>
      <c r="F1795" s="25"/>
      <c r="G1795" s="25"/>
      <c r="H1795" s="25"/>
      <c r="I1795" s="25"/>
      <c r="J1795" s="25"/>
      <c r="K1795" s="25"/>
      <c r="L1795" s="25"/>
      <c r="M1795" s="25"/>
    </row>
    <row r="1796" spans="1:13">
      <c r="A1796" s="9"/>
      <c r="B1796" s="9"/>
      <c r="C1796" s="9"/>
      <c r="D1796" s="30"/>
      <c r="E1796" s="9"/>
      <c r="F1796" s="9"/>
      <c r="G1796" s="9"/>
      <c r="H1796" s="9"/>
      <c r="I1796" s="9"/>
      <c r="J1796" s="21" t="s">
        <v>1435</v>
      </c>
      <c r="K1796" s="20">
        <v>1</v>
      </c>
      <c r="L1796" s="24">
        <f>M1779+M1786+M1791</f>
        <v>0</v>
      </c>
      <c r="M1796" s="24">
        <f>ROUND(K1796*L1796,2)</f>
        <v>0</v>
      </c>
    </row>
    <row r="1797" spans="1:13" ht="0.95" customHeight="1">
      <c r="A1797" s="25"/>
      <c r="B1797" s="25"/>
      <c r="C1797" s="25"/>
      <c r="D1797" s="31"/>
      <c r="E1797" s="25"/>
      <c r="F1797" s="25"/>
      <c r="G1797" s="25"/>
      <c r="H1797" s="25"/>
      <c r="I1797" s="25"/>
      <c r="J1797" s="25"/>
      <c r="K1797" s="25"/>
      <c r="L1797" s="25"/>
      <c r="M1797" s="25"/>
    </row>
    <row r="1798" spans="1:13">
      <c r="A1798" s="9"/>
      <c r="B1798" s="9"/>
      <c r="C1798" s="9"/>
      <c r="D1798" s="30"/>
      <c r="E1798" s="9"/>
      <c r="F1798" s="9"/>
      <c r="G1798" s="9"/>
      <c r="H1798" s="9"/>
      <c r="I1798" s="9"/>
      <c r="J1798" s="21" t="s">
        <v>1436</v>
      </c>
      <c r="K1798" s="26">
        <v>1</v>
      </c>
      <c r="L1798" s="24">
        <f>M1727+M1766+M1778</f>
        <v>0</v>
      </c>
      <c r="M1798" s="24">
        <f>ROUND(K1798*L1798,2)</f>
        <v>0</v>
      </c>
    </row>
    <row r="1799" spans="1:13" ht="0.95" customHeight="1">
      <c r="A1799" s="25"/>
      <c r="B1799" s="25"/>
      <c r="C1799" s="25"/>
      <c r="D1799" s="31"/>
      <c r="E1799" s="25"/>
      <c r="F1799" s="25"/>
      <c r="G1799" s="25"/>
      <c r="H1799" s="25"/>
      <c r="I1799" s="25"/>
      <c r="J1799" s="25"/>
      <c r="K1799" s="25"/>
      <c r="L1799" s="25"/>
      <c r="M1799" s="25"/>
    </row>
    <row r="1800" spans="1:13">
      <c r="A1800" s="5" t="s">
        <v>1437</v>
      </c>
      <c r="B1800" s="5" t="s">
        <v>16</v>
      </c>
      <c r="C1800" s="5" t="s">
        <v>17</v>
      </c>
      <c r="D1800" s="28" t="s">
        <v>1438</v>
      </c>
      <c r="E1800" s="6"/>
      <c r="F1800" s="6"/>
      <c r="G1800" s="6"/>
      <c r="H1800" s="6"/>
      <c r="I1800" s="6"/>
      <c r="J1800" s="6"/>
      <c r="K1800" s="7">
        <f>K1836</f>
        <v>1</v>
      </c>
      <c r="L1800" s="8">
        <f>L1836</f>
        <v>0</v>
      </c>
      <c r="M1800" s="8">
        <f>M1836</f>
        <v>0</v>
      </c>
    </row>
    <row r="1801" spans="1:13">
      <c r="A1801" s="11" t="s">
        <v>1439</v>
      </c>
      <c r="B1801" s="11" t="s">
        <v>16</v>
      </c>
      <c r="C1801" s="11" t="s">
        <v>17</v>
      </c>
      <c r="D1801" s="29" t="s">
        <v>1440</v>
      </c>
      <c r="E1801" s="12"/>
      <c r="F1801" s="12"/>
      <c r="G1801" s="12"/>
      <c r="H1801" s="12"/>
      <c r="I1801" s="12"/>
      <c r="J1801" s="12"/>
      <c r="K1801" s="13">
        <f>K1834</f>
        <v>1</v>
      </c>
      <c r="L1801" s="14">
        <f>L1834</f>
        <v>0</v>
      </c>
      <c r="M1801" s="14">
        <f>M1834</f>
        <v>0</v>
      </c>
    </row>
    <row r="1802" spans="1:13" ht="45">
      <c r="A1802" s="15" t="s">
        <v>1441</v>
      </c>
      <c r="B1802" s="10" t="s">
        <v>23</v>
      </c>
      <c r="C1802" s="10" t="s">
        <v>4</v>
      </c>
      <c r="D1802" s="18" t="s">
        <v>1442</v>
      </c>
      <c r="E1802" s="9"/>
      <c r="F1802" s="9"/>
      <c r="G1802" s="9"/>
      <c r="H1802" s="9"/>
      <c r="I1802" s="9"/>
      <c r="J1802" s="9"/>
      <c r="K1802" s="20">
        <v>1</v>
      </c>
      <c r="L1802" s="23">
        <v>0</v>
      </c>
      <c r="M1802" s="17">
        <f>ROUND(K1802*L1802,2)</f>
        <v>0</v>
      </c>
    </row>
    <row r="1803" spans="1:13">
      <c r="A1803" s="9"/>
      <c r="B1803" s="9"/>
      <c r="C1803" s="9"/>
      <c r="D1803" s="18" t="s">
        <v>1443</v>
      </c>
      <c r="E1803" s="9"/>
      <c r="F1803" s="9"/>
      <c r="G1803" s="9"/>
      <c r="H1803" s="9"/>
      <c r="I1803" s="9"/>
      <c r="J1803" s="9"/>
      <c r="K1803" s="9"/>
      <c r="L1803" s="9"/>
      <c r="M1803" s="9"/>
    </row>
    <row r="1804" spans="1:13" ht="33.75">
      <c r="A1804" s="15" t="s">
        <v>1444</v>
      </c>
      <c r="B1804" s="10" t="s">
        <v>23</v>
      </c>
      <c r="C1804" s="10" t="s">
        <v>4</v>
      </c>
      <c r="D1804" s="18" t="s">
        <v>1445</v>
      </c>
      <c r="E1804" s="9"/>
      <c r="F1804" s="9"/>
      <c r="G1804" s="9"/>
      <c r="H1804" s="9"/>
      <c r="I1804" s="9"/>
      <c r="J1804" s="9"/>
      <c r="K1804" s="20">
        <v>2</v>
      </c>
      <c r="L1804" s="23">
        <v>0</v>
      </c>
      <c r="M1804" s="17">
        <f>ROUND(K1804*L1804,2)</f>
        <v>0</v>
      </c>
    </row>
    <row r="1805" spans="1:13">
      <c r="A1805" s="9"/>
      <c r="B1805" s="9"/>
      <c r="C1805" s="9"/>
      <c r="D1805" s="18" t="s">
        <v>1446</v>
      </c>
      <c r="E1805" s="9"/>
      <c r="F1805" s="9"/>
      <c r="G1805" s="9"/>
      <c r="H1805" s="9"/>
      <c r="I1805" s="9"/>
      <c r="J1805" s="9"/>
      <c r="K1805" s="9"/>
      <c r="L1805" s="9"/>
      <c r="M1805" s="9"/>
    </row>
    <row r="1806" spans="1:13" ht="45">
      <c r="A1806" s="15" t="s">
        <v>1447</v>
      </c>
      <c r="B1806" s="10" t="s">
        <v>23</v>
      </c>
      <c r="C1806" s="10" t="s">
        <v>4</v>
      </c>
      <c r="D1806" s="18" t="s">
        <v>1448</v>
      </c>
      <c r="E1806" s="9"/>
      <c r="F1806" s="9"/>
      <c r="G1806" s="9"/>
      <c r="H1806" s="9"/>
      <c r="I1806" s="9"/>
      <c r="J1806" s="9"/>
      <c r="K1806" s="20">
        <v>1</v>
      </c>
      <c r="L1806" s="23">
        <v>0</v>
      </c>
      <c r="M1806" s="17">
        <f>ROUND(K1806*L1806,2)</f>
        <v>0</v>
      </c>
    </row>
    <row r="1807" spans="1:13">
      <c r="A1807" s="9"/>
      <c r="B1807" s="9"/>
      <c r="C1807" s="9"/>
      <c r="D1807" s="18" t="s">
        <v>1449</v>
      </c>
      <c r="E1807" s="9"/>
      <c r="F1807" s="9"/>
      <c r="G1807" s="9"/>
      <c r="H1807" s="9"/>
      <c r="I1807" s="9"/>
      <c r="J1807" s="9"/>
      <c r="K1807" s="9"/>
      <c r="L1807" s="9"/>
      <c r="M1807" s="9"/>
    </row>
    <row r="1808" spans="1:13" ht="45">
      <c r="A1808" s="15" t="s">
        <v>1450</v>
      </c>
      <c r="B1808" s="10" t="s">
        <v>23</v>
      </c>
      <c r="C1808" s="10" t="s">
        <v>4</v>
      </c>
      <c r="D1808" s="18" t="s">
        <v>1451</v>
      </c>
      <c r="E1808" s="9"/>
      <c r="F1808" s="9"/>
      <c r="G1808" s="9"/>
      <c r="H1808" s="9"/>
      <c r="I1808" s="9"/>
      <c r="J1808" s="9"/>
      <c r="K1808" s="20">
        <v>1</v>
      </c>
      <c r="L1808" s="23">
        <v>0</v>
      </c>
      <c r="M1808" s="17">
        <f>ROUND(K1808*L1808,2)</f>
        <v>0</v>
      </c>
    </row>
    <row r="1809" spans="1:13">
      <c r="A1809" s="9"/>
      <c r="B1809" s="9"/>
      <c r="C1809" s="9"/>
      <c r="D1809" s="18" t="s">
        <v>1452</v>
      </c>
      <c r="E1809" s="9"/>
      <c r="F1809" s="9"/>
      <c r="G1809" s="9"/>
      <c r="H1809" s="9"/>
      <c r="I1809" s="9"/>
      <c r="J1809" s="9"/>
      <c r="K1809" s="9"/>
      <c r="L1809" s="9"/>
      <c r="M1809" s="9"/>
    </row>
    <row r="1810" spans="1:13" ht="45">
      <c r="A1810" s="15" t="s">
        <v>1453</v>
      </c>
      <c r="B1810" s="10" t="s">
        <v>23</v>
      </c>
      <c r="C1810" s="10" t="s">
        <v>4</v>
      </c>
      <c r="D1810" s="18" t="s">
        <v>1454</v>
      </c>
      <c r="E1810" s="9"/>
      <c r="F1810" s="9"/>
      <c r="G1810" s="9"/>
      <c r="H1810" s="9"/>
      <c r="I1810" s="9"/>
      <c r="J1810" s="9"/>
      <c r="K1810" s="20">
        <v>1</v>
      </c>
      <c r="L1810" s="23">
        <v>0</v>
      </c>
      <c r="M1810" s="17">
        <f>ROUND(K1810*L1810,2)</f>
        <v>0</v>
      </c>
    </row>
    <row r="1811" spans="1:13">
      <c r="A1811" s="9"/>
      <c r="B1811" s="9"/>
      <c r="C1811" s="9"/>
      <c r="D1811" s="18" t="s">
        <v>1455</v>
      </c>
      <c r="E1811" s="9"/>
      <c r="F1811" s="9"/>
      <c r="G1811" s="9"/>
      <c r="H1811" s="9"/>
      <c r="I1811" s="9"/>
      <c r="J1811" s="9"/>
      <c r="K1811" s="9"/>
      <c r="L1811" s="9"/>
      <c r="M1811" s="9"/>
    </row>
    <row r="1812" spans="1:13" ht="33.75">
      <c r="A1812" s="15" t="s">
        <v>1456</v>
      </c>
      <c r="B1812" s="10" t="s">
        <v>23</v>
      </c>
      <c r="C1812" s="10" t="s">
        <v>4</v>
      </c>
      <c r="D1812" s="18" t="s">
        <v>1457</v>
      </c>
      <c r="E1812" s="9"/>
      <c r="F1812" s="9"/>
      <c r="G1812" s="9"/>
      <c r="H1812" s="9"/>
      <c r="I1812" s="9"/>
      <c r="J1812" s="9"/>
      <c r="K1812" s="20">
        <v>1</v>
      </c>
      <c r="L1812" s="23">
        <v>0</v>
      </c>
      <c r="M1812" s="17">
        <f>ROUND(K1812*L1812,2)</f>
        <v>0</v>
      </c>
    </row>
    <row r="1813" spans="1:13">
      <c r="A1813" s="9"/>
      <c r="B1813" s="9"/>
      <c r="C1813" s="9"/>
      <c r="D1813" s="18" t="s">
        <v>1458</v>
      </c>
      <c r="E1813" s="9"/>
      <c r="F1813" s="9"/>
      <c r="G1813" s="9"/>
      <c r="H1813" s="9"/>
      <c r="I1813" s="9"/>
      <c r="J1813" s="9"/>
      <c r="K1813" s="9"/>
      <c r="L1813" s="9"/>
      <c r="M1813" s="9"/>
    </row>
    <row r="1814" spans="1:13" ht="45">
      <c r="A1814" s="15" t="s">
        <v>1459</v>
      </c>
      <c r="B1814" s="10" t="s">
        <v>23</v>
      </c>
      <c r="C1814" s="10" t="s">
        <v>4</v>
      </c>
      <c r="D1814" s="18" t="s">
        <v>1460</v>
      </c>
      <c r="E1814" s="9"/>
      <c r="F1814" s="9"/>
      <c r="G1814" s="9"/>
      <c r="H1814" s="9"/>
      <c r="I1814" s="9"/>
      <c r="J1814" s="9"/>
      <c r="K1814" s="20">
        <v>1</v>
      </c>
      <c r="L1814" s="23">
        <v>0</v>
      </c>
      <c r="M1814" s="17">
        <f>ROUND(K1814*L1814,2)</f>
        <v>0</v>
      </c>
    </row>
    <row r="1815" spans="1:13">
      <c r="A1815" s="9"/>
      <c r="B1815" s="9"/>
      <c r="C1815" s="9"/>
      <c r="D1815" s="18" t="s">
        <v>1461</v>
      </c>
      <c r="E1815" s="9"/>
      <c r="F1815" s="9"/>
      <c r="G1815" s="9"/>
      <c r="H1815" s="9"/>
      <c r="I1815" s="9"/>
      <c r="J1815" s="9"/>
      <c r="K1815" s="9"/>
      <c r="L1815" s="9"/>
      <c r="M1815" s="9"/>
    </row>
    <row r="1816" spans="1:13" ht="33.75">
      <c r="A1816" s="15" t="s">
        <v>1462</v>
      </c>
      <c r="B1816" s="10" t="s">
        <v>23</v>
      </c>
      <c r="C1816" s="10" t="s">
        <v>4</v>
      </c>
      <c r="D1816" s="18" t="s">
        <v>1463</v>
      </c>
      <c r="E1816" s="9"/>
      <c r="F1816" s="9"/>
      <c r="G1816" s="9"/>
      <c r="H1816" s="9"/>
      <c r="I1816" s="9"/>
      <c r="J1816" s="9"/>
      <c r="K1816" s="20">
        <v>3</v>
      </c>
      <c r="L1816" s="23">
        <v>0</v>
      </c>
      <c r="M1816" s="17">
        <f>ROUND(K1816*L1816,2)</f>
        <v>0</v>
      </c>
    </row>
    <row r="1817" spans="1:13">
      <c r="A1817" s="9"/>
      <c r="B1817" s="9"/>
      <c r="C1817" s="9"/>
      <c r="D1817" s="18" t="s">
        <v>1464</v>
      </c>
      <c r="E1817" s="9"/>
      <c r="F1817" s="9"/>
      <c r="G1817" s="9"/>
      <c r="H1817" s="9"/>
      <c r="I1817" s="9"/>
      <c r="J1817" s="9"/>
      <c r="K1817" s="9"/>
      <c r="L1817" s="9"/>
      <c r="M1817" s="9"/>
    </row>
    <row r="1818" spans="1:13" ht="33.75">
      <c r="A1818" s="15" t="s">
        <v>1465</v>
      </c>
      <c r="B1818" s="10" t="s">
        <v>23</v>
      </c>
      <c r="C1818" s="10" t="s">
        <v>4</v>
      </c>
      <c r="D1818" s="18" t="s">
        <v>1466</v>
      </c>
      <c r="E1818" s="9"/>
      <c r="F1818" s="9"/>
      <c r="G1818" s="9"/>
      <c r="H1818" s="9"/>
      <c r="I1818" s="9"/>
      <c r="J1818" s="9"/>
      <c r="K1818" s="20">
        <v>1</v>
      </c>
      <c r="L1818" s="23">
        <v>0</v>
      </c>
      <c r="M1818" s="17">
        <f>ROUND(K1818*L1818,2)</f>
        <v>0</v>
      </c>
    </row>
    <row r="1819" spans="1:13">
      <c r="A1819" s="9"/>
      <c r="B1819" s="9"/>
      <c r="C1819" s="9"/>
      <c r="D1819" s="18" t="s">
        <v>1467</v>
      </c>
      <c r="E1819" s="9"/>
      <c r="F1819" s="9"/>
      <c r="G1819" s="9"/>
      <c r="H1819" s="9"/>
      <c r="I1819" s="9"/>
      <c r="J1819" s="9"/>
      <c r="K1819" s="9"/>
      <c r="L1819" s="9"/>
      <c r="M1819" s="9"/>
    </row>
    <row r="1820" spans="1:13" ht="33.75">
      <c r="A1820" s="15" t="s">
        <v>1468</v>
      </c>
      <c r="B1820" s="10" t="s">
        <v>23</v>
      </c>
      <c r="C1820" s="10" t="s">
        <v>4</v>
      </c>
      <c r="D1820" s="18" t="s">
        <v>1469</v>
      </c>
      <c r="E1820" s="9"/>
      <c r="F1820" s="9"/>
      <c r="G1820" s="9"/>
      <c r="H1820" s="9"/>
      <c r="I1820" s="9"/>
      <c r="J1820" s="9"/>
      <c r="K1820" s="20">
        <v>2</v>
      </c>
      <c r="L1820" s="23">
        <v>0</v>
      </c>
      <c r="M1820" s="17">
        <f>ROUND(K1820*L1820,2)</f>
        <v>0</v>
      </c>
    </row>
    <row r="1821" spans="1:13">
      <c r="A1821" s="9"/>
      <c r="B1821" s="9"/>
      <c r="C1821" s="9"/>
      <c r="D1821" s="18" t="s">
        <v>1470</v>
      </c>
      <c r="E1821" s="9"/>
      <c r="F1821" s="9"/>
      <c r="G1821" s="9"/>
      <c r="H1821" s="9"/>
      <c r="I1821" s="9"/>
      <c r="J1821" s="9"/>
      <c r="K1821" s="9"/>
      <c r="L1821" s="9"/>
      <c r="M1821" s="9"/>
    </row>
    <row r="1822" spans="1:13" ht="45">
      <c r="A1822" s="15" t="s">
        <v>1471</v>
      </c>
      <c r="B1822" s="10" t="s">
        <v>23</v>
      </c>
      <c r="C1822" s="10" t="s">
        <v>4</v>
      </c>
      <c r="D1822" s="18" t="s">
        <v>1472</v>
      </c>
      <c r="E1822" s="9"/>
      <c r="F1822" s="9"/>
      <c r="G1822" s="9"/>
      <c r="H1822" s="9"/>
      <c r="I1822" s="9"/>
      <c r="J1822" s="9"/>
      <c r="K1822" s="20">
        <v>1</v>
      </c>
      <c r="L1822" s="23">
        <v>0</v>
      </c>
      <c r="M1822" s="17">
        <f>ROUND(K1822*L1822,2)</f>
        <v>0</v>
      </c>
    </row>
    <row r="1823" spans="1:13">
      <c r="A1823" s="9"/>
      <c r="B1823" s="9"/>
      <c r="C1823" s="9"/>
      <c r="D1823" s="18" t="s">
        <v>1473</v>
      </c>
      <c r="E1823" s="9"/>
      <c r="F1823" s="9"/>
      <c r="G1823" s="9"/>
      <c r="H1823" s="9"/>
      <c r="I1823" s="9"/>
      <c r="J1823" s="9"/>
      <c r="K1823" s="9"/>
      <c r="L1823" s="9"/>
      <c r="M1823" s="9"/>
    </row>
    <row r="1824" spans="1:13" ht="45">
      <c r="A1824" s="15" t="s">
        <v>1474</v>
      </c>
      <c r="B1824" s="10" t="s">
        <v>23</v>
      </c>
      <c r="C1824" s="10" t="s">
        <v>4</v>
      </c>
      <c r="D1824" s="18" t="s">
        <v>1475</v>
      </c>
      <c r="E1824" s="9"/>
      <c r="F1824" s="9"/>
      <c r="G1824" s="9"/>
      <c r="H1824" s="9"/>
      <c r="I1824" s="9"/>
      <c r="J1824" s="9"/>
      <c r="K1824" s="20">
        <v>1</v>
      </c>
      <c r="L1824" s="23">
        <v>0</v>
      </c>
      <c r="M1824" s="17">
        <f>ROUND(K1824*L1824,2)</f>
        <v>0</v>
      </c>
    </row>
    <row r="1825" spans="1:13">
      <c r="A1825" s="9"/>
      <c r="B1825" s="9"/>
      <c r="C1825" s="9"/>
      <c r="D1825" s="18" t="s">
        <v>1476</v>
      </c>
      <c r="E1825" s="9"/>
      <c r="F1825" s="9"/>
      <c r="G1825" s="9"/>
      <c r="H1825" s="9"/>
      <c r="I1825" s="9"/>
      <c r="J1825" s="9"/>
      <c r="K1825" s="9"/>
      <c r="L1825" s="9"/>
      <c r="M1825" s="9"/>
    </row>
    <row r="1826" spans="1:13" ht="45">
      <c r="A1826" s="15" t="s">
        <v>1477</v>
      </c>
      <c r="B1826" s="10" t="s">
        <v>23</v>
      </c>
      <c r="C1826" s="10" t="s">
        <v>4</v>
      </c>
      <c r="D1826" s="18" t="s">
        <v>1478</v>
      </c>
      <c r="E1826" s="9"/>
      <c r="F1826" s="9"/>
      <c r="G1826" s="9"/>
      <c r="H1826" s="9"/>
      <c r="I1826" s="9"/>
      <c r="J1826" s="9"/>
      <c r="K1826" s="20">
        <v>1</v>
      </c>
      <c r="L1826" s="23">
        <v>0</v>
      </c>
      <c r="M1826" s="17">
        <f>ROUND(K1826*L1826,2)</f>
        <v>0</v>
      </c>
    </row>
    <row r="1827" spans="1:13">
      <c r="A1827" s="9"/>
      <c r="B1827" s="9"/>
      <c r="C1827" s="9"/>
      <c r="D1827" s="18" t="s">
        <v>1479</v>
      </c>
      <c r="E1827" s="9"/>
      <c r="F1827" s="9"/>
      <c r="G1827" s="9"/>
      <c r="H1827" s="9"/>
      <c r="I1827" s="9"/>
      <c r="J1827" s="9"/>
      <c r="K1827" s="9"/>
      <c r="L1827" s="9"/>
      <c r="M1827" s="9"/>
    </row>
    <row r="1828" spans="1:13" ht="33.75">
      <c r="A1828" s="15" t="s">
        <v>1480</v>
      </c>
      <c r="B1828" s="10" t="s">
        <v>23</v>
      </c>
      <c r="C1828" s="10" t="s">
        <v>4</v>
      </c>
      <c r="D1828" s="18" t="s">
        <v>1481</v>
      </c>
      <c r="E1828" s="9"/>
      <c r="F1828" s="9"/>
      <c r="G1828" s="9"/>
      <c r="H1828" s="9"/>
      <c r="I1828" s="9"/>
      <c r="J1828" s="9"/>
      <c r="K1828" s="20">
        <v>1</v>
      </c>
      <c r="L1828" s="23">
        <v>0</v>
      </c>
      <c r="M1828" s="17">
        <f>ROUND(K1828*L1828,2)</f>
        <v>0</v>
      </c>
    </row>
    <row r="1829" spans="1:13">
      <c r="A1829" s="9"/>
      <c r="B1829" s="9"/>
      <c r="C1829" s="9"/>
      <c r="D1829" s="18" t="s">
        <v>1482</v>
      </c>
      <c r="E1829" s="9"/>
      <c r="F1829" s="9"/>
      <c r="G1829" s="9"/>
      <c r="H1829" s="9"/>
      <c r="I1829" s="9"/>
      <c r="J1829" s="9"/>
      <c r="K1829" s="9"/>
      <c r="L1829" s="9"/>
      <c r="M1829" s="9"/>
    </row>
    <row r="1830" spans="1:13" ht="45">
      <c r="A1830" s="15" t="s">
        <v>1483</v>
      </c>
      <c r="B1830" s="10" t="s">
        <v>23</v>
      </c>
      <c r="C1830" s="10" t="s">
        <v>4</v>
      </c>
      <c r="D1830" s="18" t="s">
        <v>1484</v>
      </c>
      <c r="E1830" s="9"/>
      <c r="F1830" s="9"/>
      <c r="G1830" s="9"/>
      <c r="H1830" s="9"/>
      <c r="I1830" s="9"/>
      <c r="J1830" s="9"/>
      <c r="K1830" s="20">
        <v>1</v>
      </c>
      <c r="L1830" s="23">
        <v>0</v>
      </c>
      <c r="M1830" s="17">
        <f>ROUND(K1830*L1830,2)</f>
        <v>0</v>
      </c>
    </row>
    <row r="1831" spans="1:13">
      <c r="A1831" s="9"/>
      <c r="B1831" s="9"/>
      <c r="C1831" s="9"/>
      <c r="D1831" s="18" t="s">
        <v>1485</v>
      </c>
      <c r="E1831" s="9"/>
      <c r="F1831" s="9"/>
      <c r="G1831" s="9"/>
      <c r="H1831" s="9"/>
      <c r="I1831" s="9"/>
      <c r="J1831" s="9"/>
      <c r="K1831" s="9"/>
      <c r="L1831" s="9"/>
      <c r="M1831" s="9"/>
    </row>
    <row r="1832" spans="1:13" ht="33.75">
      <c r="A1832" s="15" t="s">
        <v>1486</v>
      </c>
      <c r="B1832" s="10" t="s">
        <v>23</v>
      </c>
      <c r="C1832" s="10" t="s">
        <v>4</v>
      </c>
      <c r="D1832" s="18" t="s">
        <v>1487</v>
      </c>
      <c r="E1832" s="9"/>
      <c r="F1832" s="9"/>
      <c r="G1832" s="9"/>
      <c r="H1832" s="9"/>
      <c r="I1832" s="9"/>
      <c r="J1832" s="9"/>
      <c r="K1832" s="20">
        <v>3</v>
      </c>
      <c r="L1832" s="23">
        <v>0</v>
      </c>
      <c r="M1832" s="17">
        <f>ROUND(K1832*L1832,2)</f>
        <v>0</v>
      </c>
    </row>
    <row r="1833" spans="1:13">
      <c r="A1833" s="9"/>
      <c r="B1833" s="9"/>
      <c r="C1833" s="9"/>
      <c r="D1833" s="18" t="s">
        <v>1488</v>
      </c>
      <c r="E1833" s="9"/>
      <c r="F1833" s="9"/>
      <c r="G1833" s="9"/>
      <c r="H1833" s="9"/>
      <c r="I1833" s="9"/>
      <c r="J1833" s="9"/>
      <c r="K1833" s="9"/>
      <c r="L1833" s="9"/>
      <c r="M1833" s="9"/>
    </row>
    <row r="1834" spans="1:13">
      <c r="A1834" s="9"/>
      <c r="B1834" s="9"/>
      <c r="C1834" s="9"/>
      <c r="D1834" s="30"/>
      <c r="E1834" s="9"/>
      <c r="F1834" s="9"/>
      <c r="G1834" s="9"/>
      <c r="H1834" s="9"/>
      <c r="I1834" s="9"/>
      <c r="J1834" s="21" t="s">
        <v>1489</v>
      </c>
      <c r="K1834" s="20">
        <v>1</v>
      </c>
      <c r="L1834" s="24">
        <f>M1802+M1804+M1806+M1808+M1810+M1812+M1814+M1816+M1818+M1820+M1822+M1824+M1826+M1828+M1830+M1832</f>
        <v>0</v>
      </c>
      <c r="M1834" s="24">
        <f>ROUND(K1834*L1834,2)</f>
        <v>0</v>
      </c>
    </row>
    <row r="1835" spans="1:13" ht="0.95" customHeight="1">
      <c r="A1835" s="25"/>
      <c r="B1835" s="25"/>
      <c r="C1835" s="25"/>
      <c r="D1835" s="31"/>
      <c r="E1835" s="25"/>
      <c r="F1835" s="25"/>
      <c r="G1835" s="25"/>
      <c r="H1835" s="25"/>
      <c r="I1835" s="25"/>
      <c r="J1835" s="25"/>
      <c r="K1835" s="25"/>
      <c r="L1835" s="25"/>
      <c r="M1835" s="25"/>
    </row>
    <row r="1836" spans="1:13">
      <c r="A1836" s="9"/>
      <c r="B1836" s="9"/>
      <c r="C1836" s="9"/>
      <c r="D1836" s="30"/>
      <c r="E1836" s="9"/>
      <c r="F1836" s="9"/>
      <c r="G1836" s="9"/>
      <c r="H1836" s="9"/>
      <c r="I1836" s="9"/>
      <c r="J1836" s="21" t="s">
        <v>1490</v>
      </c>
      <c r="K1836" s="26">
        <v>1</v>
      </c>
      <c r="L1836" s="24">
        <f>M1801</f>
        <v>0</v>
      </c>
      <c r="M1836" s="24">
        <f>ROUND(K1836*L1836,2)</f>
        <v>0</v>
      </c>
    </row>
    <row r="1837" spans="1:13" ht="0.95" customHeight="1">
      <c r="A1837" s="25"/>
      <c r="B1837" s="25"/>
      <c r="C1837" s="25"/>
      <c r="D1837" s="31"/>
      <c r="E1837" s="25"/>
      <c r="F1837" s="25"/>
      <c r="G1837" s="25"/>
      <c r="H1837" s="25"/>
      <c r="I1837" s="25"/>
      <c r="J1837" s="25"/>
      <c r="K1837" s="25"/>
      <c r="L1837" s="25"/>
      <c r="M1837" s="25"/>
    </row>
    <row r="1838" spans="1:13">
      <c r="A1838" s="5" t="s">
        <v>1491</v>
      </c>
      <c r="B1838" s="5" t="s">
        <v>16</v>
      </c>
      <c r="C1838" s="5" t="s">
        <v>17</v>
      </c>
      <c r="D1838" s="28" t="s">
        <v>1492</v>
      </c>
      <c r="E1838" s="6"/>
      <c r="F1838" s="6"/>
      <c r="G1838" s="6"/>
      <c r="H1838" s="6"/>
      <c r="I1838" s="6"/>
      <c r="J1838" s="6"/>
      <c r="K1838" s="7">
        <f>K1874</f>
        <v>1</v>
      </c>
      <c r="L1838" s="8">
        <f>L1874</f>
        <v>0</v>
      </c>
      <c r="M1838" s="8">
        <f>M1874</f>
        <v>0</v>
      </c>
    </row>
    <row r="1839" spans="1:13">
      <c r="A1839" s="11" t="s">
        <v>1493</v>
      </c>
      <c r="B1839" s="11" t="s">
        <v>16</v>
      </c>
      <c r="C1839" s="11" t="s">
        <v>17</v>
      </c>
      <c r="D1839" s="29" t="s">
        <v>1494</v>
      </c>
      <c r="E1839" s="12"/>
      <c r="F1839" s="12"/>
      <c r="G1839" s="12"/>
      <c r="H1839" s="12"/>
      <c r="I1839" s="12"/>
      <c r="J1839" s="12"/>
      <c r="K1839" s="13">
        <f>K1863</f>
        <v>1</v>
      </c>
      <c r="L1839" s="14">
        <f>L1863</f>
        <v>0</v>
      </c>
      <c r="M1839" s="14">
        <f>M1863</f>
        <v>0</v>
      </c>
    </row>
    <row r="1840" spans="1:13" ht="45">
      <c r="A1840" s="15" t="s">
        <v>1495</v>
      </c>
      <c r="B1840" s="10" t="s">
        <v>23</v>
      </c>
      <c r="C1840" s="10" t="s">
        <v>4</v>
      </c>
      <c r="D1840" s="18" t="s">
        <v>1496</v>
      </c>
      <c r="E1840" s="9"/>
      <c r="F1840" s="9"/>
      <c r="G1840" s="9"/>
      <c r="H1840" s="9"/>
      <c r="I1840" s="9"/>
      <c r="J1840" s="9"/>
      <c r="K1840" s="16">
        <f>K1845</f>
        <v>3</v>
      </c>
      <c r="L1840" s="17">
        <f>L1845</f>
        <v>0</v>
      </c>
      <c r="M1840" s="17">
        <f>M1845</f>
        <v>0</v>
      </c>
    </row>
    <row r="1841" spans="1:13">
      <c r="A1841" s="9"/>
      <c r="B1841" s="9"/>
      <c r="C1841" s="9"/>
      <c r="D1841" s="18" t="s">
        <v>1497</v>
      </c>
      <c r="E1841" s="9"/>
      <c r="F1841" s="9"/>
      <c r="G1841" s="9"/>
      <c r="H1841" s="9"/>
      <c r="I1841" s="9"/>
      <c r="J1841" s="9"/>
      <c r="K1841" s="9"/>
      <c r="L1841" s="9"/>
      <c r="M1841" s="9"/>
    </row>
    <row r="1842" spans="1:13">
      <c r="A1842" s="9"/>
      <c r="B1842" s="9"/>
      <c r="C1842" s="10" t="s">
        <v>27</v>
      </c>
      <c r="D1842" s="30"/>
      <c r="E1842" s="10" t="s">
        <v>1498</v>
      </c>
      <c r="F1842" s="19">
        <v>1</v>
      </c>
      <c r="G1842" s="20">
        <v>0</v>
      </c>
      <c r="H1842" s="20">
        <v>0</v>
      </c>
      <c r="I1842" s="20">
        <v>0</v>
      </c>
      <c r="J1842" s="16">
        <f>OR(F1842&lt;&gt;0,G1842&lt;&gt;0,H1842&lt;&gt;0,I1842&lt;&gt;0)*(F1842 + (F1842 = 0))*(G1842 + (G1842 = 0))*(H1842 + (H1842 = 0))*(I1842 + (I1842 = 0))</f>
        <v>1</v>
      </c>
      <c r="K1842" s="9"/>
      <c r="L1842" s="9"/>
      <c r="M1842" s="9"/>
    </row>
    <row r="1843" spans="1:13">
      <c r="A1843" s="9"/>
      <c r="B1843" s="9"/>
      <c r="C1843" s="10" t="s">
        <v>27</v>
      </c>
      <c r="D1843" s="30"/>
      <c r="E1843" s="10" t="s">
        <v>1499</v>
      </c>
      <c r="F1843" s="19">
        <v>1</v>
      </c>
      <c r="G1843" s="20">
        <v>0</v>
      </c>
      <c r="H1843" s="20">
        <v>0</v>
      </c>
      <c r="I1843" s="20">
        <v>0</v>
      </c>
      <c r="J1843" s="16">
        <f>OR(F1843&lt;&gt;0,G1843&lt;&gt;0,H1843&lt;&gt;0,I1843&lt;&gt;0)*(F1843 + (F1843 = 0))*(G1843 + (G1843 = 0))*(H1843 + (H1843 = 0))*(I1843 + (I1843 = 0))</f>
        <v>1</v>
      </c>
      <c r="K1843" s="9"/>
      <c r="L1843" s="9"/>
      <c r="M1843" s="9"/>
    </row>
    <row r="1844" spans="1:13">
      <c r="A1844" s="9"/>
      <c r="B1844" s="9"/>
      <c r="C1844" s="10" t="s">
        <v>27</v>
      </c>
      <c r="D1844" s="30"/>
      <c r="E1844" s="10" t="s">
        <v>1500</v>
      </c>
      <c r="F1844" s="19">
        <v>1</v>
      </c>
      <c r="G1844" s="20">
        <v>0</v>
      </c>
      <c r="H1844" s="20">
        <v>0</v>
      </c>
      <c r="I1844" s="20">
        <v>0</v>
      </c>
      <c r="J1844" s="16">
        <f>OR(F1844&lt;&gt;0,G1844&lt;&gt;0,H1844&lt;&gt;0,I1844&lt;&gt;0)*(F1844 + (F1844 = 0))*(G1844 + (G1844 = 0))*(H1844 + (H1844 = 0))*(I1844 + (I1844 = 0))</f>
        <v>1</v>
      </c>
      <c r="K1844" s="9"/>
      <c r="L1844" s="9"/>
      <c r="M1844" s="9"/>
    </row>
    <row r="1845" spans="1:13">
      <c r="A1845" s="9"/>
      <c r="B1845" s="9"/>
      <c r="C1845" s="9"/>
      <c r="D1845" s="30"/>
      <c r="E1845" s="9"/>
      <c r="F1845" s="9"/>
      <c r="G1845" s="9"/>
      <c r="H1845" s="9"/>
      <c r="I1845" s="9"/>
      <c r="J1845" s="21" t="s">
        <v>1501</v>
      </c>
      <c r="K1845" s="22">
        <f>SUM(J1842:J1844)</f>
        <v>3</v>
      </c>
      <c r="L1845" s="23">
        <v>0</v>
      </c>
      <c r="M1845" s="24">
        <f>ROUND(K1845*L1845,2)</f>
        <v>0</v>
      </c>
    </row>
    <row r="1846" spans="1:13" ht="0.95" customHeight="1">
      <c r="A1846" s="25"/>
      <c r="B1846" s="25"/>
      <c r="C1846" s="25"/>
      <c r="D1846" s="31"/>
      <c r="E1846" s="25"/>
      <c r="F1846" s="25"/>
      <c r="G1846" s="25"/>
      <c r="H1846" s="25"/>
      <c r="I1846" s="25"/>
      <c r="J1846" s="25"/>
      <c r="K1846" s="25"/>
      <c r="L1846" s="25"/>
      <c r="M1846" s="25"/>
    </row>
    <row r="1847" spans="1:13" ht="33.75">
      <c r="A1847" s="15" t="s">
        <v>1502</v>
      </c>
      <c r="B1847" s="10" t="s">
        <v>23</v>
      </c>
      <c r="C1847" s="10" t="s">
        <v>4</v>
      </c>
      <c r="D1847" s="18" t="s">
        <v>1503</v>
      </c>
      <c r="E1847" s="9"/>
      <c r="F1847" s="9"/>
      <c r="G1847" s="9"/>
      <c r="H1847" s="9"/>
      <c r="I1847" s="9"/>
      <c r="J1847" s="9"/>
      <c r="K1847" s="20">
        <v>7</v>
      </c>
      <c r="L1847" s="23">
        <v>0</v>
      </c>
      <c r="M1847" s="17">
        <f>ROUND(K1847*L1847,2)</f>
        <v>0</v>
      </c>
    </row>
    <row r="1848" spans="1:13">
      <c r="A1848" s="9"/>
      <c r="B1848" s="9"/>
      <c r="C1848" s="9"/>
      <c r="D1848" s="18" t="s">
        <v>1504</v>
      </c>
      <c r="E1848" s="9"/>
      <c r="F1848" s="9"/>
      <c r="G1848" s="9"/>
      <c r="H1848" s="9"/>
      <c r="I1848" s="9"/>
      <c r="J1848" s="9"/>
      <c r="K1848" s="9"/>
      <c r="L1848" s="9"/>
      <c r="M1848" s="9"/>
    </row>
    <row r="1849" spans="1:13" ht="45">
      <c r="A1849" s="15" t="s">
        <v>1505</v>
      </c>
      <c r="B1849" s="10" t="s">
        <v>23</v>
      </c>
      <c r="C1849" s="10" t="s">
        <v>4</v>
      </c>
      <c r="D1849" s="18" t="s">
        <v>1506</v>
      </c>
      <c r="E1849" s="9"/>
      <c r="F1849" s="9"/>
      <c r="G1849" s="9"/>
      <c r="H1849" s="9"/>
      <c r="I1849" s="9"/>
      <c r="J1849" s="9"/>
      <c r="K1849" s="16">
        <f>K1852</f>
        <v>1</v>
      </c>
      <c r="L1849" s="17">
        <f>L1852</f>
        <v>0</v>
      </c>
      <c r="M1849" s="17">
        <f>M1852</f>
        <v>0</v>
      </c>
    </row>
    <row r="1850" spans="1:13">
      <c r="A1850" s="9"/>
      <c r="B1850" s="9"/>
      <c r="C1850" s="9"/>
      <c r="D1850" s="18" t="s">
        <v>1507</v>
      </c>
      <c r="E1850" s="9"/>
      <c r="F1850" s="9"/>
      <c r="G1850" s="9"/>
      <c r="H1850" s="9"/>
      <c r="I1850" s="9"/>
      <c r="J1850" s="9"/>
      <c r="K1850" s="9"/>
      <c r="L1850" s="9"/>
      <c r="M1850" s="9"/>
    </row>
    <row r="1851" spans="1:13">
      <c r="A1851" s="9"/>
      <c r="B1851" s="9"/>
      <c r="C1851" s="10" t="s">
        <v>27</v>
      </c>
      <c r="D1851" s="30"/>
      <c r="E1851" s="10" t="s">
        <v>1508</v>
      </c>
      <c r="F1851" s="19">
        <v>1</v>
      </c>
      <c r="G1851" s="20">
        <v>0</v>
      </c>
      <c r="H1851" s="20">
        <v>0</v>
      </c>
      <c r="I1851" s="20">
        <v>0</v>
      </c>
      <c r="J1851" s="16">
        <f>OR(F1851&lt;&gt;0,G1851&lt;&gt;0,H1851&lt;&gt;0,I1851&lt;&gt;0)*(F1851 + (F1851 = 0))*(G1851 + (G1851 = 0))*(H1851 + (H1851 = 0))*(I1851 + (I1851 = 0))</f>
        <v>1</v>
      </c>
      <c r="K1851" s="9"/>
      <c r="L1851" s="9"/>
      <c r="M1851" s="9"/>
    </row>
    <row r="1852" spans="1:13">
      <c r="A1852" s="9"/>
      <c r="B1852" s="9"/>
      <c r="C1852" s="9"/>
      <c r="D1852" s="30"/>
      <c r="E1852" s="9"/>
      <c r="F1852" s="9"/>
      <c r="G1852" s="9"/>
      <c r="H1852" s="9"/>
      <c r="I1852" s="9"/>
      <c r="J1852" s="21" t="s">
        <v>1509</v>
      </c>
      <c r="K1852" s="22">
        <f>J1851</f>
        <v>1</v>
      </c>
      <c r="L1852" s="23">
        <v>0</v>
      </c>
      <c r="M1852" s="24">
        <f>ROUND(K1852*L1852,2)</f>
        <v>0</v>
      </c>
    </row>
    <row r="1853" spans="1:13" ht="0.95" customHeight="1">
      <c r="A1853" s="25"/>
      <c r="B1853" s="25"/>
      <c r="C1853" s="25"/>
      <c r="D1853" s="31"/>
      <c r="E1853" s="25"/>
      <c r="F1853" s="25"/>
      <c r="G1853" s="25"/>
      <c r="H1853" s="25"/>
      <c r="I1853" s="25"/>
      <c r="J1853" s="25"/>
      <c r="K1853" s="25"/>
      <c r="L1853" s="25"/>
      <c r="M1853" s="25"/>
    </row>
    <row r="1854" spans="1:13" ht="33.75">
      <c r="A1854" s="15" t="s">
        <v>1510</v>
      </c>
      <c r="B1854" s="10" t="s">
        <v>23</v>
      </c>
      <c r="C1854" s="10" t="s">
        <v>4</v>
      </c>
      <c r="D1854" s="18" t="s">
        <v>1511</v>
      </c>
      <c r="E1854" s="9"/>
      <c r="F1854" s="9"/>
      <c r="G1854" s="9"/>
      <c r="H1854" s="9"/>
      <c r="I1854" s="9"/>
      <c r="J1854" s="9"/>
      <c r="K1854" s="20">
        <v>1</v>
      </c>
      <c r="L1854" s="23">
        <v>0</v>
      </c>
      <c r="M1854" s="17">
        <f>ROUND(K1854*L1854,2)</f>
        <v>0</v>
      </c>
    </row>
    <row r="1855" spans="1:13">
      <c r="A1855" s="9"/>
      <c r="B1855" s="9"/>
      <c r="C1855" s="9"/>
      <c r="D1855" s="18" t="s">
        <v>1512</v>
      </c>
      <c r="E1855" s="9"/>
      <c r="F1855" s="9"/>
      <c r="G1855" s="9"/>
      <c r="H1855" s="9"/>
      <c r="I1855" s="9"/>
      <c r="J1855" s="9"/>
      <c r="K1855" s="9"/>
      <c r="L1855" s="9"/>
      <c r="M1855" s="9"/>
    </row>
    <row r="1856" spans="1:13" ht="33.75">
      <c r="A1856" s="15" t="s">
        <v>1513</v>
      </c>
      <c r="B1856" s="10" t="s">
        <v>23</v>
      </c>
      <c r="C1856" s="10" t="s">
        <v>4</v>
      </c>
      <c r="D1856" s="18" t="s">
        <v>1514</v>
      </c>
      <c r="E1856" s="9"/>
      <c r="F1856" s="9"/>
      <c r="G1856" s="9"/>
      <c r="H1856" s="9"/>
      <c r="I1856" s="9"/>
      <c r="J1856" s="9"/>
      <c r="K1856" s="16">
        <f>K1861</f>
        <v>5</v>
      </c>
      <c r="L1856" s="17">
        <f>L1861</f>
        <v>0</v>
      </c>
      <c r="M1856" s="17">
        <f>M1861</f>
        <v>0</v>
      </c>
    </row>
    <row r="1857" spans="1:13">
      <c r="A1857" s="9"/>
      <c r="B1857" s="9"/>
      <c r="C1857" s="9"/>
      <c r="D1857" s="18" t="s">
        <v>1515</v>
      </c>
      <c r="E1857" s="9"/>
      <c r="F1857" s="9"/>
      <c r="G1857" s="9"/>
      <c r="H1857" s="9"/>
      <c r="I1857" s="9"/>
      <c r="J1857" s="9"/>
      <c r="K1857" s="9"/>
      <c r="L1857" s="9"/>
      <c r="M1857" s="9"/>
    </row>
    <row r="1858" spans="1:13">
      <c r="A1858" s="9"/>
      <c r="B1858" s="9"/>
      <c r="C1858" s="10" t="s">
        <v>27</v>
      </c>
      <c r="D1858" s="30"/>
      <c r="E1858" s="10" t="s">
        <v>1516</v>
      </c>
      <c r="F1858" s="19">
        <v>2</v>
      </c>
      <c r="G1858" s="20">
        <v>0</v>
      </c>
      <c r="H1858" s="20">
        <v>0</v>
      </c>
      <c r="I1858" s="20">
        <v>0</v>
      </c>
      <c r="J1858" s="16">
        <f>OR(F1858&lt;&gt;0,G1858&lt;&gt;0,H1858&lt;&gt;0,I1858&lt;&gt;0)*(F1858 + (F1858 = 0))*(G1858 + (G1858 = 0))*(H1858 + (H1858 = 0))*(I1858 + (I1858 = 0))</f>
        <v>2</v>
      </c>
      <c r="K1858" s="9"/>
      <c r="L1858" s="9"/>
      <c r="M1858" s="9"/>
    </row>
    <row r="1859" spans="1:13">
      <c r="A1859" s="9"/>
      <c r="B1859" s="9"/>
      <c r="C1859" s="10" t="s">
        <v>27</v>
      </c>
      <c r="D1859" s="30"/>
      <c r="E1859" s="10" t="s">
        <v>1517</v>
      </c>
      <c r="F1859" s="19">
        <v>2</v>
      </c>
      <c r="G1859" s="20">
        <v>0</v>
      </c>
      <c r="H1859" s="20">
        <v>0</v>
      </c>
      <c r="I1859" s="20">
        <v>0</v>
      </c>
      <c r="J1859" s="16">
        <f>OR(F1859&lt;&gt;0,G1859&lt;&gt;0,H1859&lt;&gt;0,I1859&lt;&gt;0)*(F1859 + (F1859 = 0))*(G1859 + (G1859 = 0))*(H1859 + (H1859 = 0))*(I1859 + (I1859 = 0))</f>
        <v>2</v>
      </c>
      <c r="K1859" s="9"/>
      <c r="L1859" s="9"/>
      <c r="M1859" s="9"/>
    </row>
    <row r="1860" spans="1:13">
      <c r="A1860" s="9"/>
      <c r="B1860" s="9"/>
      <c r="C1860" s="10" t="s">
        <v>27</v>
      </c>
      <c r="D1860" s="30"/>
      <c r="E1860" s="10" t="s">
        <v>1518</v>
      </c>
      <c r="F1860" s="19">
        <v>1</v>
      </c>
      <c r="G1860" s="20">
        <v>0</v>
      </c>
      <c r="H1860" s="20">
        <v>0</v>
      </c>
      <c r="I1860" s="20">
        <v>0</v>
      </c>
      <c r="J1860" s="16">
        <f>OR(F1860&lt;&gt;0,G1860&lt;&gt;0,H1860&lt;&gt;0,I1860&lt;&gt;0)*(F1860 + (F1860 = 0))*(G1860 + (G1860 = 0))*(H1860 + (H1860 = 0))*(I1860 + (I1860 = 0))</f>
        <v>1</v>
      </c>
      <c r="K1860" s="9"/>
      <c r="L1860" s="9"/>
      <c r="M1860" s="9"/>
    </row>
    <row r="1861" spans="1:13">
      <c r="A1861" s="9"/>
      <c r="B1861" s="9"/>
      <c r="C1861" s="9"/>
      <c r="D1861" s="30"/>
      <c r="E1861" s="9"/>
      <c r="F1861" s="9"/>
      <c r="G1861" s="9"/>
      <c r="H1861" s="9"/>
      <c r="I1861" s="9"/>
      <c r="J1861" s="21" t="s">
        <v>1519</v>
      </c>
      <c r="K1861" s="22">
        <f>SUM(J1858:J1860)</f>
        <v>5</v>
      </c>
      <c r="L1861" s="23">
        <v>0</v>
      </c>
      <c r="M1861" s="24">
        <f>ROUND(K1861*L1861,2)</f>
        <v>0</v>
      </c>
    </row>
    <row r="1862" spans="1:13" ht="0.95" customHeight="1">
      <c r="A1862" s="25"/>
      <c r="B1862" s="25"/>
      <c r="C1862" s="25"/>
      <c r="D1862" s="31"/>
      <c r="E1862" s="25"/>
      <c r="F1862" s="25"/>
      <c r="G1862" s="25"/>
      <c r="H1862" s="25"/>
      <c r="I1862" s="25"/>
      <c r="J1862" s="25"/>
      <c r="K1862" s="25"/>
      <c r="L1862" s="25"/>
      <c r="M1862" s="25"/>
    </row>
    <row r="1863" spans="1:13">
      <c r="A1863" s="9"/>
      <c r="B1863" s="9"/>
      <c r="C1863" s="9"/>
      <c r="D1863" s="30"/>
      <c r="E1863" s="9"/>
      <c r="F1863" s="9"/>
      <c r="G1863" s="9"/>
      <c r="H1863" s="9"/>
      <c r="I1863" s="9"/>
      <c r="J1863" s="21" t="s">
        <v>1520</v>
      </c>
      <c r="K1863" s="20">
        <v>1</v>
      </c>
      <c r="L1863" s="24">
        <f>M1840+M1847+M1849+M1854+M1856</f>
        <v>0</v>
      </c>
      <c r="M1863" s="24">
        <f>ROUND(K1863*L1863,2)</f>
        <v>0</v>
      </c>
    </row>
    <row r="1864" spans="1:13" ht="0.95" customHeight="1">
      <c r="A1864" s="25"/>
      <c r="B1864" s="25"/>
      <c r="C1864" s="25"/>
      <c r="D1864" s="31"/>
      <c r="E1864" s="25"/>
      <c r="F1864" s="25"/>
      <c r="G1864" s="25"/>
      <c r="H1864" s="25"/>
      <c r="I1864" s="25"/>
      <c r="J1864" s="25"/>
      <c r="K1864" s="25"/>
      <c r="L1864" s="25"/>
      <c r="M1864" s="25"/>
    </row>
    <row r="1865" spans="1:13">
      <c r="A1865" s="11" t="s">
        <v>1521</v>
      </c>
      <c r="B1865" s="11" t="s">
        <v>16</v>
      </c>
      <c r="C1865" s="11" t="s">
        <v>17</v>
      </c>
      <c r="D1865" s="29" t="s">
        <v>1522</v>
      </c>
      <c r="E1865" s="12"/>
      <c r="F1865" s="12"/>
      <c r="G1865" s="12"/>
      <c r="H1865" s="12"/>
      <c r="I1865" s="12"/>
      <c r="J1865" s="12"/>
      <c r="K1865" s="13">
        <f>K1872</f>
        <v>1</v>
      </c>
      <c r="L1865" s="14">
        <f>L1872</f>
        <v>0</v>
      </c>
      <c r="M1865" s="14">
        <f>M1872</f>
        <v>0</v>
      </c>
    </row>
    <row r="1866" spans="1:13" ht="33.75">
      <c r="A1866" s="15" t="s">
        <v>1523</v>
      </c>
      <c r="B1866" s="10" t="s">
        <v>23</v>
      </c>
      <c r="C1866" s="10" t="s">
        <v>4</v>
      </c>
      <c r="D1866" s="18" t="s">
        <v>1524</v>
      </c>
      <c r="E1866" s="9"/>
      <c r="F1866" s="9"/>
      <c r="G1866" s="9"/>
      <c r="H1866" s="9"/>
      <c r="I1866" s="9"/>
      <c r="J1866" s="9"/>
      <c r="K1866" s="20">
        <v>1</v>
      </c>
      <c r="L1866" s="23">
        <v>0</v>
      </c>
      <c r="M1866" s="17">
        <f>ROUND(K1866*L1866,2)</f>
        <v>0</v>
      </c>
    </row>
    <row r="1867" spans="1:13" ht="78.75">
      <c r="A1867" s="9"/>
      <c r="B1867" s="9"/>
      <c r="C1867" s="9"/>
      <c r="D1867" s="18" t="s">
        <v>1525</v>
      </c>
      <c r="E1867" s="9"/>
      <c r="F1867" s="9"/>
      <c r="G1867" s="9"/>
      <c r="H1867" s="9"/>
      <c r="I1867" s="9"/>
      <c r="J1867" s="9"/>
      <c r="K1867" s="9"/>
      <c r="L1867" s="9"/>
      <c r="M1867" s="9"/>
    </row>
    <row r="1868" spans="1:13">
      <c r="A1868" s="15" t="s">
        <v>1526</v>
      </c>
      <c r="B1868" s="10" t="s">
        <v>23</v>
      </c>
      <c r="C1868" s="10" t="s">
        <v>4</v>
      </c>
      <c r="D1868" s="18" t="s">
        <v>1527</v>
      </c>
      <c r="E1868" s="9"/>
      <c r="F1868" s="9"/>
      <c r="G1868" s="9"/>
      <c r="H1868" s="9"/>
      <c r="I1868" s="9"/>
      <c r="J1868" s="9"/>
      <c r="K1868" s="20">
        <v>1</v>
      </c>
      <c r="L1868" s="23">
        <v>0</v>
      </c>
      <c r="M1868" s="17">
        <f>ROUND(K1868*L1868,2)</f>
        <v>0</v>
      </c>
    </row>
    <row r="1869" spans="1:13" ht="45">
      <c r="A1869" s="9"/>
      <c r="B1869" s="9"/>
      <c r="C1869" s="9"/>
      <c r="D1869" s="18" t="s">
        <v>1528</v>
      </c>
      <c r="E1869" s="9"/>
      <c r="F1869" s="9"/>
      <c r="G1869" s="9"/>
      <c r="H1869" s="9"/>
      <c r="I1869" s="9"/>
      <c r="J1869" s="9"/>
      <c r="K1869" s="9"/>
      <c r="L1869" s="9"/>
      <c r="M1869" s="9"/>
    </row>
    <row r="1870" spans="1:13" ht="22.5">
      <c r="A1870" s="15" t="s">
        <v>1529</v>
      </c>
      <c r="B1870" s="10" t="s">
        <v>23</v>
      </c>
      <c r="C1870" s="10" t="s">
        <v>4</v>
      </c>
      <c r="D1870" s="18" t="s">
        <v>1530</v>
      </c>
      <c r="E1870" s="9"/>
      <c r="F1870" s="9"/>
      <c r="G1870" s="9"/>
      <c r="H1870" s="9"/>
      <c r="I1870" s="9"/>
      <c r="J1870" s="9"/>
      <c r="K1870" s="20">
        <v>1</v>
      </c>
      <c r="L1870" s="23">
        <v>0</v>
      </c>
      <c r="M1870" s="17">
        <f>ROUND(K1870*L1870,2)</f>
        <v>0</v>
      </c>
    </row>
    <row r="1871" spans="1:13" ht="56.25">
      <c r="A1871" s="9"/>
      <c r="B1871" s="9"/>
      <c r="C1871" s="9"/>
      <c r="D1871" s="18" t="s">
        <v>1531</v>
      </c>
      <c r="E1871" s="9"/>
      <c r="F1871" s="9"/>
      <c r="G1871" s="9"/>
      <c r="H1871" s="9"/>
      <c r="I1871" s="9"/>
      <c r="J1871" s="9"/>
      <c r="K1871" s="9"/>
      <c r="L1871" s="9"/>
      <c r="M1871" s="9"/>
    </row>
    <row r="1872" spans="1:13">
      <c r="A1872" s="9"/>
      <c r="B1872" s="9"/>
      <c r="C1872" s="9"/>
      <c r="D1872" s="30"/>
      <c r="E1872" s="9"/>
      <c r="F1872" s="9"/>
      <c r="G1872" s="9"/>
      <c r="H1872" s="9"/>
      <c r="I1872" s="9"/>
      <c r="J1872" s="21" t="s">
        <v>1532</v>
      </c>
      <c r="K1872" s="20">
        <v>1</v>
      </c>
      <c r="L1872" s="24">
        <f>M1866+M1868+M1870</f>
        <v>0</v>
      </c>
      <c r="M1872" s="24">
        <f>ROUND(K1872*L1872,2)</f>
        <v>0</v>
      </c>
    </row>
    <row r="1873" spans="1:13" ht="0.95" customHeight="1">
      <c r="A1873" s="25"/>
      <c r="B1873" s="25"/>
      <c r="C1873" s="25"/>
      <c r="D1873" s="31"/>
      <c r="E1873" s="25"/>
      <c r="F1873" s="25"/>
      <c r="G1873" s="25"/>
      <c r="H1873" s="25"/>
      <c r="I1873" s="25"/>
      <c r="J1873" s="25"/>
      <c r="K1873" s="25"/>
      <c r="L1873" s="25"/>
      <c r="M1873" s="25"/>
    </row>
    <row r="1874" spans="1:13">
      <c r="A1874" s="9"/>
      <c r="B1874" s="9"/>
      <c r="C1874" s="9"/>
      <c r="D1874" s="30"/>
      <c r="E1874" s="9"/>
      <c r="F1874" s="9"/>
      <c r="G1874" s="9"/>
      <c r="H1874" s="9"/>
      <c r="I1874" s="9"/>
      <c r="J1874" s="21" t="s">
        <v>1533</v>
      </c>
      <c r="K1874" s="26">
        <v>1</v>
      </c>
      <c r="L1874" s="24">
        <f>M1839+M1865</f>
        <v>0</v>
      </c>
      <c r="M1874" s="24">
        <f>ROUND(K1874*L1874,2)</f>
        <v>0</v>
      </c>
    </row>
    <row r="1875" spans="1:13" ht="0.95" customHeight="1">
      <c r="A1875" s="25"/>
      <c r="B1875" s="25"/>
      <c r="C1875" s="25"/>
      <c r="D1875" s="31"/>
      <c r="E1875" s="25"/>
      <c r="F1875" s="25"/>
      <c r="G1875" s="25"/>
      <c r="H1875" s="25"/>
      <c r="I1875" s="25"/>
      <c r="J1875" s="25"/>
      <c r="K1875" s="25"/>
      <c r="L1875" s="25"/>
      <c r="M1875" s="25"/>
    </row>
    <row r="1876" spans="1:13">
      <c r="A1876" s="5" t="s">
        <v>1534</v>
      </c>
      <c r="B1876" s="5" t="s">
        <v>16</v>
      </c>
      <c r="C1876" s="5" t="s">
        <v>17</v>
      </c>
      <c r="D1876" s="28" t="s">
        <v>1535</v>
      </c>
      <c r="E1876" s="6"/>
      <c r="F1876" s="6"/>
      <c r="G1876" s="6"/>
      <c r="H1876" s="6"/>
      <c r="I1876" s="6"/>
      <c r="J1876" s="6"/>
      <c r="K1876" s="7">
        <f>K1881</f>
        <v>1</v>
      </c>
      <c r="L1876" s="8">
        <f>L1881</f>
        <v>0</v>
      </c>
      <c r="M1876" s="8">
        <f>M1881</f>
        <v>0</v>
      </c>
    </row>
    <row r="1877" spans="1:13">
      <c r="A1877" s="15" t="s">
        <v>1536</v>
      </c>
      <c r="B1877" s="10" t="s">
        <v>23</v>
      </c>
      <c r="C1877" s="10" t="s">
        <v>625</v>
      </c>
      <c r="D1877" s="18" t="s">
        <v>1535</v>
      </c>
      <c r="E1877" s="9"/>
      <c r="F1877" s="9"/>
      <c r="G1877" s="9"/>
      <c r="H1877" s="9"/>
      <c r="I1877" s="9"/>
      <c r="J1877" s="9"/>
      <c r="K1877" s="20">
        <v>1</v>
      </c>
      <c r="L1877" s="23">
        <v>0</v>
      </c>
      <c r="M1877" s="17">
        <f>ROUND(K1877*L1877,2)</f>
        <v>0</v>
      </c>
    </row>
    <row r="1878" spans="1:13" ht="67.5">
      <c r="A1878" s="9"/>
      <c r="B1878" s="9"/>
      <c r="C1878" s="9"/>
      <c r="D1878" s="18" t="s">
        <v>1537</v>
      </c>
      <c r="E1878" s="9"/>
      <c r="F1878" s="9"/>
      <c r="G1878" s="9"/>
      <c r="H1878" s="9"/>
      <c r="I1878" s="9"/>
      <c r="J1878" s="9"/>
      <c r="K1878" s="9"/>
      <c r="L1878" s="9"/>
      <c r="M1878" s="9"/>
    </row>
    <row r="1879" spans="1:13">
      <c r="A1879" s="15" t="s">
        <v>1538</v>
      </c>
      <c r="B1879" s="10" t="s">
        <v>23</v>
      </c>
      <c r="C1879" s="10" t="s">
        <v>625</v>
      </c>
      <c r="D1879" s="18" t="s">
        <v>1539</v>
      </c>
      <c r="E1879" s="9"/>
      <c r="F1879" s="9"/>
      <c r="G1879" s="9"/>
      <c r="H1879" s="9"/>
      <c r="I1879" s="9"/>
      <c r="J1879" s="9"/>
      <c r="K1879" s="20">
        <v>1</v>
      </c>
      <c r="L1879" s="23">
        <v>0</v>
      </c>
      <c r="M1879" s="17">
        <f>ROUND(K1879*L1879,2)</f>
        <v>0</v>
      </c>
    </row>
    <row r="1880" spans="1:13" ht="33.75">
      <c r="A1880" s="9"/>
      <c r="B1880" s="9"/>
      <c r="C1880" s="9"/>
      <c r="D1880" s="18" t="s">
        <v>1540</v>
      </c>
      <c r="E1880" s="9"/>
      <c r="F1880" s="9"/>
      <c r="G1880" s="9"/>
      <c r="H1880" s="9"/>
      <c r="I1880" s="9"/>
      <c r="J1880" s="9"/>
      <c r="K1880" s="9"/>
      <c r="L1880" s="9"/>
      <c r="M1880" s="9"/>
    </row>
    <row r="1881" spans="1:13">
      <c r="A1881" s="9"/>
      <c r="B1881" s="9"/>
      <c r="C1881" s="9"/>
      <c r="D1881" s="30"/>
      <c r="E1881" s="9"/>
      <c r="F1881" s="9"/>
      <c r="G1881" s="9"/>
      <c r="H1881" s="9"/>
      <c r="I1881" s="9"/>
      <c r="J1881" s="21" t="s">
        <v>1541</v>
      </c>
      <c r="K1881" s="26">
        <v>1</v>
      </c>
      <c r="L1881" s="24">
        <f>M1877+M1879</f>
        <v>0</v>
      </c>
      <c r="M1881" s="24">
        <f>ROUND(K1881*L1881,2)</f>
        <v>0</v>
      </c>
    </row>
    <row r="1882" spans="1:13" ht="0.95" customHeight="1">
      <c r="A1882" s="25"/>
      <c r="B1882" s="25"/>
      <c r="C1882" s="25"/>
      <c r="D1882" s="31"/>
      <c r="E1882" s="25"/>
      <c r="F1882" s="25"/>
      <c r="G1882" s="25"/>
      <c r="H1882" s="25"/>
      <c r="I1882" s="25"/>
      <c r="J1882" s="25"/>
      <c r="K1882" s="25"/>
      <c r="L1882" s="25"/>
      <c r="M1882" s="25"/>
    </row>
    <row r="1883" spans="1:13">
      <c r="A1883" s="9"/>
      <c r="B1883" s="9"/>
      <c r="C1883" s="9"/>
      <c r="D1883" s="30"/>
      <c r="E1883" s="9"/>
      <c r="F1883" s="9"/>
      <c r="G1883" s="9"/>
      <c r="H1883" s="9"/>
      <c r="I1883" s="9"/>
      <c r="J1883" s="21" t="s">
        <v>1542</v>
      </c>
      <c r="K1883" s="26">
        <v>1</v>
      </c>
      <c r="L1883" s="24">
        <f>M4+M121+M133+M234+M316+M683+M799+M1199+M1410+M1461+M1675+M1726+M1800+M1838+M1876</f>
        <v>0</v>
      </c>
      <c r="M1883" s="24">
        <f>ROUND(K1883*L1883,2)</f>
        <v>0</v>
      </c>
    </row>
    <row r="1884" spans="1:13" ht="0.95" customHeight="1">
      <c r="A1884" s="25"/>
      <c r="B1884" s="25"/>
      <c r="C1884" s="25"/>
      <c r="D1884" s="31"/>
      <c r="E1884" s="25"/>
      <c r="F1884" s="25"/>
      <c r="G1884" s="25"/>
      <c r="H1884" s="25"/>
      <c r="I1884" s="25"/>
      <c r="J1884" s="25"/>
      <c r="K1884" s="25"/>
      <c r="L1884" s="25"/>
      <c r="M1884" s="25"/>
    </row>
  </sheetData>
  <dataValidations count="1">
    <dataValidation type="list" allowBlank="1" showInputMessage="1" showErrorMessage="1" sqref="B4:B1884">
      <formula1>"Capítulo,Partida,Mano de obra,Maquinaria,Material,Otros,Tarea,"</formula1>
    </dataValidation>
  </dataValidations>
  <pageMargins left="0.7" right="0.7" top="0.75" bottom="0.75" header="0.3" footer="0.3"/>
  <pageSetup paperSize="9" orientation="portrait" horizontalDpi="1200" verticalDpi="1200" r:id="rId1"/>
  <legacyDrawing r:id="rId2"/>
</worksheet>
</file>

<file path=xl/worksheets/sheet2.xml><?xml version="1.0" encoding="utf-8"?>
<worksheet xmlns="http://schemas.openxmlformats.org/spreadsheetml/2006/main" xmlns:r="http://schemas.openxmlformats.org/officeDocument/2006/relationships">
  <dimension ref="A1"/>
  <sheetViews>
    <sheetView workbookViewId="0"/>
  </sheetViews>
  <sheetFormatPr baseColWidth="10" defaultRowHeight="15"/>
  <sheetData/>
  <pageMargins left="0.7" right="0.7" top="0.75" bottom="0.75" header="0.3" footer="0.3"/>
</worksheet>
</file>

<file path=xl/worksheets/sheet3.xml><?xml version="1.0" encoding="utf-8"?>
<worksheet xmlns="http://schemas.openxmlformats.org/spreadsheetml/2006/main" xmlns:r="http://schemas.openxmlformats.org/officeDocument/2006/relationships">
  <dimension ref="A1"/>
  <sheetViews>
    <sheetView workbookViewId="0"/>
  </sheetViews>
  <sheetFormatPr baseColWidth="10" defaultRowHeight="15"/>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Hoja1</vt:lpstr>
      <vt:lpstr>Hoja2</vt:lpstr>
      <vt:lpstr>Hoja3</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EeG 2</dc:creator>
  <cp:lastModifiedBy>EeG 2</cp:lastModifiedBy>
  <dcterms:created xsi:type="dcterms:W3CDTF">2025-08-21T14:56:36Z</dcterms:created>
  <dcterms:modified xsi:type="dcterms:W3CDTF">2025-08-21T14:57:47Z</dcterms:modified>
</cp:coreProperties>
</file>